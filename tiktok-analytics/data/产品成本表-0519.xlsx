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ianing/Ning's Git/tiktok-analytics/data/"/>
    </mc:Choice>
  </mc:AlternateContent>
  <xr:revisionPtr revIDLastSave="0" documentId="13_ncr:1_{1B72039E-3401-1D44-8C7D-D2775D8471E7}" xr6:coauthVersionLast="47" xr6:coauthVersionMax="47" xr10:uidLastSave="{00000000-0000-0000-0000-000000000000}"/>
  <bookViews>
    <workbookView xWindow="2940" yWindow="-19360" windowWidth="45440" windowHeight="15440" xr2:uid="{00000000-000D-0000-FFFF-FFFF00000000}"/>
  </bookViews>
  <sheets>
    <sheet name="货品成本表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" i="2" l="1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" i="2"/>
  <c r="X3" i="2"/>
  <c r="AA3" i="2" s="1"/>
  <c r="AF3" i="2" s="1"/>
  <c r="AH3" i="2" s="1"/>
  <c r="X4" i="2"/>
  <c r="X5" i="2"/>
  <c r="X6" i="2"/>
  <c r="X7" i="2"/>
  <c r="X8" i="2"/>
  <c r="X9" i="2"/>
  <c r="X10" i="2"/>
  <c r="X11" i="2"/>
  <c r="X12" i="2"/>
  <c r="AA12" i="2" s="1"/>
  <c r="AB12" i="2" s="1"/>
  <c r="X13" i="2"/>
  <c r="AA13" i="2" s="1"/>
  <c r="AB13" i="2" s="1"/>
  <c r="X14" i="2"/>
  <c r="AA14" i="2" s="1"/>
  <c r="AB14" i="2" s="1"/>
  <c r="X15" i="2"/>
  <c r="X16" i="2"/>
  <c r="X17" i="2"/>
  <c r="X18" i="2"/>
  <c r="X19" i="2"/>
  <c r="X20" i="2"/>
  <c r="X21" i="2"/>
  <c r="X22" i="2"/>
  <c r="AA22" i="2" s="1"/>
  <c r="AB22" i="2" s="1"/>
  <c r="X23" i="2"/>
  <c r="X24" i="2"/>
  <c r="X25" i="2"/>
  <c r="X26" i="2"/>
  <c r="X27" i="2"/>
  <c r="X2" i="2"/>
  <c r="Z28" i="2"/>
  <c r="X28" i="2"/>
  <c r="AA28" i="2" s="1"/>
  <c r="AB28" i="2" s="1"/>
  <c r="Z27" i="2"/>
  <c r="Z26" i="2"/>
  <c r="Z25" i="2"/>
  <c r="Z24" i="2"/>
  <c r="AA24" i="2" s="1"/>
  <c r="AB24" i="2" s="1"/>
  <c r="Z23" i="2"/>
  <c r="Z22" i="2"/>
  <c r="Z21" i="2"/>
  <c r="Z20" i="2"/>
  <c r="Z19" i="2"/>
  <c r="Z18" i="2"/>
  <c r="Z17" i="2"/>
  <c r="Z16" i="2"/>
  <c r="Z15" i="2"/>
  <c r="Z14" i="2"/>
  <c r="Z13" i="2"/>
  <c r="Z12" i="2"/>
  <c r="Z11" i="2"/>
  <c r="Z10" i="2"/>
  <c r="Z9" i="2"/>
  <c r="Z8" i="2"/>
  <c r="Z7" i="2"/>
  <c r="Z6" i="2"/>
  <c r="AA5" i="2"/>
  <c r="AB5" i="2" s="1"/>
  <c r="Z4" i="2"/>
  <c r="Z3" i="2"/>
  <c r="Z2" i="2"/>
  <c r="AA4" i="2" l="1"/>
  <c r="AF4" i="2" s="1"/>
  <c r="AH4" i="2" s="1"/>
  <c r="AA21" i="2"/>
  <c r="AB21" i="2" s="1"/>
  <c r="AA11" i="2"/>
  <c r="AB11" i="2" s="1"/>
  <c r="AA17" i="2"/>
  <c r="AB17" i="2" s="1"/>
  <c r="AA8" i="2"/>
  <c r="AB8" i="2" s="1"/>
  <c r="AA7" i="2"/>
  <c r="AB7" i="2" s="1"/>
  <c r="AA10" i="2"/>
  <c r="AB10" i="2" s="1"/>
  <c r="AA9" i="2"/>
  <c r="AB9" i="2" s="1"/>
  <c r="AA18" i="2"/>
  <c r="AB18" i="2" s="1"/>
  <c r="AA2" i="2"/>
  <c r="AA16" i="2"/>
  <c r="AB16" i="2" s="1"/>
  <c r="AA25" i="2"/>
  <c r="AB25" i="2" s="1"/>
  <c r="AA27" i="2"/>
  <c r="AB27" i="2" s="1"/>
  <c r="AA26" i="2"/>
  <c r="AB26" i="2" s="1"/>
  <c r="AA19" i="2"/>
  <c r="AB19" i="2" s="1"/>
  <c r="AA23" i="2"/>
  <c r="AB23" i="2" s="1"/>
  <c r="AA6" i="2"/>
  <c r="AA15" i="2"/>
  <c r="AB15" i="2" s="1"/>
  <c r="AA20" i="2"/>
  <c r="AB20" i="2" s="1"/>
  <c r="AB3" i="2"/>
  <c r="AB4" i="2"/>
  <c r="AB6" i="2" l="1"/>
  <c r="AF6" i="2"/>
  <c r="AH6" i="2" s="1"/>
  <c r="AB2" i="2"/>
  <c r="AF2" i="2"/>
  <c r="AH2" i="2" s="1"/>
</calcChain>
</file>

<file path=xl/sharedStrings.xml><?xml version="1.0" encoding="utf-8"?>
<sst xmlns="http://schemas.openxmlformats.org/spreadsheetml/2006/main" count="127" uniqueCount="92">
  <si>
    <t>序号</t>
  </si>
  <si>
    <t>产品条码</t>
  </si>
  <si>
    <t>Seller SKU</t>
  </si>
  <si>
    <t>产品名称</t>
  </si>
  <si>
    <t>图片</t>
  </si>
  <si>
    <t>产品规格</t>
  </si>
  <si>
    <t>箱装数量</t>
  </si>
  <si>
    <t>产地</t>
  </si>
  <si>
    <t>保质期（月）</t>
  </si>
  <si>
    <t>最终订货箱数</t>
  </si>
  <si>
    <t>最终订货数</t>
  </si>
  <si>
    <t>毛重
kg</t>
  </si>
  <si>
    <t>最终订货价</t>
  </si>
  <si>
    <t>原始定价：×2.5</t>
  </si>
  <si>
    <t>实际
售价</t>
  </si>
  <si>
    <t>市场零售价</t>
  </si>
  <si>
    <t>销售总价
货值</t>
  </si>
  <si>
    <t>单箱体积
CBM</t>
  </si>
  <si>
    <t>海运物流
单件成本</t>
  </si>
  <si>
    <t>总物流体积
CBM</t>
  </si>
  <si>
    <t>产品标签
及印刷品</t>
  </si>
  <si>
    <t>包装</t>
  </si>
  <si>
    <t>包邮服务
7%</t>
  </si>
  <si>
    <t>当前总成本
元</t>
  </si>
  <si>
    <t>当前总成本
THB</t>
  </si>
  <si>
    <t>毛利
进价/售价</t>
  </si>
  <si>
    <t>纯利</t>
  </si>
  <si>
    <t>20%毛利售价
元</t>
  </si>
  <si>
    <t>店铺上架价格
汇率4.7，฿</t>
  </si>
  <si>
    <t>促销价格红线
20%毛利，฿</t>
  </si>
  <si>
    <t>TKS上架
设置价格
฿</t>
  </si>
  <si>
    <t>6973529173149</t>
  </si>
  <si>
    <t>ER-B</t>
  </si>
  <si>
    <t>广州酒家黄油鸡蛋卷480g</t>
  </si>
  <si>
    <t>480g
8罐
38.5*38.5*26.5㎝</t>
  </si>
  <si>
    <t>广东韶关
10.25到仓
10.24生产</t>
  </si>
  <si>
    <t>9个月</t>
  </si>
  <si>
    <t>6973529176010</t>
  </si>
  <si>
    <t>ER-A</t>
  </si>
  <si>
    <t>广州酒家传统鸡蛋卷454g</t>
  </si>
  <si>
    <t>454g
8罐
38.5*38.5*30㎝</t>
  </si>
  <si>
    <t>广东韶关
10.25到仓
10.14生产</t>
  </si>
  <si>
    <t>12个月</t>
  </si>
  <si>
    <t>6973529174016</t>
  </si>
  <si>
    <t>JB1</t>
  </si>
  <si>
    <t>广州酒家奇亚籽0脂肪果汁果冻1008g（罐装）</t>
  </si>
  <si>
    <t>1*8罐*1008g
49*31.5*25.5</t>
  </si>
  <si>
    <t>广东东莞
10.25到仓
10.24生产</t>
  </si>
  <si>
    <t>JB2</t>
  </si>
  <si>
    <t>CK</t>
  </si>
  <si>
    <t>黑松露黑麦苏打饼干</t>
  </si>
  <si>
    <t>1*8箱*400g
21.5*12*11.5*8</t>
  </si>
  <si>
    <t>河北邯郸</t>
  </si>
  <si>
    <t>Js6</t>
  </si>
  <si>
    <t>果冻6个</t>
  </si>
  <si>
    <t>Js18</t>
  </si>
  <si>
    <t>果冻18个</t>
  </si>
  <si>
    <t>Js36</t>
  </si>
  <si>
    <t>果冻36个</t>
  </si>
  <si>
    <t>A1</t>
  </si>
  <si>
    <t>魔芋干1包</t>
  </si>
  <si>
    <t>100g1袋</t>
  </si>
  <si>
    <t>6个月</t>
  </si>
  <si>
    <t>A2</t>
  </si>
  <si>
    <t>魔芋干2包</t>
  </si>
  <si>
    <t>A3</t>
  </si>
  <si>
    <t>魔芋干3包</t>
  </si>
  <si>
    <t>A5s</t>
  </si>
  <si>
    <t>魔芋干5小袋</t>
  </si>
  <si>
    <t>D1</t>
  </si>
  <si>
    <t>D2</t>
  </si>
  <si>
    <t>D3</t>
  </si>
  <si>
    <t>B1</t>
  </si>
  <si>
    <t>魔芋笋1大袋</t>
  </si>
  <si>
    <t>200g1袋</t>
  </si>
  <si>
    <t>B1C1</t>
  </si>
  <si>
    <t>酸辣香辣魔芋笋各1大袋</t>
  </si>
  <si>
    <t>B2</t>
  </si>
  <si>
    <t>魔芋笋2大袋</t>
  </si>
  <si>
    <t>B3</t>
  </si>
  <si>
    <t>魔芋笋3大袋</t>
  </si>
  <si>
    <t>B5s</t>
  </si>
  <si>
    <t>酸辣味5小袋</t>
  </si>
  <si>
    <t>C5s</t>
  </si>
  <si>
    <t>香辣味魔芋笋5小袋</t>
  </si>
  <si>
    <t>C1</t>
  </si>
  <si>
    <t>C2</t>
  </si>
  <si>
    <t>C3</t>
  </si>
  <si>
    <t>12个月</t>
    <phoneticPr fontId="14" type="noConversion"/>
  </si>
  <si>
    <t>平台佣金
3.2+8.1%</t>
    <phoneticPr fontId="14" type="noConversion"/>
  </si>
  <si>
    <t>产品成本</t>
    <phoneticPr fontId="14" type="noConversion"/>
  </si>
  <si>
    <t>出厂价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</si>
</sst>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"/>
    <numFmt numFmtId="177" formatCode="0.000"/>
    <numFmt numFmtId="178" formatCode="0.000000_);[Red]\(0.000000\)"/>
    <numFmt numFmtId="179" formatCode="0_);[Red]\(0\)"/>
    <numFmt numFmtId="180" formatCode="0.00_ "/>
  </numFmts>
  <fonts count="17">
    <font>
      <sz val="10"/>
      <color theme="1"/>
      <name val="等线"/>
      <family val="2"/>
      <scheme val="minor"/>
    </font>
    <font>
      <sz val="10"/>
      <color rgb="FF000000"/>
      <name val="等线"/>
      <family val="2"/>
      <scheme val="minor"/>
    </font>
    <font>
      <b/>
      <sz val="13"/>
      <color rgb="FF000000"/>
      <name val="等线"/>
      <family val="2"/>
      <scheme val="minor"/>
    </font>
    <font>
      <sz val="9"/>
      <color rgb="FF000000"/>
      <name val="等线"/>
      <family val="2"/>
      <scheme val="minor"/>
    </font>
    <font>
      <sz val="13"/>
      <color rgb="FF000000"/>
      <name val="等线"/>
      <family val="2"/>
      <scheme val="minor"/>
    </font>
    <font>
      <b/>
      <sz val="12"/>
      <color rgb="FF000000"/>
      <name val="等线"/>
      <family val="2"/>
      <scheme val="minor"/>
    </font>
    <font>
      <sz val="12"/>
      <color rgb="FF036356"/>
      <name val="等线"/>
      <family val="2"/>
      <scheme val="minor"/>
    </font>
    <font>
      <b/>
      <sz val="9"/>
      <color rgb="FF000000"/>
      <name val="等线"/>
      <family val="2"/>
      <scheme val="minor"/>
    </font>
    <font>
      <b/>
      <sz val="12"/>
      <color rgb="FFFF0000"/>
      <name val="等线"/>
      <family val="2"/>
      <scheme val="minor"/>
    </font>
    <font>
      <b/>
      <sz val="10"/>
      <color rgb="FF000000"/>
      <name val="等线"/>
      <family val="2"/>
      <scheme val="minor"/>
    </font>
    <font>
      <b/>
      <sz val="9"/>
      <color rgb="FFFF0000"/>
      <name val="等线"/>
      <family val="2"/>
      <scheme val="minor"/>
    </font>
    <font>
      <sz val="10"/>
      <color rgb="FF000000"/>
      <name val="等线"/>
      <family val="2"/>
      <scheme val="minor"/>
    </font>
    <font>
      <sz val="12"/>
      <color rgb="FF000000"/>
      <name val="等线"/>
      <family val="2"/>
      <scheme val="minor"/>
    </font>
    <font>
      <b/>
      <sz val="9"/>
      <color rgb="FF000000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color rgb="FF000000"/>
      <name val="等线"/>
      <family val="4"/>
      <charset val="134"/>
      <scheme val="minor"/>
    </font>
    <font>
      <sz val="12"/>
      <color theme="1"/>
      <name val="等线"/>
      <family val="4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BBFBC"/>
      </patternFill>
    </fill>
    <fill>
      <patternFill patternType="solid">
        <fgColor rgb="FFD5F6F2"/>
      </patternFill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FAF1D1"/>
      </patternFill>
    </fill>
    <fill>
      <patternFill patternType="solid">
        <fgColor rgb="FFD9F3FD"/>
      </patternFill>
    </fill>
    <fill>
      <patternFill patternType="solid">
        <fgColor rgb="FFD9F5D6"/>
      </patternFill>
    </fill>
    <fill>
      <patternFill patternType="solid">
        <fgColor rgb="FFD9F5D6"/>
      </patternFill>
    </fill>
    <fill>
      <patternFill patternType="solid">
        <fgColor rgb="FFFED4A4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ED4A4"/>
      </patternFill>
    </fill>
    <fill>
      <patternFill patternType="solid">
        <fgColor rgb="FF729FB3"/>
      </patternFill>
    </fill>
    <fill>
      <patternFill patternType="solid">
        <fgColor rgb="FFD9F5D6"/>
      </patternFill>
    </fill>
    <fill>
      <patternFill patternType="solid">
        <fgColor rgb="FFFED4A4"/>
      </patternFill>
    </fill>
    <fill>
      <patternFill patternType="solid">
        <fgColor rgb="FF729FB3"/>
      </patternFill>
    </fill>
    <fill>
      <patternFill patternType="solid">
        <fgColor rgb="FFD5F6F2"/>
      </patternFill>
    </fill>
    <fill>
      <patternFill patternType="solid">
        <fgColor rgb="FFD9F5D6"/>
      </patternFill>
    </fill>
    <fill>
      <patternFill patternType="solid">
        <fgColor rgb="FF729FB3"/>
      </patternFill>
    </fill>
    <fill>
      <patternFill patternType="solid">
        <fgColor rgb="FFD9F5D6"/>
      </patternFill>
    </fill>
    <fill>
      <patternFill patternType="solid">
        <fgColor rgb="FF729FB3"/>
      </patternFill>
    </fill>
    <fill>
      <patternFill patternType="solid">
        <fgColor rgb="FFFAF1D1"/>
      </patternFill>
    </fill>
    <fill>
      <patternFill patternType="solid">
        <fgColor rgb="FFD9F3FD"/>
      </patternFill>
    </fill>
    <fill>
      <patternFill patternType="solid">
        <fgColor rgb="FF729FB3"/>
      </patternFill>
    </fill>
    <fill>
      <patternFill patternType="solid">
        <fgColor rgb="FFFAF1D1"/>
      </patternFill>
    </fill>
    <fill>
      <patternFill patternType="solid">
        <fgColor rgb="FFD9F5D6"/>
      </patternFill>
    </fill>
    <fill>
      <patternFill patternType="solid">
        <fgColor rgb="FF729FB3"/>
      </patternFill>
    </fill>
    <fill>
      <patternFill patternType="solid">
        <fgColor rgb="FFFAF1D1"/>
      </patternFill>
    </fill>
    <fill>
      <patternFill patternType="solid">
        <fgColor rgb="FFFFF258"/>
      </patternFill>
    </fill>
    <fill>
      <patternFill patternType="solid">
        <fgColor rgb="FFFFF258"/>
      </patternFill>
    </fill>
    <fill>
      <patternFill patternType="solid">
        <fgColor rgb="FFFBBFBC"/>
      </patternFill>
    </fill>
    <fill>
      <patternFill patternType="solid">
        <fgColor rgb="FFFFF258"/>
      </patternFill>
    </fill>
  </fills>
  <borders count="6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</borders>
  <cellStyleXfs count="1">
    <xf numFmtId="0" fontId="0" fillId="0" borderId="0" applyNumberFormat="0" applyFont="0" applyFill="0" applyBorder="0" applyProtection="0"/>
  </cellStyleXfs>
  <cellXfs count="66">
    <xf numFmtId="0" fontId="0" fillId="0" borderId="0" xfId="0" applyAlignment="1">
      <alignment vertical="center"/>
    </xf>
    <xf numFmtId="0" fontId="1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176" fontId="2" fillId="0" borderId="4" xfId="0" applyNumberFormat="1" applyFont="1" applyBorder="1" applyAlignment="1">
      <alignment vertical="center"/>
    </xf>
    <xf numFmtId="0" fontId="2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vertical="center"/>
    </xf>
    <xf numFmtId="1" fontId="5" fillId="2" borderId="7" xfId="0" applyNumberFormat="1" applyFont="1" applyFill="1" applyBorder="1" applyAlignment="1">
      <alignment horizontal="right" vertical="center"/>
    </xf>
    <xf numFmtId="0" fontId="1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vertical="center"/>
    </xf>
    <xf numFmtId="176" fontId="7" fillId="0" borderId="10" xfId="0" applyNumberFormat="1" applyFont="1" applyBorder="1" applyAlignment="1">
      <alignment horizontal="right" vertical="center"/>
    </xf>
    <xf numFmtId="0" fontId="7" fillId="0" borderId="11" xfId="0" applyFont="1" applyBorder="1" applyAlignment="1">
      <alignment horizontal="right" vertical="center"/>
    </xf>
    <xf numFmtId="49" fontId="1" fillId="0" borderId="12" xfId="0" applyNumberFormat="1" applyFont="1" applyBorder="1" applyAlignment="1">
      <alignment vertical="center"/>
    </xf>
    <xf numFmtId="0" fontId="8" fillId="3" borderId="13" xfId="0" applyFont="1" applyFill="1" applyBorder="1" applyAlignment="1">
      <alignment horizontal="center" vertical="center"/>
    </xf>
    <xf numFmtId="0" fontId="3" fillId="0" borderId="14" xfId="0" applyFont="1" applyBorder="1" applyAlignment="1">
      <alignment vertical="center"/>
    </xf>
    <xf numFmtId="0" fontId="9" fillId="4" borderId="15" xfId="0" applyFont="1" applyFill="1" applyBorder="1" applyAlignment="1">
      <alignment horizontal="left" vertical="center" wrapText="1"/>
    </xf>
    <xf numFmtId="0" fontId="5" fillId="0" borderId="16" xfId="0" applyFont="1" applyBorder="1" applyAlignment="1">
      <alignment vertical="center"/>
    </xf>
    <xf numFmtId="177" fontId="3" fillId="0" borderId="17" xfId="0" applyNumberFormat="1" applyFont="1" applyBorder="1" applyAlignment="1">
      <alignment vertical="center"/>
    </xf>
    <xf numFmtId="0" fontId="9" fillId="6" borderId="19" xfId="0" applyFont="1" applyFill="1" applyBorder="1" applyAlignment="1">
      <alignment vertical="center" wrapText="1"/>
    </xf>
    <xf numFmtId="0" fontId="5" fillId="7" borderId="20" xfId="0" applyFont="1" applyFill="1" applyBorder="1" applyAlignment="1">
      <alignment vertical="center"/>
    </xf>
    <xf numFmtId="177" fontId="9" fillId="8" borderId="21" xfId="0" applyNumberFormat="1" applyFont="1" applyFill="1" applyBorder="1" applyAlignment="1">
      <alignment vertical="center"/>
    </xf>
    <xf numFmtId="0" fontId="1" fillId="0" borderId="23" xfId="0" applyFont="1" applyBorder="1" applyAlignment="1">
      <alignment horizontal="center" vertical="center"/>
    </xf>
    <xf numFmtId="0" fontId="7" fillId="0" borderId="24" xfId="0" applyFont="1" applyBorder="1" applyAlignment="1">
      <alignment vertical="center"/>
    </xf>
    <xf numFmtId="0" fontId="5" fillId="10" borderId="25" xfId="0" applyFont="1" applyFill="1" applyBorder="1" applyAlignment="1">
      <alignment vertical="center"/>
    </xf>
    <xf numFmtId="0" fontId="1" fillId="0" borderId="26" xfId="0" applyFont="1" applyBorder="1" applyAlignment="1">
      <alignment vertical="center"/>
    </xf>
    <xf numFmtId="9" fontId="5" fillId="11" borderId="27" xfId="0" applyNumberFormat="1" applyFont="1" applyFill="1" applyBorder="1" applyAlignment="1">
      <alignment horizontal="right" vertical="center"/>
    </xf>
    <xf numFmtId="0" fontId="3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vertical="center"/>
    </xf>
    <xf numFmtId="49" fontId="3" fillId="0" borderId="30" xfId="0" applyNumberFormat="1" applyFont="1" applyBorder="1" applyAlignment="1">
      <alignment vertical="center"/>
    </xf>
    <xf numFmtId="0" fontId="3" fillId="0" borderId="31" xfId="0" applyFont="1" applyBorder="1" applyAlignment="1">
      <alignment horizontal="center" vertical="center"/>
    </xf>
    <xf numFmtId="0" fontId="3" fillId="0" borderId="32" xfId="0" applyFont="1" applyBorder="1" applyAlignment="1">
      <alignment vertical="center" wrapText="1"/>
    </xf>
    <xf numFmtId="0" fontId="3" fillId="0" borderId="33" xfId="0" applyFont="1" applyBorder="1" applyAlignment="1">
      <alignment vertical="center"/>
    </xf>
    <xf numFmtId="0" fontId="7" fillId="13" borderId="35" xfId="0" applyFont="1" applyFill="1" applyBorder="1" applyAlignment="1">
      <alignment horizontal="left" vertical="center"/>
    </xf>
    <xf numFmtId="178" fontId="5" fillId="14" borderId="36" xfId="0" applyNumberFormat="1" applyFont="1" applyFill="1" applyBorder="1" applyAlignment="1">
      <alignment horizontal="right" vertical="center" wrapText="1"/>
    </xf>
    <xf numFmtId="178" fontId="7" fillId="15" borderId="37" xfId="0" applyNumberFormat="1" applyFont="1" applyFill="1" applyBorder="1" applyAlignment="1">
      <alignment horizontal="center" vertical="center" wrapText="1"/>
    </xf>
    <xf numFmtId="178" fontId="7" fillId="16" borderId="38" xfId="0" applyNumberFormat="1" applyFont="1" applyFill="1" applyBorder="1" applyAlignment="1">
      <alignment horizontal="center" vertical="center" wrapText="1"/>
    </xf>
    <xf numFmtId="178" fontId="7" fillId="17" borderId="39" xfId="0" applyNumberFormat="1" applyFont="1" applyFill="1" applyBorder="1" applyAlignment="1">
      <alignment horizontal="right" vertical="center" wrapText="1"/>
    </xf>
    <xf numFmtId="179" fontId="7" fillId="18" borderId="40" xfId="0" applyNumberFormat="1" applyFont="1" applyFill="1" applyBorder="1" applyAlignment="1">
      <alignment horizontal="center" vertical="center"/>
    </xf>
    <xf numFmtId="178" fontId="10" fillId="19" borderId="41" xfId="0" applyNumberFormat="1" applyFont="1" applyFill="1" applyBorder="1" applyAlignment="1">
      <alignment horizontal="center" vertical="center" wrapText="1"/>
    </xf>
    <xf numFmtId="178" fontId="7" fillId="20" borderId="42" xfId="0" applyNumberFormat="1" applyFont="1" applyFill="1" applyBorder="1" applyAlignment="1">
      <alignment horizontal="center" vertical="center" wrapText="1"/>
    </xf>
    <xf numFmtId="0" fontId="7" fillId="21" borderId="43" xfId="0" applyFont="1" applyFill="1" applyBorder="1" applyAlignment="1">
      <alignment horizontal="center" vertical="center" wrapText="1"/>
    </xf>
    <xf numFmtId="178" fontId="5" fillId="22" borderId="44" xfId="0" applyNumberFormat="1" applyFont="1" applyFill="1" applyBorder="1" applyAlignment="1">
      <alignment horizontal="center" vertical="center" wrapText="1"/>
    </xf>
    <xf numFmtId="180" fontId="7" fillId="23" borderId="45" xfId="0" applyNumberFormat="1" applyFont="1" applyFill="1" applyBorder="1" applyAlignment="1">
      <alignment horizontal="center" vertical="center" wrapText="1"/>
    </xf>
    <xf numFmtId="178" fontId="7" fillId="24" borderId="46" xfId="0" applyNumberFormat="1" applyFont="1" applyFill="1" applyBorder="1" applyAlignment="1">
      <alignment horizontal="center" vertical="center" wrapText="1"/>
    </xf>
    <xf numFmtId="178" fontId="7" fillId="25" borderId="47" xfId="0" applyNumberFormat="1" applyFont="1" applyFill="1" applyBorder="1" applyAlignment="1">
      <alignment horizontal="center" vertical="center" wrapText="1"/>
    </xf>
    <xf numFmtId="180" fontId="7" fillId="26" borderId="48" xfId="0" applyNumberFormat="1" applyFont="1" applyFill="1" applyBorder="1" applyAlignment="1">
      <alignment horizontal="left" vertical="center" wrapText="1"/>
    </xf>
    <xf numFmtId="178" fontId="7" fillId="27" borderId="49" xfId="0" applyNumberFormat="1" applyFont="1" applyFill="1" applyBorder="1" applyAlignment="1">
      <alignment horizontal="center" vertical="center" wrapText="1"/>
    </xf>
    <xf numFmtId="178" fontId="5" fillId="28" borderId="50" xfId="0" applyNumberFormat="1" applyFont="1" applyFill="1" applyBorder="1" applyAlignment="1">
      <alignment horizontal="right" vertical="center" wrapText="1"/>
    </xf>
    <xf numFmtId="0" fontId="7" fillId="29" borderId="51" xfId="0" applyFont="1" applyFill="1" applyBorder="1" applyAlignment="1">
      <alignment horizontal="center" vertical="center"/>
    </xf>
    <xf numFmtId="0" fontId="7" fillId="30" borderId="52" xfId="0" applyFont="1" applyFill="1" applyBorder="1" applyAlignment="1">
      <alignment vertical="center"/>
    </xf>
    <xf numFmtId="179" fontId="7" fillId="31" borderId="53" xfId="0" applyNumberFormat="1" applyFont="1" applyFill="1" applyBorder="1" applyAlignment="1">
      <alignment horizontal="center" vertical="center" wrapText="1"/>
    </xf>
    <xf numFmtId="179" fontId="7" fillId="32" borderId="54" xfId="0" applyNumberFormat="1" applyFont="1" applyFill="1" applyBorder="1" applyAlignment="1">
      <alignment horizontal="left" vertical="center" wrapText="1"/>
    </xf>
    <xf numFmtId="179" fontId="11" fillId="0" borderId="55" xfId="0" applyNumberFormat="1" applyFont="1" applyBorder="1" applyAlignment="1">
      <alignment vertical="center"/>
    </xf>
    <xf numFmtId="179" fontId="7" fillId="0" borderId="56" xfId="0" applyNumberFormat="1" applyFont="1" applyBorder="1" applyAlignment="1">
      <alignment horizontal="center" vertical="center" wrapText="1"/>
    </xf>
    <xf numFmtId="0" fontId="12" fillId="0" borderId="57" xfId="0" applyFont="1" applyBorder="1" applyAlignment="1">
      <alignment vertical="center"/>
    </xf>
    <xf numFmtId="0" fontId="5" fillId="33" borderId="58" xfId="0" applyFont="1" applyFill="1" applyBorder="1" applyAlignment="1">
      <alignment horizontal="right" vertical="center"/>
    </xf>
    <xf numFmtId="179" fontId="3" fillId="0" borderId="59" xfId="0" applyNumberFormat="1" applyFont="1" applyBorder="1" applyAlignment="1">
      <alignment vertical="center"/>
    </xf>
    <xf numFmtId="178" fontId="15" fillId="17" borderId="39" xfId="0" applyNumberFormat="1" applyFont="1" applyFill="1" applyBorder="1" applyAlignment="1">
      <alignment horizontal="right" vertical="center" wrapText="1"/>
    </xf>
    <xf numFmtId="176" fontId="15" fillId="5" borderId="18" xfId="0" applyNumberFormat="1" applyFont="1" applyFill="1" applyBorder="1" applyAlignment="1">
      <alignment horizontal="right" vertical="center"/>
    </xf>
    <xf numFmtId="1" fontId="15" fillId="9" borderId="22" xfId="0" applyNumberFormat="1" applyFont="1" applyFill="1" applyBorder="1" applyAlignment="1">
      <alignment vertical="center"/>
    </xf>
    <xf numFmtId="0" fontId="15" fillId="0" borderId="2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7" fillId="12" borderId="34" xfId="0" applyFont="1" applyFill="1" applyBorder="1" applyAlignment="1">
      <alignment vertical="center" wrapText="1"/>
    </xf>
    <xf numFmtId="179" fontId="13" fillId="34" borderId="60" xfId="0" applyNumberFormat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I217"/>
  <sheetViews>
    <sheetView tabSelected="1" zoomScale="150" zoomScaleNormal="150" workbookViewId="0">
      <pane xSplit="5" ySplit="2" topLeftCell="I22" activePane="bottomRight" state="frozen"/>
      <selection pane="topRight"/>
      <selection pane="bottomLeft"/>
      <selection pane="bottomRight" activeCell="J2" sqref="J2"/>
    </sheetView>
  </sheetViews>
  <sheetFormatPr baseColWidth="10" defaultColWidth="14" defaultRowHeight="16"/>
  <cols>
    <col min="1" max="1" width="5.796875" customWidth="1"/>
    <col min="2" max="2" width="7.59765625" customWidth="1"/>
    <col min="3" max="3" width="11.796875" customWidth="1"/>
    <col min="4" max="4" width="14" style="65"/>
    <col min="5" max="5" width="7.19921875" customWidth="1"/>
    <col min="7" max="7" width="10" customWidth="1"/>
    <col min="9" max="9" width="17" customWidth="1"/>
    <col min="13" max="18" width="14" hidden="1" customWidth="1"/>
    <col min="27" max="27" width="14" style="61"/>
    <col min="28" max="28" width="14" style="61" customWidth="1"/>
    <col min="29" max="29" width="14" customWidth="1"/>
  </cols>
  <sheetData>
    <row r="1" spans="1:35" ht="39">
      <c r="A1" s="40" t="s">
        <v>0</v>
      </c>
      <c r="B1" s="37" t="s">
        <v>1</v>
      </c>
      <c r="C1" s="45" t="s">
        <v>2</v>
      </c>
      <c r="D1" s="42" t="s">
        <v>3</v>
      </c>
      <c r="E1" s="42" t="s">
        <v>4</v>
      </c>
      <c r="F1" s="34" t="s">
        <v>5</v>
      </c>
      <c r="G1" s="34" t="s">
        <v>6</v>
      </c>
      <c r="H1" s="48" t="s">
        <v>7</v>
      </c>
      <c r="I1" s="40" t="s">
        <v>8</v>
      </c>
      <c r="J1" s="38" t="s">
        <v>91</v>
      </c>
      <c r="K1" s="43" t="s">
        <v>9</v>
      </c>
      <c r="L1" s="43" t="s">
        <v>10</v>
      </c>
      <c r="M1" s="46" t="s">
        <v>11</v>
      </c>
      <c r="N1" s="46" t="s">
        <v>12</v>
      </c>
      <c r="O1" s="35" t="s">
        <v>13</v>
      </c>
      <c r="P1" s="47" t="s">
        <v>14</v>
      </c>
      <c r="Q1" s="41" t="s">
        <v>15</v>
      </c>
      <c r="R1" s="39" t="s">
        <v>16</v>
      </c>
      <c r="S1" s="44" t="s">
        <v>17</v>
      </c>
      <c r="T1" s="44" t="s">
        <v>18</v>
      </c>
      <c r="U1" s="44" t="s">
        <v>19</v>
      </c>
      <c r="V1" s="36" t="s">
        <v>90</v>
      </c>
      <c r="W1" s="36" t="s">
        <v>20</v>
      </c>
      <c r="X1" s="36" t="s">
        <v>89</v>
      </c>
      <c r="Y1" s="36" t="s">
        <v>21</v>
      </c>
      <c r="Z1" s="36" t="s">
        <v>22</v>
      </c>
      <c r="AA1" s="57" t="s">
        <v>23</v>
      </c>
      <c r="AB1" s="57" t="s">
        <v>24</v>
      </c>
      <c r="AC1" s="47" t="s">
        <v>14</v>
      </c>
      <c r="AD1" s="33" t="s">
        <v>25</v>
      </c>
      <c r="AE1" s="33" t="s">
        <v>26</v>
      </c>
      <c r="AF1" s="36" t="s">
        <v>27</v>
      </c>
      <c r="AG1" s="36" t="s">
        <v>28</v>
      </c>
      <c r="AH1" s="36" t="s">
        <v>29</v>
      </c>
      <c r="AI1" s="36" t="s">
        <v>30</v>
      </c>
    </row>
    <row r="2" spans="1:35" ht="42" customHeight="1">
      <c r="A2" s="3">
        <v>1</v>
      </c>
      <c r="B2" s="28" t="s">
        <v>31</v>
      </c>
      <c r="C2" s="32" t="s">
        <v>32</v>
      </c>
      <c r="D2" s="62" t="s">
        <v>33</v>
      </c>
      <c r="E2" s="14"/>
      <c r="F2" s="30" t="s">
        <v>34</v>
      </c>
      <c r="G2" s="14">
        <v>8</v>
      </c>
      <c r="H2" s="29" t="s">
        <v>35</v>
      </c>
      <c r="I2" s="29" t="s">
        <v>36</v>
      </c>
      <c r="J2" s="13">
        <v>36</v>
      </c>
      <c r="K2" s="16">
        <v>40</v>
      </c>
      <c r="L2" s="19">
        <v>320</v>
      </c>
      <c r="M2" s="22">
        <v>153.6</v>
      </c>
      <c r="N2" s="22">
        <v>11520</v>
      </c>
      <c r="O2" s="27">
        <v>90</v>
      </c>
      <c r="P2" s="23">
        <v>99</v>
      </c>
      <c r="Q2" s="9">
        <v>109</v>
      </c>
      <c r="R2" s="14">
        <v>31680</v>
      </c>
      <c r="S2" s="17">
        <v>3.9279624999999999E-2</v>
      </c>
      <c r="T2" s="20">
        <v>9.4988243635199776</v>
      </c>
      <c r="U2" s="17">
        <v>1.5711849999999998</v>
      </c>
      <c r="V2" s="10">
        <f>J2+T2</f>
        <v>45.498824363519979</v>
      </c>
      <c r="W2" s="10">
        <v>0</v>
      </c>
      <c r="X2" s="10">
        <f t="shared" ref="X2:X27" si="0">AC2*0.113</f>
        <v>8.9269999999999996</v>
      </c>
      <c r="Y2" s="10">
        <v>2</v>
      </c>
      <c r="Z2" s="10">
        <f>AC2*0.064</f>
        <v>5.056</v>
      </c>
      <c r="AA2" s="58">
        <f>J2+T2+SUM(V2:Z2)</f>
        <v>106.98064872703995</v>
      </c>
      <c r="AB2" s="59">
        <f t="shared" ref="AB2:AB28" si="1">AA2*5</f>
        <v>534.90324363519971</v>
      </c>
      <c r="AC2" s="23">
        <v>79</v>
      </c>
      <c r="AD2" s="25"/>
      <c r="AE2" s="25">
        <v>0.38361971825321473</v>
      </c>
      <c r="AF2" s="7">
        <f>AA2/0.8</f>
        <v>133.72581090879993</v>
      </c>
      <c r="AG2" s="7">
        <v>399</v>
      </c>
      <c r="AH2" s="7">
        <f>AF2*4.7</f>
        <v>628.51131127135966</v>
      </c>
      <c r="AI2" s="11">
        <v>499</v>
      </c>
    </row>
    <row r="3" spans="1:35" ht="42" customHeight="1">
      <c r="A3" s="3">
        <v>2</v>
      </c>
      <c r="B3" s="28" t="s">
        <v>37</v>
      </c>
      <c r="C3" s="32" t="s">
        <v>38</v>
      </c>
      <c r="D3" s="62" t="s">
        <v>39</v>
      </c>
      <c r="E3" s="31"/>
      <c r="F3" s="30" t="s">
        <v>40</v>
      </c>
      <c r="G3" s="14">
        <v>8</v>
      </c>
      <c r="H3" s="29" t="s">
        <v>41</v>
      </c>
      <c r="I3" s="29" t="s">
        <v>42</v>
      </c>
      <c r="J3" s="13">
        <v>29.5</v>
      </c>
      <c r="K3" s="16">
        <v>40</v>
      </c>
      <c r="L3" s="19">
        <v>320</v>
      </c>
      <c r="M3" s="22">
        <v>145.28</v>
      </c>
      <c r="N3" s="22">
        <v>9440</v>
      </c>
      <c r="O3" s="27">
        <v>73.75</v>
      </c>
      <c r="P3" s="23">
        <v>89</v>
      </c>
      <c r="Q3" s="9">
        <v>99</v>
      </c>
      <c r="R3" s="14">
        <v>28480</v>
      </c>
      <c r="S3" s="17">
        <v>4.44675E-2</v>
      </c>
      <c r="T3" s="20">
        <v>10.753386071909409</v>
      </c>
      <c r="U3" s="17">
        <v>1.7786999999999999</v>
      </c>
      <c r="V3" s="10">
        <f t="shared" ref="V3:V27" si="2">J3+T3</f>
        <v>40.253386071909411</v>
      </c>
      <c r="W3" s="10">
        <v>0</v>
      </c>
      <c r="X3" s="10">
        <f t="shared" si="0"/>
        <v>7.7970000000000006</v>
      </c>
      <c r="Y3" s="10">
        <v>2</v>
      </c>
      <c r="Z3" s="10">
        <f>AC3*0.064</f>
        <v>4.4160000000000004</v>
      </c>
      <c r="AA3" s="58">
        <f t="shared" ref="AA3:AA28" si="3">J3+T3+SUM(V3:Z3)</f>
        <v>94.71977214381883</v>
      </c>
      <c r="AB3" s="59">
        <f t="shared" si="1"/>
        <v>473.59886071909415</v>
      </c>
      <c r="AC3" s="23">
        <v>69</v>
      </c>
      <c r="AD3" s="25"/>
      <c r="AE3" s="25">
        <v>0.38858191459189684</v>
      </c>
      <c r="AF3" s="7">
        <f>AA3/0.8</f>
        <v>118.39971517977354</v>
      </c>
      <c r="AG3" s="7">
        <v>349</v>
      </c>
      <c r="AH3" s="7">
        <f>AF3*4.7</f>
        <v>556.47866134493563</v>
      </c>
      <c r="AI3" s="11">
        <v>459</v>
      </c>
    </row>
    <row r="4" spans="1:35" ht="42" customHeight="1">
      <c r="A4" s="3">
        <v>3</v>
      </c>
      <c r="B4" s="12" t="s">
        <v>43</v>
      </c>
      <c r="C4" s="15" t="s">
        <v>44</v>
      </c>
      <c r="D4" s="18" t="s">
        <v>45</v>
      </c>
      <c r="E4" s="21"/>
      <c r="F4" s="24" t="s">
        <v>46</v>
      </c>
      <c r="G4" s="14">
        <v>8</v>
      </c>
      <c r="H4" s="26" t="s">
        <v>47</v>
      </c>
      <c r="I4" s="8" t="s">
        <v>88</v>
      </c>
      <c r="J4" s="13">
        <v>29.5</v>
      </c>
      <c r="K4" s="16">
        <v>30</v>
      </c>
      <c r="L4" s="19">
        <v>240</v>
      </c>
      <c r="M4" s="22">
        <v>259.2</v>
      </c>
      <c r="N4" s="22">
        <v>7080</v>
      </c>
      <c r="O4" s="27">
        <v>64.900000000000006</v>
      </c>
      <c r="P4" s="23">
        <v>79</v>
      </c>
      <c r="Q4" s="9">
        <v>99</v>
      </c>
      <c r="R4" s="14">
        <v>18960</v>
      </c>
      <c r="S4" s="17">
        <v>4.0767999999999999E-2</v>
      </c>
      <c r="T4" s="20">
        <v>9.8587517485714908</v>
      </c>
      <c r="U4" s="17">
        <v>1.2230399999999999</v>
      </c>
      <c r="V4" s="10">
        <f t="shared" si="2"/>
        <v>39.358751748571493</v>
      </c>
      <c r="W4" s="10">
        <v>0</v>
      </c>
      <c r="X4" s="10">
        <f t="shared" si="0"/>
        <v>7.7970000000000006</v>
      </c>
      <c r="Y4" s="10">
        <v>2</v>
      </c>
      <c r="Z4" s="10">
        <f>AC4*0.064</f>
        <v>4.4160000000000004</v>
      </c>
      <c r="AA4" s="58">
        <f t="shared" si="3"/>
        <v>92.930503497142979</v>
      </c>
      <c r="AB4" s="59">
        <f t="shared" si="1"/>
        <v>464.6525174857149</v>
      </c>
      <c r="AC4" s="23">
        <v>69</v>
      </c>
      <c r="AD4" s="25"/>
      <c r="AE4" s="25">
        <v>0.339726895215402</v>
      </c>
      <c r="AF4" s="7">
        <f>AA4/0.8</f>
        <v>116.16312937142872</v>
      </c>
      <c r="AG4" s="7">
        <v>349</v>
      </c>
      <c r="AH4" s="7">
        <f>AF4*4.7</f>
        <v>545.966708045715</v>
      </c>
      <c r="AI4" s="11">
        <v>359</v>
      </c>
    </row>
    <row r="5" spans="1:35" ht="42" customHeight="1">
      <c r="A5" s="3">
        <v>4</v>
      </c>
      <c r="B5" s="56"/>
      <c r="C5" s="15" t="s">
        <v>48</v>
      </c>
      <c r="D5" s="18" t="s">
        <v>45</v>
      </c>
      <c r="E5" s="21"/>
      <c r="F5" s="24" t="s">
        <v>46</v>
      </c>
      <c r="G5" s="14">
        <v>8</v>
      </c>
      <c r="H5" s="26" t="s">
        <v>47</v>
      </c>
      <c r="I5" s="8" t="s">
        <v>88</v>
      </c>
      <c r="J5" s="13">
        <v>59</v>
      </c>
      <c r="K5" s="16"/>
      <c r="L5" s="19"/>
      <c r="M5" s="22">
        <v>259.2</v>
      </c>
      <c r="N5" s="22">
        <v>7080</v>
      </c>
      <c r="O5" s="27">
        <v>64.900000000000006</v>
      </c>
      <c r="P5" s="23">
        <v>79</v>
      </c>
      <c r="Q5" s="9">
        <v>99</v>
      </c>
      <c r="R5" s="14">
        <v>18960</v>
      </c>
      <c r="S5" s="17">
        <v>8.2000000000000003E-2</v>
      </c>
      <c r="T5" s="20">
        <v>19.718</v>
      </c>
      <c r="U5" s="17">
        <v>2.4460000000000002</v>
      </c>
      <c r="V5" s="10">
        <f t="shared" si="2"/>
        <v>78.718000000000004</v>
      </c>
      <c r="W5" s="10">
        <v>0</v>
      </c>
      <c r="X5" s="10">
        <f t="shared" si="0"/>
        <v>14.577</v>
      </c>
      <c r="Y5" s="10">
        <v>3</v>
      </c>
      <c r="Z5" s="10">
        <v>8.8000000000000007</v>
      </c>
      <c r="AA5" s="58">
        <f t="shared" si="3"/>
        <v>183.81299999999999</v>
      </c>
      <c r="AB5" s="59">
        <f t="shared" si="1"/>
        <v>919.06499999999994</v>
      </c>
      <c r="AC5" s="23">
        <v>129</v>
      </c>
      <c r="AD5" s="25"/>
      <c r="AE5" s="25"/>
      <c r="AF5" s="7"/>
      <c r="AG5" s="7"/>
      <c r="AH5" s="7"/>
      <c r="AI5" s="11"/>
    </row>
    <row r="6" spans="1:35" ht="42" customHeight="1">
      <c r="A6" s="3">
        <v>5</v>
      </c>
      <c r="B6" s="56">
        <v>6954200711997</v>
      </c>
      <c r="C6" s="51" t="s">
        <v>49</v>
      </c>
      <c r="D6" s="50" t="s">
        <v>50</v>
      </c>
      <c r="E6" s="53"/>
      <c r="F6" s="24" t="s">
        <v>51</v>
      </c>
      <c r="G6" s="14">
        <v>12</v>
      </c>
      <c r="H6" s="53" t="s">
        <v>52</v>
      </c>
      <c r="I6" s="53" t="s">
        <v>36</v>
      </c>
      <c r="J6" s="13">
        <v>6.9</v>
      </c>
      <c r="K6" s="16">
        <v>40</v>
      </c>
      <c r="L6" s="19">
        <v>480</v>
      </c>
      <c r="M6" s="22">
        <v>192</v>
      </c>
      <c r="N6" s="22">
        <v>3312</v>
      </c>
      <c r="O6" s="27">
        <v>15.180000000000001</v>
      </c>
      <c r="P6" s="23">
        <v>29</v>
      </c>
      <c r="Q6" s="54">
        <v>32</v>
      </c>
      <c r="R6" s="14">
        <v>13920</v>
      </c>
      <c r="S6" s="17">
        <v>2.3736E-2</v>
      </c>
      <c r="T6" s="20">
        <v>3.8266505020946648</v>
      </c>
      <c r="U6" s="17">
        <v>0.94944000000000006</v>
      </c>
      <c r="V6" s="10">
        <f t="shared" si="2"/>
        <v>10.726650502094666</v>
      </c>
      <c r="W6" s="10">
        <v>0</v>
      </c>
      <c r="X6" s="10">
        <f t="shared" si="0"/>
        <v>2.8250000000000002</v>
      </c>
      <c r="Y6" s="10">
        <v>1</v>
      </c>
      <c r="Z6" s="10">
        <f t="shared" ref="Z6:Z28" si="4">AC6*0.064</f>
        <v>1.6</v>
      </c>
      <c r="AA6" s="58">
        <f t="shared" si="3"/>
        <v>26.878301004189332</v>
      </c>
      <c r="AB6" s="59">
        <f t="shared" si="1"/>
        <v>134.39150502094665</v>
      </c>
      <c r="AC6" s="23">
        <v>25</v>
      </c>
      <c r="AD6" s="25"/>
      <c r="AE6" s="25">
        <v>0.42312158512046794</v>
      </c>
      <c r="AF6" s="7">
        <f>AA6/0.8</f>
        <v>33.597876255236663</v>
      </c>
      <c r="AG6" s="7">
        <v>119</v>
      </c>
      <c r="AH6" s="7">
        <f>AF6*4.7</f>
        <v>157.91001839961231</v>
      </c>
      <c r="AI6" s="11">
        <v>139</v>
      </c>
    </row>
    <row r="7" spans="1:35" ht="42" customHeight="1">
      <c r="A7" s="3">
        <v>6</v>
      </c>
      <c r="B7" s="52">
        <v>6973529174016</v>
      </c>
      <c r="C7" s="51" t="s">
        <v>53</v>
      </c>
      <c r="D7" s="50" t="s">
        <v>54</v>
      </c>
      <c r="E7" s="53"/>
      <c r="F7" s="24"/>
      <c r="G7" s="14"/>
      <c r="H7" s="53"/>
      <c r="I7" s="8" t="s">
        <v>88</v>
      </c>
      <c r="J7" s="13">
        <v>3</v>
      </c>
      <c r="K7" s="16"/>
      <c r="L7" s="49"/>
      <c r="M7" s="22"/>
      <c r="N7" s="22"/>
      <c r="O7" s="27"/>
      <c r="P7" s="23"/>
      <c r="Q7" s="54"/>
      <c r="R7" s="14"/>
      <c r="S7" s="17"/>
      <c r="T7" s="20">
        <v>1</v>
      </c>
      <c r="U7" s="17"/>
      <c r="V7" s="10">
        <f t="shared" si="2"/>
        <v>4</v>
      </c>
      <c r="W7" s="10"/>
      <c r="X7" s="10">
        <f t="shared" si="0"/>
        <v>0.90400000000000003</v>
      </c>
      <c r="Y7" s="10">
        <v>0.5</v>
      </c>
      <c r="Z7" s="10">
        <f t="shared" si="4"/>
        <v>0.51200000000000001</v>
      </c>
      <c r="AA7" s="58">
        <f t="shared" si="3"/>
        <v>9.9160000000000004</v>
      </c>
      <c r="AB7" s="59">
        <f t="shared" si="1"/>
        <v>49.58</v>
      </c>
      <c r="AC7" s="23">
        <v>8</v>
      </c>
      <c r="AD7" s="25"/>
      <c r="AE7" s="25"/>
      <c r="AF7" s="55"/>
      <c r="AG7" s="55"/>
      <c r="AH7" s="55"/>
      <c r="AI7" s="11"/>
    </row>
    <row r="8" spans="1:35" ht="42" customHeight="1">
      <c r="A8" s="3">
        <v>7</v>
      </c>
      <c r="B8" s="52">
        <v>6973529174016</v>
      </c>
      <c r="C8" s="51" t="s">
        <v>55</v>
      </c>
      <c r="D8" s="50" t="s">
        <v>56</v>
      </c>
      <c r="E8" s="53"/>
      <c r="F8" s="24"/>
      <c r="G8" s="14"/>
      <c r="H8" s="53"/>
      <c r="I8" s="8" t="s">
        <v>88</v>
      </c>
      <c r="J8" s="13">
        <v>9</v>
      </c>
      <c r="K8" s="16"/>
      <c r="L8" s="49"/>
      <c r="M8" s="22"/>
      <c r="N8" s="22"/>
      <c r="O8" s="27"/>
      <c r="P8" s="23"/>
      <c r="Q8" s="54"/>
      <c r="R8" s="14"/>
      <c r="S8" s="17"/>
      <c r="T8" s="20">
        <v>3</v>
      </c>
      <c r="U8" s="17"/>
      <c r="V8" s="10">
        <f t="shared" si="2"/>
        <v>12</v>
      </c>
      <c r="W8" s="10"/>
      <c r="X8" s="10">
        <f t="shared" si="0"/>
        <v>2.7120000000000002</v>
      </c>
      <c r="Y8" s="10">
        <v>1</v>
      </c>
      <c r="Z8" s="10">
        <f t="shared" si="4"/>
        <v>1.536</v>
      </c>
      <c r="AA8" s="58">
        <f t="shared" si="3"/>
        <v>29.248000000000001</v>
      </c>
      <c r="AB8" s="59">
        <f t="shared" si="1"/>
        <v>146.24</v>
      </c>
      <c r="AC8" s="23">
        <v>24</v>
      </c>
      <c r="AD8" s="25"/>
      <c r="AE8" s="25"/>
      <c r="AF8" s="55"/>
      <c r="AG8" s="55"/>
      <c r="AH8" s="55"/>
      <c r="AI8" s="11"/>
    </row>
    <row r="9" spans="1:35" ht="42" customHeight="1">
      <c r="A9" s="3">
        <v>8</v>
      </c>
      <c r="B9" s="52">
        <v>6973529174016</v>
      </c>
      <c r="C9" s="51" t="s">
        <v>57</v>
      </c>
      <c r="D9" s="50" t="s">
        <v>58</v>
      </c>
      <c r="E9" s="53"/>
      <c r="F9" s="24"/>
      <c r="G9" s="14"/>
      <c r="H9" s="53"/>
      <c r="I9" s="8" t="s">
        <v>88</v>
      </c>
      <c r="J9" s="13">
        <v>18</v>
      </c>
      <c r="K9" s="16"/>
      <c r="L9" s="49"/>
      <c r="M9" s="22"/>
      <c r="N9" s="22"/>
      <c r="O9" s="27"/>
      <c r="P9" s="23"/>
      <c r="Q9" s="54"/>
      <c r="R9" s="14"/>
      <c r="S9" s="17"/>
      <c r="T9" s="20">
        <v>6</v>
      </c>
      <c r="U9" s="17"/>
      <c r="V9" s="10">
        <f t="shared" si="2"/>
        <v>24</v>
      </c>
      <c r="W9" s="10"/>
      <c r="X9" s="10">
        <f t="shared" si="0"/>
        <v>5.4240000000000004</v>
      </c>
      <c r="Y9" s="10">
        <v>1</v>
      </c>
      <c r="Z9" s="10">
        <f t="shared" si="4"/>
        <v>3.0720000000000001</v>
      </c>
      <c r="AA9" s="58">
        <f t="shared" si="3"/>
        <v>57.496000000000002</v>
      </c>
      <c r="AB9" s="59">
        <f t="shared" si="1"/>
        <v>287.48</v>
      </c>
      <c r="AC9" s="23">
        <v>48</v>
      </c>
      <c r="AD9" s="25"/>
      <c r="AE9" s="25"/>
      <c r="AF9" s="55"/>
      <c r="AG9" s="55"/>
      <c r="AH9" s="55"/>
      <c r="AI9" s="11"/>
    </row>
    <row r="10" spans="1:35" ht="42" customHeight="1">
      <c r="A10" s="3">
        <v>9</v>
      </c>
      <c r="B10" s="56"/>
      <c r="C10" s="51"/>
      <c r="D10" s="50"/>
      <c r="E10" s="53"/>
      <c r="F10" s="24"/>
      <c r="G10" s="14"/>
      <c r="H10" s="53"/>
      <c r="I10" s="53"/>
      <c r="J10" s="13"/>
      <c r="K10" s="16"/>
      <c r="L10" s="49"/>
      <c r="M10" s="22"/>
      <c r="N10" s="22"/>
      <c r="O10" s="27"/>
      <c r="P10" s="23"/>
      <c r="Q10" s="54"/>
      <c r="R10" s="14"/>
      <c r="S10" s="17"/>
      <c r="T10" s="20"/>
      <c r="U10" s="17"/>
      <c r="V10" s="10">
        <f t="shared" si="2"/>
        <v>0</v>
      </c>
      <c r="W10" s="10"/>
      <c r="X10" s="10">
        <f t="shared" si="0"/>
        <v>0</v>
      </c>
      <c r="Y10" s="10"/>
      <c r="Z10" s="10">
        <f t="shared" si="4"/>
        <v>0</v>
      </c>
      <c r="AA10" s="58">
        <f t="shared" si="3"/>
        <v>0</v>
      </c>
      <c r="AB10" s="59">
        <f t="shared" si="1"/>
        <v>0</v>
      </c>
      <c r="AC10" s="23">
        <v>0</v>
      </c>
      <c r="AD10" s="25"/>
      <c r="AE10" s="25"/>
      <c r="AF10" s="55"/>
      <c r="AG10" s="55"/>
      <c r="AH10" s="55"/>
      <c r="AI10" s="11"/>
    </row>
    <row r="11" spans="1:35" ht="42" customHeight="1">
      <c r="A11" s="3">
        <v>10</v>
      </c>
      <c r="B11" s="56"/>
      <c r="C11" s="51" t="s">
        <v>59</v>
      </c>
      <c r="D11" s="50" t="s">
        <v>60</v>
      </c>
      <c r="E11" s="53"/>
      <c r="F11" s="24" t="s">
        <v>61</v>
      </c>
      <c r="G11" s="14">
        <v>30</v>
      </c>
      <c r="H11" s="53"/>
      <c r="I11" s="53" t="s">
        <v>62</v>
      </c>
      <c r="J11" s="13">
        <v>5</v>
      </c>
      <c r="K11" s="16"/>
      <c r="L11" s="49"/>
      <c r="M11" s="22"/>
      <c r="N11" s="22"/>
      <c r="O11" s="27"/>
      <c r="P11" s="23"/>
      <c r="Q11" s="54"/>
      <c r="R11" s="14"/>
      <c r="S11" s="17"/>
      <c r="T11" s="20">
        <v>1.1000000000000001</v>
      </c>
      <c r="U11" s="17"/>
      <c r="V11" s="10">
        <f t="shared" si="2"/>
        <v>6.1</v>
      </c>
      <c r="W11" s="10"/>
      <c r="X11" s="10">
        <f t="shared" si="0"/>
        <v>1.2430000000000001</v>
      </c>
      <c r="Y11" s="10">
        <v>0.5</v>
      </c>
      <c r="Z11" s="10">
        <f t="shared" si="4"/>
        <v>0.70399999999999996</v>
      </c>
      <c r="AA11" s="58">
        <f t="shared" si="3"/>
        <v>14.647</v>
      </c>
      <c r="AB11" s="59">
        <f t="shared" si="1"/>
        <v>73.234999999999999</v>
      </c>
      <c r="AC11" s="23">
        <v>11</v>
      </c>
      <c r="AD11" s="25"/>
      <c r="AE11" s="25"/>
      <c r="AF11" s="55"/>
      <c r="AG11" s="55"/>
      <c r="AH11" s="55"/>
      <c r="AI11" s="11"/>
    </row>
    <row r="12" spans="1:35" ht="42" customHeight="1">
      <c r="A12" s="3">
        <v>11</v>
      </c>
      <c r="B12" s="56"/>
      <c r="C12" s="51" t="s">
        <v>63</v>
      </c>
      <c r="D12" s="63" t="s">
        <v>64</v>
      </c>
      <c r="E12" s="53"/>
      <c r="F12" s="24"/>
      <c r="G12" s="14"/>
      <c r="H12" s="53"/>
      <c r="I12" s="53" t="s">
        <v>62</v>
      </c>
      <c r="J12" s="13">
        <v>10</v>
      </c>
      <c r="K12" s="16"/>
      <c r="L12" s="49"/>
      <c r="M12" s="22"/>
      <c r="N12" s="22"/>
      <c r="O12" s="27"/>
      <c r="P12" s="23"/>
      <c r="Q12" s="54"/>
      <c r="R12" s="14"/>
      <c r="S12" s="17"/>
      <c r="T12" s="20">
        <v>2.2000000000000002</v>
      </c>
      <c r="U12" s="17"/>
      <c r="V12" s="10">
        <f t="shared" si="2"/>
        <v>12.2</v>
      </c>
      <c r="W12" s="10"/>
      <c r="X12" s="10">
        <f t="shared" si="0"/>
        <v>2.4521000000000002</v>
      </c>
      <c r="Y12" s="10">
        <v>0.5</v>
      </c>
      <c r="Z12" s="10">
        <f t="shared" si="4"/>
        <v>1.3888</v>
      </c>
      <c r="AA12" s="58">
        <f t="shared" si="3"/>
        <v>28.7409</v>
      </c>
      <c r="AB12" s="59">
        <f t="shared" si="1"/>
        <v>143.7045</v>
      </c>
      <c r="AC12" s="23">
        <v>21.7</v>
      </c>
      <c r="AD12" s="25"/>
      <c r="AE12" s="25"/>
      <c r="AF12" s="55"/>
      <c r="AG12" s="55"/>
      <c r="AH12" s="55"/>
      <c r="AI12" s="11"/>
    </row>
    <row r="13" spans="1:35" ht="42" customHeight="1">
      <c r="A13" s="3">
        <v>12</v>
      </c>
      <c r="B13" s="56"/>
      <c r="C13" s="51" t="s">
        <v>65</v>
      </c>
      <c r="D13" s="63" t="s">
        <v>66</v>
      </c>
      <c r="E13" s="53"/>
      <c r="F13" s="24"/>
      <c r="G13" s="14"/>
      <c r="H13" s="53"/>
      <c r="I13" s="53" t="s">
        <v>62</v>
      </c>
      <c r="J13" s="13">
        <v>15</v>
      </c>
      <c r="K13" s="16"/>
      <c r="L13" s="49"/>
      <c r="M13" s="22"/>
      <c r="N13" s="22"/>
      <c r="O13" s="27"/>
      <c r="P13" s="23"/>
      <c r="Q13" s="54"/>
      <c r="R13" s="14"/>
      <c r="S13" s="17"/>
      <c r="T13" s="20">
        <v>3.3</v>
      </c>
      <c r="U13" s="17"/>
      <c r="V13" s="10">
        <f t="shared" si="2"/>
        <v>18.3</v>
      </c>
      <c r="W13" s="10"/>
      <c r="X13" s="10">
        <f t="shared" si="0"/>
        <v>3.7290000000000001</v>
      </c>
      <c r="Y13" s="10">
        <v>0.5</v>
      </c>
      <c r="Z13" s="10">
        <f t="shared" si="4"/>
        <v>2.1120000000000001</v>
      </c>
      <c r="AA13" s="58">
        <f t="shared" si="3"/>
        <v>42.941000000000003</v>
      </c>
      <c r="AB13" s="59">
        <f t="shared" si="1"/>
        <v>214.70500000000001</v>
      </c>
      <c r="AC13" s="23">
        <v>33</v>
      </c>
      <c r="AD13" s="25"/>
      <c r="AE13" s="25"/>
      <c r="AF13" s="55"/>
      <c r="AG13" s="55"/>
      <c r="AH13" s="55"/>
      <c r="AI13" s="11"/>
    </row>
    <row r="14" spans="1:35" ht="42" customHeight="1">
      <c r="A14" s="3">
        <v>13</v>
      </c>
      <c r="B14" s="56"/>
      <c r="C14" s="51" t="s">
        <v>65</v>
      </c>
      <c r="D14" s="63" t="s">
        <v>66</v>
      </c>
      <c r="E14" s="53"/>
      <c r="F14" s="24"/>
      <c r="G14" s="14"/>
      <c r="H14" s="53"/>
      <c r="I14" s="53" t="s">
        <v>62</v>
      </c>
      <c r="J14" s="13">
        <v>15</v>
      </c>
      <c r="K14" s="16"/>
      <c r="L14" s="49"/>
      <c r="M14" s="22"/>
      <c r="N14" s="22"/>
      <c r="O14" s="27"/>
      <c r="P14" s="23"/>
      <c r="Q14" s="54"/>
      <c r="R14" s="14"/>
      <c r="S14" s="17"/>
      <c r="T14" s="20">
        <v>3.3</v>
      </c>
      <c r="U14" s="17"/>
      <c r="V14" s="10">
        <f t="shared" si="2"/>
        <v>18.3</v>
      </c>
      <c r="W14" s="10"/>
      <c r="X14" s="10">
        <f t="shared" si="0"/>
        <v>3.7290000000000001</v>
      </c>
      <c r="Y14" s="10">
        <v>0.8</v>
      </c>
      <c r="Z14" s="10">
        <f t="shared" si="4"/>
        <v>2.1120000000000001</v>
      </c>
      <c r="AA14" s="58">
        <f t="shared" si="3"/>
        <v>43.241</v>
      </c>
      <c r="AB14" s="59">
        <f t="shared" si="1"/>
        <v>216.20499999999998</v>
      </c>
      <c r="AC14" s="23">
        <v>33</v>
      </c>
      <c r="AD14" s="25"/>
      <c r="AE14" s="25"/>
      <c r="AF14" s="55"/>
      <c r="AG14" s="55"/>
      <c r="AH14" s="55"/>
      <c r="AI14" s="11"/>
    </row>
    <row r="15" spans="1:35" ht="42" customHeight="1">
      <c r="A15" s="3">
        <v>14</v>
      </c>
      <c r="B15" s="56"/>
      <c r="C15" s="51" t="s">
        <v>67</v>
      </c>
      <c r="D15" s="50" t="s">
        <v>68</v>
      </c>
      <c r="E15" s="53"/>
      <c r="F15" s="24"/>
      <c r="G15" s="14"/>
      <c r="H15" s="53"/>
      <c r="I15" s="53" t="s">
        <v>62</v>
      </c>
      <c r="J15" s="13">
        <v>2.5</v>
      </c>
      <c r="K15" s="16"/>
      <c r="L15" s="49"/>
      <c r="M15" s="22"/>
      <c r="N15" s="22"/>
      <c r="O15" s="27"/>
      <c r="P15" s="23"/>
      <c r="Q15" s="54"/>
      <c r="R15" s="14"/>
      <c r="S15" s="17"/>
      <c r="T15" s="20">
        <v>0.55000000000000004</v>
      </c>
      <c r="U15" s="17"/>
      <c r="V15" s="10">
        <f t="shared" si="2"/>
        <v>3.05</v>
      </c>
      <c r="W15" s="10"/>
      <c r="X15" s="10">
        <f t="shared" si="0"/>
        <v>0.79100000000000004</v>
      </c>
      <c r="Y15" s="10">
        <v>0.5</v>
      </c>
      <c r="Z15" s="10">
        <f t="shared" si="4"/>
        <v>0.44800000000000001</v>
      </c>
      <c r="AA15" s="58">
        <f t="shared" si="3"/>
        <v>7.8389999999999995</v>
      </c>
      <c r="AB15" s="59">
        <f t="shared" si="1"/>
        <v>39.195</v>
      </c>
      <c r="AC15" s="23">
        <v>7</v>
      </c>
      <c r="AD15" s="25"/>
      <c r="AE15" s="25"/>
      <c r="AF15" s="55"/>
      <c r="AG15" s="55"/>
      <c r="AH15" s="55"/>
      <c r="AI15" s="11"/>
    </row>
    <row r="16" spans="1:35" ht="42" customHeight="1">
      <c r="A16" s="3">
        <v>15</v>
      </c>
      <c r="B16" s="56"/>
      <c r="C16" s="51" t="s">
        <v>69</v>
      </c>
      <c r="D16" s="50" t="s">
        <v>60</v>
      </c>
      <c r="E16" s="53"/>
      <c r="F16" s="24" t="s">
        <v>61</v>
      </c>
      <c r="G16" s="14"/>
      <c r="H16" s="53"/>
      <c r="I16" s="53" t="s">
        <v>62</v>
      </c>
      <c r="J16" s="13">
        <v>5</v>
      </c>
      <c r="K16" s="16"/>
      <c r="L16" s="49"/>
      <c r="M16" s="22"/>
      <c r="N16" s="22"/>
      <c r="O16" s="27"/>
      <c r="P16" s="23"/>
      <c r="Q16" s="54"/>
      <c r="R16" s="14"/>
      <c r="S16" s="17"/>
      <c r="T16" s="20">
        <v>1.1000000000000001</v>
      </c>
      <c r="U16" s="17"/>
      <c r="V16" s="10">
        <f t="shared" si="2"/>
        <v>6.1</v>
      </c>
      <c r="W16" s="10"/>
      <c r="X16" s="10">
        <f t="shared" si="0"/>
        <v>1.6272</v>
      </c>
      <c r="Y16" s="10">
        <v>0.5</v>
      </c>
      <c r="Z16" s="10">
        <f t="shared" si="4"/>
        <v>0.92160000000000009</v>
      </c>
      <c r="AA16" s="58">
        <f t="shared" si="3"/>
        <v>15.248799999999999</v>
      </c>
      <c r="AB16" s="59">
        <f t="shared" si="1"/>
        <v>76.244</v>
      </c>
      <c r="AC16" s="23">
        <v>14.4</v>
      </c>
      <c r="AD16" s="25"/>
      <c r="AE16" s="25"/>
      <c r="AF16" s="55"/>
      <c r="AG16" s="55"/>
      <c r="AH16" s="55"/>
      <c r="AI16" s="11"/>
    </row>
    <row r="17" spans="1:35" ht="42" customHeight="1">
      <c r="A17" s="3">
        <v>16</v>
      </c>
      <c r="B17" s="56"/>
      <c r="C17" s="51" t="s">
        <v>70</v>
      </c>
      <c r="D17" s="63" t="s">
        <v>64</v>
      </c>
      <c r="E17" s="53"/>
      <c r="F17" s="24"/>
      <c r="G17" s="14"/>
      <c r="H17" s="53"/>
      <c r="I17" s="53" t="s">
        <v>62</v>
      </c>
      <c r="J17" s="13">
        <v>10</v>
      </c>
      <c r="K17" s="16"/>
      <c r="L17" s="49"/>
      <c r="M17" s="22"/>
      <c r="N17" s="22"/>
      <c r="O17" s="27"/>
      <c r="P17" s="23"/>
      <c r="Q17" s="54"/>
      <c r="R17" s="14"/>
      <c r="S17" s="17"/>
      <c r="T17" s="20">
        <v>2.2000000000000002</v>
      </c>
      <c r="U17" s="17"/>
      <c r="V17" s="10">
        <f t="shared" si="2"/>
        <v>12.2</v>
      </c>
      <c r="W17" s="10"/>
      <c r="X17" s="10">
        <f t="shared" si="0"/>
        <v>2.8475999999999999</v>
      </c>
      <c r="Y17" s="10">
        <v>0.5</v>
      </c>
      <c r="Z17" s="10">
        <f t="shared" si="4"/>
        <v>1.6128</v>
      </c>
      <c r="AA17" s="58">
        <f t="shared" si="3"/>
        <v>29.360399999999998</v>
      </c>
      <c r="AB17" s="59">
        <f t="shared" si="1"/>
        <v>146.80199999999999</v>
      </c>
      <c r="AC17" s="23">
        <v>25.2</v>
      </c>
      <c r="AD17" s="25"/>
      <c r="AE17" s="25"/>
      <c r="AF17" s="55"/>
      <c r="AG17" s="55"/>
      <c r="AH17" s="55"/>
      <c r="AI17" s="11"/>
    </row>
    <row r="18" spans="1:35" ht="42" customHeight="1">
      <c r="A18" s="3">
        <v>17</v>
      </c>
      <c r="B18" s="56"/>
      <c r="C18" s="51" t="s">
        <v>71</v>
      </c>
      <c r="D18" s="63" t="s">
        <v>66</v>
      </c>
      <c r="E18" s="53"/>
      <c r="F18" s="24"/>
      <c r="G18" s="14"/>
      <c r="H18" s="53"/>
      <c r="I18" s="53" t="s">
        <v>62</v>
      </c>
      <c r="J18" s="13">
        <v>15</v>
      </c>
      <c r="K18" s="16"/>
      <c r="L18" s="49"/>
      <c r="M18" s="22"/>
      <c r="N18" s="22"/>
      <c r="O18" s="27"/>
      <c r="P18" s="23"/>
      <c r="Q18" s="54"/>
      <c r="R18" s="14"/>
      <c r="S18" s="17"/>
      <c r="T18" s="20">
        <v>3.3</v>
      </c>
      <c r="U18" s="17"/>
      <c r="V18" s="10">
        <f t="shared" si="2"/>
        <v>18.3</v>
      </c>
      <c r="W18" s="10"/>
      <c r="X18" s="10">
        <f t="shared" si="0"/>
        <v>3.9776000000000002</v>
      </c>
      <c r="Y18" s="10">
        <v>0.8</v>
      </c>
      <c r="Z18" s="10">
        <f t="shared" si="4"/>
        <v>2.2528000000000001</v>
      </c>
      <c r="AA18" s="58">
        <f t="shared" si="3"/>
        <v>43.630400000000002</v>
      </c>
      <c r="AB18" s="59">
        <f t="shared" si="1"/>
        <v>218.15200000000002</v>
      </c>
      <c r="AC18" s="23">
        <v>35.200000000000003</v>
      </c>
      <c r="AD18" s="25"/>
      <c r="AE18" s="25"/>
      <c r="AF18" s="55"/>
      <c r="AG18" s="55"/>
      <c r="AH18" s="55"/>
      <c r="AI18" s="11"/>
    </row>
    <row r="19" spans="1:35" ht="42" customHeight="1">
      <c r="A19" s="3">
        <v>18</v>
      </c>
      <c r="B19" s="56"/>
      <c r="C19" s="51" t="s">
        <v>72</v>
      </c>
      <c r="D19" s="50" t="s">
        <v>73</v>
      </c>
      <c r="E19" s="53"/>
      <c r="F19" s="24" t="s">
        <v>74</v>
      </c>
      <c r="G19" s="14"/>
      <c r="H19" s="53"/>
      <c r="I19" s="53" t="s">
        <v>62</v>
      </c>
      <c r="J19" s="13">
        <v>5.6</v>
      </c>
      <c r="K19" s="16"/>
      <c r="L19" s="49"/>
      <c r="M19" s="22"/>
      <c r="N19" s="22"/>
      <c r="O19" s="27"/>
      <c r="P19" s="23"/>
      <c r="Q19" s="54"/>
      <c r="R19" s="14"/>
      <c r="S19" s="17"/>
      <c r="T19" s="20">
        <v>1.1000000000000001</v>
      </c>
      <c r="U19" s="17"/>
      <c r="V19" s="10">
        <f t="shared" si="2"/>
        <v>6.6999999999999993</v>
      </c>
      <c r="W19" s="10"/>
      <c r="X19" s="10">
        <f t="shared" si="0"/>
        <v>1.8306</v>
      </c>
      <c r="Y19" s="10">
        <v>1</v>
      </c>
      <c r="Z19" s="10">
        <f t="shared" si="4"/>
        <v>1.0367999999999999</v>
      </c>
      <c r="AA19" s="58">
        <f t="shared" si="3"/>
        <v>17.267399999999999</v>
      </c>
      <c r="AB19" s="59">
        <f t="shared" si="1"/>
        <v>86.336999999999989</v>
      </c>
      <c r="AC19" s="23">
        <v>16.2</v>
      </c>
      <c r="AD19" s="25"/>
      <c r="AE19" s="25"/>
      <c r="AF19" s="55"/>
      <c r="AG19" s="55"/>
      <c r="AH19" s="55"/>
      <c r="AI19" s="11"/>
    </row>
    <row r="20" spans="1:35" ht="42" customHeight="1">
      <c r="A20" s="3">
        <v>19</v>
      </c>
      <c r="B20" s="56"/>
      <c r="C20" s="51" t="s">
        <v>75</v>
      </c>
      <c r="D20" s="50" t="s">
        <v>76</v>
      </c>
      <c r="E20" s="53"/>
      <c r="F20" s="24"/>
      <c r="G20" s="14"/>
      <c r="H20" s="53"/>
      <c r="I20" s="53" t="s">
        <v>62</v>
      </c>
      <c r="J20" s="13">
        <v>11.2</v>
      </c>
      <c r="K20" s="16"/>
      <c r="L20" s="49"/>
      <c r="M20" s="22"/>
      <c r="N20" s="22"/>
      <c r="O20" s="27"/>
      <c r="P20" s="23"/>
      <c r="Q20" s="54"/>
      <c r="R20" s="14"/>
      <c r="S20" s="17"/>
      <c r="T20" s="20">
        <v>2.2000000000000002</v>
      </c>
      <c r="U20" s="17"/>
      <c r="V20" s="10">
        <f t="shared" si="2"/>
        <v>13.399999999999999</v>
      </c>
      <c r="W20" s="10"/>
      <c r="X20" s="10">
        <f t="shared" si="0"/>
        <v>3.1979000000000002</v>
      </c>
      <c r="Y20" s="10">
        <v>1</v>
      </c>
      <c r="Z20" s="10">
        <f t="shared" si="4"/>
        <v>1.8112000000000001</v>
      </c>
      <c r="AA20" s="58">
        <f t="shared" si="3"/>
        <v>32.809100000000001</v>
      </c>
      <c r="AB20" s="59">
        <f t="shared" si="1"/>
        <v>164.0455</v>
      </c>
      <c r="AC20" s="23">
        <v>28.3</v>
      </c>
      <c r="AD20" s="25"/>
      <c r="AE20" s="25"/>
      <c r="AF20" s="55"/>
      <c r="AG20" s="55"/>
      <c r="AH20" s="55"/>
      <c r="AI20" s="11"/>
    </row>
    <row r="21" spans="1:35" ht="42" customHeight="1">
      <c r="A21" s="3">
        <v>20</v>
      </c>
      <c r="B21" s="56"/>
      <c r="C21" s="51" t="s">
        <v>77</v>
      </c>
      <c r="D21" s="50" t="s">
        <v>78</v>
      </c>
      <c r="E21" s="53"/>
      <c r="F21" s="24"/>
      <c r="G21" s="14"/>
      <c r="H21" s="53"/>
      <c r="I21" s="53" t="s">
        <v>62</v>
      </c>
      <c r="J21" s="13">
        <v>11.2</v>
      </c>
      <c r="K21" s="16"/>
      <c r="L21" s="49"/>
      <c r="M21" s="22"/>
      <c r="N21" s="22"/>
      <c r="O21" s="27"/>
      <c r="P21" s="23"/>
      <c r="Q21" s="54"/>
      <c r="R21" s="14"/>
      <c r="S21" s="17"/>
      <c r="T21" s="20">
        <v>2.2000000000000002</v>
      </c>
      <c r="U21" s="17"/>
      <c r="V21" s="10">
        <f t="shared" si="2"/>
        <v>13.399999999999999</v>
      </c>
      <c r="W21" s="10"/>
      <c r="X21" s="10">
        <f t="shared" si="0"/>
        <v>3.1979000000000002</v>
      </c>
      <c r="Y21" s="10">
        <v>1</v>
      </c>
      <c r="Z21" s="10">
        <f t="shared" si="4"/>
        <v>1.8112000000000001</v>
      </c>
      <c r="AA21" s="58">
        <f t="shared" si="3"/>
        <v>32.809100000000001</v>
      </c>
      <c r="AB21" s="59">
        <f t="shared" si="1"/>
        <v>164.0455</v>
      </c>
      <c r="AC21" s="23">
        <v>28.3</v>
      </c>
      <c r="AD21" s="25"/>
      <c r="AE21" s="25"/>
      <c r="AF21" s="55"/>
      <c r="AG21" s="55"/>
      <c r="AH21" s="55"/>
      <c r="AI21" s="11"/>
    </row>
    <row r="22" spans="1:35" ht="42" customHeight="1">
      <c r="A22" s="3">
        <v>21</v>
      </c>
      <c r="B22" s="56"/>
      <c r="C22" s="51" t="s">
        <v>79</v>
      </c>
      <c r="D22" s="50" t="s">
        <v>80</v>
      </c>
      <c r="E22" s="53"/>
      <c r="F22" s="24"/>
      <c r="G22" s="14"/>
      <c r="H22" s="53"/>
      <c r="I22" s="53" t="s">
        <v>62</v>
      </c>
      <c r="J22" s="13">
        <v>16.8</v>
      </c>
      <c r="K22" s="16"/>
      <c r="L22" s="49"/>
      <c r="M22" s="22"/>
      <c r="N22" s="22"/>
      <c r="O22" s="27"/>
      <c r="P22" s="23"/>
      <c r="Q22" s="54"/>
      <c r="R22" s="14"/>
      <c r="S22" s="17"/>
      <c r="T22" s="20">
        <v>3.3</v>
      </c>
      <c r="U22" s="17"/>
      <c r="V22" s="10">
        <f t="shared" si="2"/>
        <v>20.100000000000001</v>
      </c>
      <c r="W22" s="10"/>
      <c r="X22" s="10">
        <f t="shared" si="0"/>
        <v>4.4409000000000001</v>
      </c>
      <c r="Y22" s="10">
        <v>1</v>
      </c>
      <c r="Z22" s="10">
        <f t="shared" si="4"/>
        <v>2.5151999999999997</v>
      </c>
      <c r="AA22" s="58">
        <f t="shared" si="3"/>
        <v>48.156100000000002</v>
      </c>
      <c r="AB22" s="59">
        <f t="shared" si="1"/>
        <v>240.78050000000002</v>
      </c>
      <c r="AC22" s="23">
        <v>39.299999999999997</v>
      </c>
      <c r="AD22" s="25"/>
      <c r="AE22" s="25"/>
      <c r="AF22" s="55"/>
      <c r="AG22" s="55"/>
      <c r="AH22" s="55"/>
      <c r="AI22" s="11"/>
    </row>
    <row r="23" spans="1:35" ht="42" customHeight="1">
      <c r="A23" s="3">
        <v>22</v>
      </c>
      <c r="B23" s="56"/>
      <c r="C23" s="51" t="s">
        <v>81</v>
      </c>
      <c r="D23" s="50" t="s">
        <v>82</v>
      </c>
      <c r="E23" s="53"/>
      <c r="F23" s="24"/>
      <c r="G23" s="14"/>
      <c r="H23" s="53"/>
      <c r="I23" s="53" t="s">
        <v>62</v>
      </c>
      <c r="J23" s="13">
        <v>2.8</v>
      </c>
      <c r="K23" s="16"/>
      <c r="L23" s="49"/>
      <c r="M23" s="22"/>
      <c r="N23" s="22"/>
      <c r="O23" s="27"/>
      <c r="P23" s="23"/>
      <c r="Q23" s="54"/>
      <c r="R23" s="14"/>
      <c r="S23" s="17"/>
      <c r="T23" s="20">
        <v>0.55000000000000004</v>
      </c>
      <c r="U23" s="17"/>
      <c r="V23" s="10">
        <f t="shared" si="2"/>
        <v>3.3499999999999996</v>
      </c>
      <c r="W23" s="10"/>
      <c r="X23" s="10">
        <f t="shared" si="0"/>
        <v>1.1300000000000001</v>
      </c>
      <c r="Y23" s="10">
        <v>1</v>
      </c>
      <c r="Z23" s="10">
        <f t="shared" si="4"/>
        <v>0.64</v>
      </c>
      <c r="AA23" s="58">
        <f t="shared" si="3"/>
        <v>9.4699999999999989</v>
      </c>
      <c r="AB23" s="59">
        <f t="shared" si="1"/>
        <v>47.349999999999994</v>
      </c>
      <c r="AC23" s="23">
        <v>10</v>
      </c>
      <c r="AD23" s="25"/>
      <c r="AE23" s="25"/>
      <c r="AF23" s="55"/>
      <c r="AG23" s="55"/>
      <c r="AH23" s="55"/>
      <c r="AI23" s="11"/>
    </row>
    <row r="24" spans="1:35" ht="42" customHeight="1">
      <c r="A24" s="3">
        <v>23</v>
      </c>
      <c r="B24" s="56"/>
      <c r="C24" s="51" t="s">
        <v>83</v>
      </c>
      <c r="D24" s="50" t="s">
        <v>84</v>
      </c>
      <c r="E24" s="53"/>
      <c r="F24" s="24" t="s">
        <v>74</v>
      </c>
      <c r="G24" s="14"/>
      <c r="H24" s="53"/>
      <c r="I24" s="53" t="s">
        <v>62</v>
      </c>
      <c r="J24" s="13">
        <v>2.8</v>
      </c>
      <c r="K24" s="16"/>
      <c r="L24" s="49"/>
      <c r="M24" s="22"/>
      <c r="N24" s="22"/>
      <c r="O24" s="27"/>
      <c r="P24" s="23"/>
      <c r="Q24" s="54"/>
      <c r="R24" s="14"/>
      <c r="S24" s="17"/>
      <c r="T24" s="20">
        <v>0.55000000000000004</v>
      </c>
      <c r="U24" s="17"/>
      <c r="V24" s="10">
        <f t="shared" si="2"/>
        <v>3.3499999999999996</v>
      </c>
      <c r="W24" s="10"/>
      <c r="X24" s="10">
        <f t="shared" si="0"/>
        <v>1.1300000000000001</v>
      </c>
      <c r="Y24" s="10">
        <v>1</v>
      </c>
      <c r="Z24" s="10">
        <f t="shared" si="4"/>
        <v>0.64</v>
      </c>
      <c r="AA24" s="58">
        <f t="shared" si="3"/>
        <v>9.4699999999999989</v>
      </c>
      <c r="AB24" s="59">
        <f t="shared" si="1"/>
        <v>47.349999999999994</v>
      </c>
      <c r="AC24" s="23">
        <v>10</v>
      </c>
      <c r="AD24" s="25"/>
      <c r="AE24" s="25"/>
      <c r="AF24" s="55"/>
      <c r="AG24" s="55"/>
      <c r="AH24" s="55"/>
      <c r="AI24" s="11"/>
    </row>
    <row r="25" spans="1:35" ht="42" customHeight="1">
      <c r="A25" s="3">
        <v>24</v>
      </c>
      <c r="B25" s="56"/>
      <c r="C25" s="51" t="s">
        <v>85</v>
      </c>
      <c r="D25" s="50" t="s">
        <v>73</v>
      </c>
      <c r="E25" s="53"/>
      <c r="F25" s="24"/>
      <c r="G25" s="14"/>
      <c r="H25" s="53"/>
      <c r="I25" s="53" t="s">
        <v>62</v>
      </c>
      <c r="J25" s="13">
        <v>5.6</v>
      </c>
      <c r="K25" s="16"/>
      <c r="L25" s="49"/>
      <c r="M25" s="22"/>
      <c r="N25" s="22"/>
      <c r="O25" s="27"/>
      <c r="P25" s="23"/>
      <c r="Q25" s="54"/>
      <c r="R25" s="14"/>
      <c r="S25" s="17"/>
      <c r="T25" s="20">
        <v>1.1000000000000001</v>
      </c>
      <c r="U25" s="17"/>
      <c r="V25" s="10">
        <f t="shared" si="2"/>
        <v>6.6999999999999993</v>
      </c>
      <c r="W25" s="10"/>
      <c r="X25" s="10">
        <f t="shared" si="0"/>
        <v>1.6611</v>
      </c>
      <c r="Y25" s="10">
        <v>1</v>
      </c>
      <c r="Z25" s="10">
        <f t="shared" si="4"/>
        <v>0.94079999999999997</v>
      </c>
      <c r="AA25" s="58">
        <f t="shared" si="3"/>
        <v>17.001899999999999</v>
      </c>
      <c r="AB25" s="59">
        <f t="shared" si="1"/>
        <v>85.009500000000003</v>
      </c>
      <c r="AC25" s="23">
        <v>14.7</v>
      </c>
      <c r="AD25" s="25"/>
      <c r="AE25" s="25"/>
      <c r="AF25" s="55"/>
      <c r="AG25" s="55"/>
      <c r="AH25" s="55"/>
      <c r="AI25" s="11"/>
    </row>
    <row r="26" spans="1:35" ht="42" customHeight="1">
      <c r="A26" s="3">
        <v>25</v>
      </c>
      <c r="B26" s="56"/>
      <c r="C26" s="51" t="s">
        <v>86</v>
      </c>
      <c r="D26" s="50" t="s">
        <v>78</v>
      </c>
      <c r="E26" s="53"/>
      <c r="F26" s="24"/>
      <c r="G26" s="14"/>
      <c r="H26" s="53"/>
      <c r="I26" s="53" t="s">
        <v>62</v>
      </c>
      <c r="J26" s="13">
        <v>11.2</v>
      </c>
      <c r="K26" s="16"/>
      <c r="L26" s="49"/>
      <c r="M26" s="22"/>
      <c r="N26" s="22"/>
      <c r="O26" s="27"/>
      <c r="P26" s="23"/>
      <c r="Q26" s="54"/>
      <c r="R26" s="14"/>
      <c r="S26" s="17"/>
      <c r="T26" s="20">
        <v>2.2000000000000002</v>
      </c>
      <c r="U26" s="17"/>
      <c r="V26" s="10">
        <f t="shared" si="2"/>
        <v>13.399999999999999</v>
      </c>
      <c r="W26" s="10"/>
      <c r="X26" s="10">
        <f t="shared" si="0"/>
        <v>3.0058000000000002</v>
      </c>
      <c r="Y26" s="10">
        <v>1</v>
      </c>
      <c r="Z26" s="10">
        <f t="shared" si="4"/>
        <v>1.7024000000000001</v>
      </c>
      <c r="AA26" s="58">
        <f t="shared" si="3"/>
        <v>32.508200000000002</v>
      </c>
      <c r="AB26" s="59">
        <f t="shared" si="1"/>
        <v>162.541</v>
      </c>
      <c r="AC26" s="23">
        <v>26.6</v>
      </c>
      <c r="AD26" s="25"/>
      <c r="AE26" s="25"/>
      <c r="AF26" s="55"/>
      <c r="AG26" s="55"/>
      <c r="AH26" s="55"/>
      <c r="AI26" s="11"/>
    </row>
    <row r="27" spans="1:35" ht="42" customHeight="1">
      <c r="A27" s="3">
        <v>26</v>
      </c>
      <c r="B27" s="56"/>
      <c r="C27" s="51" t="s">
        <v>87</v>
      </c>
      <c r="D27" s="50" t="s">
        <v>80</v>
      </c>
      <c r="E27" s="53"/>
      <c r="F27" s="24"/>
      <c r="G27" s="14"/>
      <c r="H27" s="53"/>
      <c r="I27" s="53" t="s">
        <v>62</v>
      </c>
      <c r="J27" s="13">
        <v>16.8</v>
      </c>
      <c r="K27" s="16"/>
      <c r="L27" s="49"/>
      <c r="M27" s="22"/>
      <c r="N27" s="22"/>
      <c r="O27" s="27"/>
      <c r="P27" s="23"/>
      <c r="Q27" s="54"/>
      <c r="R27" s="14"/>
      <c r="S27" s="17"/>
      <c r="T27" s="20">
        <v>3.3</v>
      </c>
      <c r="U27" s="17"/>
      <c r="V27" s="10">
        <f t="shared" si="2"/>
        <v>20.100000000000001</v>
      </c>
      <c r="W27" s="10"/>
      <c r="X27" s="10">
        <f t="shared" si="0"/>
        <v>4.1358000000000006</v>
      </c>
      <c r="Y27" s="10">
        <v>1</v>
      </c>
      <c r="Z27" s="10">
        <f t="shared" si="4"/>
        <v>2.3424</v>
      </c>
      <c r="AA27" s="58">
        <f t="shared" si="3"/>
        <v>47.678200000000004</v>
      </c>
      <c r="AB27" s="59">
        <f t="shared" si="1"/>
        <v>238.39100000000002</v>
      </c>
      <c r="AC27" s="23">
        <v>36.6</v>
      </c>
      <c r="AD27" s="25"/>
      <c r="AE27" s="25"/>
      <c r="AF27" s="55"/>
      <c r="AG27" s="55"/>
      <c r="AH27" s="55"/>
      <c r="AI27" s="11"/>
    </row>
    <row r="28" spans="1:35" ht="42" customHeight="1">
      <c r="A28" s="3">
        <v>27</v>
      </c>
      <c r="B28" s="56"/>
      <c r="C28" s="51"/>
      <c r="D28" s="50"/>
      <c r="E28" s="53"/>
      <c r="F28" s="24"/>
      <c r="G28" s="14"/>
      <c r="H28" s="53"/>
      <c r="I28" s="53"/>
      <c r="J28" s="13"/>
      <c r="K28" s="16"/>
      <c r="L28" s="49"/>
      <c r="M28" s="22"/>
      <c r="N28" s="22"/>
      <c r="O28" s="27"/>
      <c r="P28" s="23"/>
      <c r="Q28" s="54"/>
      <c r="R28" s="14"/>
      <c r="S28" s="17"/>
      <c r="T28" s="20"/>
      <c r="U28" s="17"/>
      <c r="V28" s="10"/>
      <c r="W28" s="10"/>
      <c r="X28" s="10">
        <f>AC28*0.096</f>
        <v>0</v>
      </c>
      <c r="Y28" s="10"/>
      <c r="Z28" s="10">
        <f t="shared" si="4"/>
        <v>0</v>
      </c>
      <c r="AA28" s="58">
        <f t="shared" si="3"/>
        <v>0</v>
      </c>
      <c r="AB28" s="59">
        <f t="shared" si="1"/>
        <v>0</v>
      </c>
      <c r="AC28" s="23">
        <v>0</v>
      </c>
      <c r="AD28" s="25"/>
      <c r="AE28" s="25"/>
      <c r="AF28" s="55"/>
      <c r="AG28" s="55"/>
      <c r="AH28" s="55"/>
      <c r="AI28" s="11"/>
    </row>
    <row r="29" spans="1:35" ht="17">
      <c r="A29" s="3"/>
      <c r="B29" s="2"/>
      <c r="C29" s="5"/>
      <c r="D29" s="64"/>
      <c r="E29" s="2"/>
      <c r="F29" s="2"/>
      <c r="G29" s="2"/>
      <c r="H29" s="2"/>
      <c r="I29" s="2"/>
      <c r="J29" s="2"/>
      <c r="K29" s="2"/>
      <c r="L29" s="2"/>
      <c r="M29" s="4"/>
      <c r="N29" s="2"/>
      <c r="O29" s="2"/>
      <c r="P29" s="2"/>
      <c r="Q29" s="2"/>
      <c r="R29" s="2"/>
      <c r="S29" s="6"/>
      <c r="T29" s="4"/>
      <c r="U29" s="4"/>
      <c r="V29" s="2"/>
      <c r="W29" s="2"/>
      <c r="X29" s="2"/>
      <c r="Y29" s="2"/>
      <c r="Z29" s="2"/>
      <c r="AA29" s="60"/>
      <c r="AB29" s="60"/>
      <c r="AC29" s="2"/>
      <c r="AD29" s="2"/>
      <c r="AE29" s="2"/>
      <c r="AF29" s="2"/>
      <c r="AG29" s="2"/>
      <c r="AH29" s="2"/>
      <c r="AI29" s="2"/>
    </row>
    <row r="30" spans="1:35">
      <c r="C30" s="1"/>
    </row>
    <row r="31" spans="1:35">
      <c r="C31" s="1"/>
    </row>
    <row r="32" spans="1:35">
      <c r="C32" s="1"/>
    </row>
    <row r="33" spans="3:3">
      <c r="C33" s="1"/>
    </row>
    <row r="34" spans="3:3">
      <c r="C34" s="1"/>
    </row>
    <row r="35" spans="3:3">
      <c r="C35" s="1"/>
    </row>
    <row r="36" spans="3:3">
      <c r="C36" s="1"/>
    </row>
    <row r="37" spans="3:3">
      <c r="C37" s="1"/>
    </row>
    <row r="38" spans="3:3">
      <c r="C38" s="1"/>
    </row>
    <row r="39" spans="3:3">
      <c r="C39" s="1"/>
    </row>
    <row r="40" spans="3:3">
      <c r="C40" s="1"/>
    </row>
    <row r="41" spans="3:3">
      <c r="C41" s="1"/>
    </row>
    <row r="42" spans="3:3">
      <c r="C42" s="1"/>
    </row>
    <row r="43" spans="3:3">
      <c r="C43" s="1"/>
    </row>
    <row r="44" spans="3:3">
      <c r="C44" s="1"/>
    </row>
    <row r="45" spans="3:3">
      <c r="C45" s="1"/>
    </row>
    <row r="46" spans="3:3">
      <c r="C46" s="1"/>
    </row>
    <row r="47" spans="3:3">
      <c r="C47" s="1"/>
    </row>
    <row r="48" spans="3:3">
      <c r="C48" s="1"/>
    </row>
    <row r="49" spans="3:3">
      <c r="C49" s="1"/>
    </row>
    <row r="50" spans="3:3">
      <c r="C50" s="1"/>
    </row>
    <row r="51" spans="3:3">
      <c r="C51" s="1"/>
    </row>
    <row r="52" spans="3:3">
      <c r="C52" s="1"/>
    </row>
    <row r="53" spans="3:3">
      <c r="C53" s="1"/>
    </row>
    <row r="54" spans="3:3">
      <c r="C54" s="1"/>
    </row>
    <row r="55" spans="3:3">
      <c r="C55" s="1"/>
    </row>
    <row r="56" spans="3:3">
      <c r="C56" s="1"/>
    </row>
    <row r="57" spans="3:3">
      <c r="C57" s="1"/>
    </row>
    <row r="58" spans="3:3">
      <c r="C58" s="1"/>
    </row>
    <row r="59" spans="3:3">
      <c r="C59" s="1"/>
    </row>
    <row r="60" spans="3:3">
      <c r="C60" s="1"/>
    </row>
    <row r="61" spans="3:3">
      <c r="C61" s="1"/>
    </row>
    <row r="62" spans="3:3">
      <c r="C62" s="1"/>
    </row>
    <row r="63" spans="3:3">
      <c r="C63" s="1"/>
    </row>
    <row r="64" spans="3:3">
      <c r="C64" s="1"/>
    </row>
    <row r="65" spans="3:3">
      <c r="C65" s="1"/>
    </row>
    <row r="66" spans="3:3">
      <c r="C66" s="1"/>
    </row>
    <row r="67" spans="3:3">
      <c r="C67" s="1"/>
    </row>
    <row r="68" spans="3:3">
      <c r="C68" s="1"/>
    </row>
    <row r="69" spans="3:3">
      <c r="C69" s="1"/>
    </row>
    <row r="70" spans="3:3">
      <c r="C70" s="1"/>
    </row>
    <row r="71" spans="3:3">
      <c r="C71" s="1"/>
    </row>
    <row r="72" spans="3:3">
      <c r="C72" s="1"/>
    </row>
    <row r="73" spans="3:3">
      <c r="C73" s="1"/>
    </row>
    <row r="74" spans="3:3">
      <c r="C74" s="1"/>
    </row>
    <row r="75" spans="3:3">
      <c r="C75" s="1"/>
    </row>
    <row r="76" spans="3:3">
      <c r="C76" s="1"/>
    </row>
    <row r="77" spans="3:3">
      <c r="C77" s="1"/>
    </row>
    <row r="78" spans="3:3">
      <c r="C78" s="1"/>
    </row>
    <row r="79" spans="3:3">
      <c r="C79" s="1"/>
    </row>
    <row r="80" spans="3:3">
      <c r="C80" s="1"/>
    </row>
    <row r="81" spans="3:3">
      <c r="C81" s="1"/>
    </row>
    <row r="82" spans="3:3">
      <c r="C82" s="1"/>
    </row>
    <row r="83" spans="3:3">
      <c r="C83" s="1"/>
    </row>
    <row r="84" spans="3:3">
      <c r="C84" s="1"/>
    </row>
    <row r="85" spans="3:3">
      <c r="C85" s="1"/>
    </row>
    <row r="86" spans="3:3">
      <c r="C86" s="1"/>
    </row>
    <row r="87" spans="3:3">
      <c r="C87" s="1"/>
    </row>
    <row r="88" spans="3:3">
      <c r="C88" s="1"/>
    </row>
    <row r="89" spans="3:3">
      <c r="C89" s="1"/>
    </row>
    <row r="90" spans="3:3">
      <c r="C90" s="1"/>
    </row>
    <row r="91" spans="3:3">
      <c r="C91" s="1"/>
    </row>
    <row r="92" spans="3:3">
      <c r="C92" s="1"/>
    </row>
    <row r="93" spans="3:3">
      <c r="C93" s="1"/>
    </row>
    <row r="94" spans="3:3">
      <c r="C94" s="1"/>
    </row>
    <row r="95" spans="3:3">
      <c r="C95" s="1"/>
    </row>
    <row r="96" spans="3:3">
      <c r="C96" s="1"/>
    </row>
    <row r="97" spans="3:3">
      <c r="C97" s="1"/>
    </row>
    <row r="98" spans="3:3">
      <c r="C98" s="1"/>
    </row>
    <row r="99" spans="3:3">
      <c r="C99" s="1"/>
    </row>
    <row r="100" spans="3:3">
      <c r="C100" s="1"/>
    </row>
    <row r="101" spans="3:3">
      <c r="C101" s="1"/>
    </row>
    <row r="102" spans="3:3">
      <c r="C102" s="1"/>
    </row>
    <row r="103" spans="3:3">
      <c r="C103" s="1"/>
    </row>
    <row r="104" spans="3:3">
      <c r="C104" s="1"/>
    </row>
    <row r="105" spans="3:3">
      <c r="C105" s="1"/>
    </row>
    <row r="106" spans="3:3">
      <c r="C106" s="1"/>
    </row>
    <row r="107" spans="3:3">
      <c r="C107" s="1"/>
    </row>
    <row r="108" spans="3:3">
      <c r="C108" s="1"/>
    </row>
    <row r="109" spans="3:3">
      <c r="C109" s="1"/>
    </row>
    <row r="110" spans="3:3">
      <c r="C110" s="1"/>
    </row>
    <row r="111" spans="3:3">
      <c r="C111" s="1"/>
    </row>
    <row r="112" spans="3:3">
      <c r="C112" s="1"/>
    </row>
    <row r="113" spans="3:3">
      <c r="C113" s="1"/>
    </row>
    <row r="114" spans="3:3">
      <c r="C114" s="1"/>
    </row>
    <row r="115" spans="3:3">
      <c r="C115" s="1"/>
    </row>
    <row r="116" spans="3:3">
      <c r="C116" s="1"/>
    </row>
    <row r="117" spans="3:3">
      <c r="C117" s="1"/>
    </row>
    <row r="118" spans="3:3">
      <c r="C118" s="1"/>
    </row>
    <row r="119" spans="3:3">
      <c r="C119" s="1"/>
    </row>
    <row r="120" spans="3:3">
      <c r="C120" s="1"/>
    </row>
    <row r="121" spans="3:3">
      <c r="C121" s="1"/>
    </row>
    <row r="122" spans="3:3">
      <c r="C122" s="1"/>
    </row>
    <row r="123" spans="3:3">
      <c r="C123" s="1"/>
    </row>
    <row r="124" spans="3:3">
      <c r="C124" s="1"/>
    </row>
    <row r="125" spans="3:3">
      <c r="C125" s="1"/>
    </row>
    <row r="126" spans="3:3">
      <c r="C126" s="1"/>
    </row>
    <row r="127" spans="3:3">
      <c r="C127" s="1"/>
    </row>
    <row r="128" spans="3:3">
      <c r="C128" s="1"/>
    </row>
    <row r="129" spans="3:3">
      <c r="C129" s="1"/>
    </row>
    <row r="130" spans="3:3">
      <c r="C130" s="1"/>
    </row>
    <row r="131" spans="3:3">
      <c r="C131" s="1"/>
    </row>
    <row r="132" spans="3:3">
      <c r="C132" s="1"/>
    </row>
    <row r="133" spans="3:3">
      <c r="C133" s="1"/>
    </row>
    <row r="134" spans="3:3">
      <c r="C134" s="1"/>
    </row>
    <row r="135" spans="3:3">
      <c r="C135" s="1"/>
    </row>
    <row r="136" spans="3:3">
      <c r="C136" s="1"/>
    </row>
    <row r="137" spans="3:3">
      <c r="C137" s="1"/>
    </row>
    <row r="138" spans="3:3">
      <c r="C138" s="1"/>
    </row>
    <row r="139" spans="3:3">
      <c r="C139" s="1"/>
    </row>
    <row r="140" spans="3:3">
      <c r="C140" s="1"/>
    </row>
    <row r="141" spans="3:3">
      <c r="C141" s="1"/>
    </row>
    <row r="142" spans="3:3">
      <c r="C142" s="1"/>
    </row>
    <row r="143" spans="3:3">
      <c r="C143" s="1"/>
    </row>
    <row r="144" spans="3:3">
      <c r="C144" s="1"/>
    </row>
    <row r="145" spans="3:3">
      <c r="C145" s="1"/>
    </row>
    <row r="146" spans="3:3">
      <c r="C146" s="1"/>
    </row>
    <row r="147" spans="3:3">
      <c r="C147" s="1"/>
    </row>
    <row r="148" spans="3:3">
      <c r="C148" s="1"/>
    </row>
    <row r="149" spans="3:3">
      <c r="C149" s="1"/>
    </row>
    <row r="150" spans="3:3">
      <c r="C150" s="1"/>
    </row>
    <row r="151" spans="3:3">
      <c r="C151" s="1"/>
    </row>
    <row r="152" spans="3:3">
      <c r="C152" s="1"/>
    </row>
    <row r="153" spans="3:3">
      <c r="C153" s="1"/>
    </row>
    <row r="154" spans="3:3">
      <c r="C154" s="1"/>
    </row>
    <row r="155" spans="3:3">
      <c r="C155" s="1"/>
    </row>
    <row r="156" spans="3:3">
      <c r="C156" s="1"/>
    </row>
    <row r="157" spans="3:3">
      <c r="C157" s="1"/>
    </row>
    <row r="158" spans="3:3">
      <c r="C158" s="1"/>
    </row>
    <row r="159" spans="3:3">
      <c r="C159" s="1"/>
    </row>
    <row r="160" spans="3:3">
      <c r="C160" s="1"/>
    </row>
    <row r="161" spans="3:3">
      <c r="C161" s="1"/>
    </row>
    <row r="162" spans="3:3">
      <c r="C162" s="1"/>
    </row>
    <row r="163" spans="3:3">
      <c r="C163" s="1"/>
    </row>
    <row r="164" spans="3:3">
      <c r="C164" s="1"/>
    </row>
    <row r="165" spans="3:3">
      <c r="C165" s="1"/>
    </row>
    <row r="166" spans="3:3">
      <c r="C166" s="1"/>
    </row>
    <row r="167" spans="3:3">
      <c r="C167" s="1"/>
    </row>
    <row r="168" spans="3:3">
      <c r="C168" s="1"/>
    </row>
    <row r="169" spans="3:3">
      <c r="C169" s="1"/>
    </row>
    <row r="170" spans="3:3">
      <c r="C170" s="1"/>
    </row>
    <row r="171" spans="3:3">
      <c r="C171" s="1"/>
    </row>
    <row r="172" spans="3:3">
      <c r="C172" s="1"/>
    </row>
    <row r="173" spans="3:3">
      <c r="C173" s="1"/>
    </row>
    <row r="174" spans="3:3">
      <c r="C174" s="1"/>
    </row>
    <row r="175" spans="3:3">
      <c r="C175" s="1"/>
    </row>
    <row r="176" spans="3:3">
      <c r="C176" s="1"/>
    </row>
    <row r="177" spans="3:3">
      <c r="C177" s="1"/>
    </row>
    <row r="178" spans="3:3">
      <c r="C178" s="1"/>
    </row>
    <row r="179" spans="3:3">
      <c r="C179" s="1"/>
    </row>
    <row r="180" spans="3:3">
      <c r="C180" s="1"/>
    </row>
    <row r="181" spans="3:3">
      <c r="C181" s="1"/>
    </row>
    <row r="182" spans="3:3">
      <c r="C182" s="1"/>
    </row>
    <row r="183" spans="3:3">
      <c r="C183" s="1"/>
    </row>
    <row r="184" spans="3:3">
      <c r="C184" s="1"/>
    </row>
    <row r="185" spans="3:3">
      <c r="C185" s="1"/>
    </row>
    <row r="186" spans="3:3">
      <c r="C186" s="1"/>
    </row>
    <row r="187" spans="3:3">
      <c r="C187" s="1"/>
    </row>
    <row r="188" spans="3:3">
      <c r="C188" s="1"/>
    </row>
    <row r="189" spans="3:3">
      <c r="C189" s="1"/>
    </row>
    <row r="190" spans="3:3">
      <c r="C190" s="1"/>
    </row>
    <row r="191" spans="3:3">
      <c r="C191" s="1"/>
    </row>
    <row r="192" spans="3:3">
      <c r="C192" s="1"/>
    </row>
    <row r="193" spans="3:3">
      <c r="C193" s="1"/>
    </row>
    <row r="194" spans="3:3">
      <c r="C194" s="1"/>
    </row>
    <row r="195" spans="3:3">
      <c r="C195" s="1"/>
    </row>
    <row r="196" spans="3:3">
      <c r="C196" s="1"/>
    </row>
    <row r="197" spans="3:3">
      <c r="C197" s="1"/>
    </row>
    <row r="198" spans="3:3">
      <c r="C198" s="1"/>
    </row>
    <row r="199" spans="3:3">
      <c r="C199" s="1"/>
    </row>
    <row r="200" spans="3:3">
      <c r="C200" s="1"/>
    </row>
    <row r="201" spans="3:3">
      <c r="C201" s="1"/>
    </row>
    <row r="202" spans="3:3">
      <c r="C202" s="1"/>
    </row>
    <row r="203" spans="3:3">
      <c r="C203" s="1"/>
    </row>
    <row r="204" spans="3:3">
      <c r="C204" s="1"/>
    </row>
    <row r="205" spans="3:3">
      <c r="C205" s="1"/>
    </row>
    <row r="206" spans="3:3">
      <c r="C206" s="1"/>
    </row>
    <row r="207" spans="3:3">
      <c r="C207" s="1"/>
    </row>
    <row r="208" spans="3:3">
      <c r="C208" s="1"/>
    </row>
    <row r="209" spans="3:3">
      <c r="C209" s="1"/>
    </row>
    <row r="210" spans="3:3">
      <c r="C210" s="1"/>
    </row>
    <row r="211" spans="3:3">
      <c r="C211" s="1"/>
    </row>
    <row r="212" spans="3:3">
      <c r="C212" s="1"/>
    </row>
    <row r="213" spans="3:3">
      <c r="C213" s="1"/>
    </row>
    <row r="214" spans="3:3">
      <c r="C214" s="1"/>
    </row>
    <row r="215" spans="3:3">
      <c r="C215" s="1"/>
    </row>
    <row r="216" spans="3:3">
      <c r="C216" s="1"/>
    </row>
    <row r="217" spans="3:3">
      <c r="C217" s="1"/>
    </row>
  </sheetData>
  <phoneticPr fontId="1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货品成本表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jianing</cp:lastModifiedBy>
  <dcterms:modified xsi:type="dcterms:W3CDTF">2026-05-19T16:46:49Z</dcterms:modified>
</cp:coreProperties>
</file>