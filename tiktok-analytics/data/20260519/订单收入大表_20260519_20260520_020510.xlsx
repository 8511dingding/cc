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ianing/Ning's Git/tiktok-analytics/data/20260519/"/>
    </mc:Choice>
  </mc:AlternateContent>
  <xr:revisionPtr revIDLastSave="0" documentId="13_ncr:1_{91357E7A-C76A-D445-BB69-FFC9A3389ACB}" xr6:coauthVersionLast="47" xr6:coauthVersionMax="47" xr10:uidLastSave="{00000000-0000-0000-0000-000000000000}"/>
  <bookViews>
    <workbookView xWindow="0" yWindow="780" windowWidth="41120" windowHeight="24580" activeTab="1" xr2:uid="{00000000-000D-0000-FFFF-FFFF00000000}"/>
  </bookViews>
  <sheets>
    <sheet name="总览" sheetId="1" r:id="rId1"/>
    <sheet name="产品统计(Normal)" sheetId="2" r:id="rId2"/>
    <sheet name="产品统计(样品)" sheetId="3" r:id="rId3"/>
    <sheet name="Normal订单" sheetId="4" r:id="rId4"/>
    <sheet name="样品订单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I35" i="1"/>
  <c r="G35" i="1"/>
  <c r="H35" i="1"/>
  <c r="H34" i="1"/>
  <c r="F34" i="1"/>
  <c r="C35" i="1"/>
  <c r="E35" i="1"/>
  <c r="G34" i="1"/>
</calcChain>
</file>

<file path=xl/sharedStrings.xml><?xml version="1.0" encoding="utf-8"?>
<sst xmlns="http://schemas.openxmlformats.org/spreadsheetml/2006/main" count="5620" uniqueCount="1472">
  <si>
    <t>TikTok订单数据汇总</t>
  </si>
  <si>
    <t>Type</t>
  </si>
  <si>
    <t>Order Count</t>
  </si>
  <si>
    <t>Total Revenue(CNY)</t>
  </si>
  <si>
    <t>Total Revenue(THB)</t>
  </si>
  <si>
    <t>Total Cost(CNY)</t>
  </si>
  <si>
    <t>Total Cost(THB)</t>
  </si>
  <si>
    <t>Total Profit(CNY)</t>
  </si>
  <si>
    <t>Total Profit(THB)</t>
  </si>
  <si>
    <t>Profit Rate(%)</t>
  </si>
  <si>
    <t>类别</t>
  </si>
  <si>
    <t>订单数</t>
  </si>
  <si>
    <t>总收入(CNY)</t>
  </si>
  <si>
    <t>总收入(泰铢)</t>
  </si>
  <si>
    <t>总成本(CNY)</t>
  </si>
  <si>
    <t>总成本(泰铢)</t>
  </si>
  <si>
    <t>总利润(CNY)</t>
  </si>
  <si>
    <t>总利润(泰铢)</t>
  </si>
  <si>
    <t>利润率(%)</t>
  </si>
  <si>
    <t>Normal订单</t>
  </si>
  <si>
    <t>样品订单</t>
  </si>
  <si>
    <t>N/A</t>
  </si>
  <si>
    <t>全部累加</t>
  </si>
  <si>
    <t>Seller SKU</t>
  </si>
  <si>
    <t>Product Name(CN)</t>
  </si>
  <si>
    <t>Product Cost(CNY)</t>
  </si>
  <si>
    <t>Package Cost(CNY)</t>
  </si>
  <si>
    <t>Commission(CNY)</t>
  </si>
  <si>
    <t>Free Shipping(CNY)</t>
  </si>
  <si>
    <t>Unit Profit Rate(%)</t>
  </si>
  <si>
    <t>商家SKU</t>
  </si>
  <si>
    <t>产品名称(中文)</t>
  </si>
  <si>
    <t>产品成本(CNY)</t>
  </si>
  <si>
    <t>包装成本(CNY)</t>
  </si>
  <si>
    <t>平台佣金(CNY)</t>
  </si>
  <si>
    <t>包邮服务(CNY)</t>
  </si>
  <si>
    <t>订单总成本(CNY)</t>
  </si>
  <si>
    <t>订单总成本(泰铢)</t>
  </si>
  <si>
    <t>单品利润率(%)</t>
  </si>
  <si>
    <t>C1</t>
  </si>
  <si>
    <t>魔芋笋1大袋</t>
  </si>
  <si>
    <t>CK</t>
  </si>
  <si>
    <t>黑松露黑麦苏打饼干</t>
  </si>
  <si>
    <t>C2</t>
  </si>
  <si>
    <t>魔芋笋2大袋</t>
  </si>
  <si>
    <t>C3</t>
  </si>
  <si>
    <t>魔芋笋3大袋</t>
  </si>
  <si>
    <t>B1</t>
  </si>
  <si>
    <t>C5s</t>
  </si>
  <si>
    <t>香辣味魔芋笋5小袋</t>
  </si>
  <si>
    <t>B5s</t>
  </si>
  <si>
    <t>酸辣味5小袋</t>
  </si>
  <si>
    <t>ER-B</t>
  </si>
  <si>
    <t>广州酒家黄油鸡蛋卷480g</t>
  </si>
  <si>
    <t>B2</t>
  </si>
  <si>
    <t>B3</t>
  </si>
  <si>
    <t>ER-A</t>
  </si>
  <si>
    <t>广州酒家传统鸡蛋卷454g</t>
  </si>
  <si>
    <t>A2</t>
  </si>
  <si>
    <t>魔芋干2包</t>
  </si>
  <si>
    <t>A1</t>
  </si>
  <si>
    <t>魔芋干1包</t>
  </si>
  <si>
    <t>Js6</t>
  </si>
  <si>
    <t>果冻6个</t>
  </si>
  <si>
    <t>A3</t>
  </si>
  <si>
    <t>魔芋干3包</t>
  </si>
  <si>
    <t>Js18</t>
  </si>
  <si>
    <t>果冻18个</t>
  </si>
  <si>
    <t>Shipping Fee(CNY)</t>
  </si>
  <si>
    <t>快递费(CNY)</t>
  </si>
  <si>
    <t>订单ID</t>
  </si>
  <si>
    <t>订单状态</t>
  </si>
  <si>
    <t>产品名称(泰语)</t>
  </si>
  <si>
    <t>规格变体</t>
  </si>
  <si>
    <t>数量(件)</t>
  </si>
  <si>
    <t>订单金额(泰铢)</t>
  </si>
  <si>
    <t>收入(CNY)</t>
  </si>
  <si>
    <t>利润(CNY)</t>
  </si>
  <si>
    <t>利润(泰铢)</t>
  </si>
  <si>
    <t>下单时间</t>
  </si>
  <si>
    <t>584103946965255328</t>
  </si>
  <si>
    <t>待发货</t>
  </si>
  <si>
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</si>
  <si>
    <t>รสเผ็ดหอม​, 10 ซอง 200g</t>
  </si>
  <si>
    <t>19/05/2026 20:44:08</t>
  </si>
  <si>
    <t>584103657131705543</t>
  </si>
  <si>
    <t>รสเผ็ดหอม​, 20 ซอง 400g</t>
  </si>
  <si>
    <t>19/05/2026 20:26:41</t>
  </si>
  <si>
    <t>584103499133060113</t>
  </si>
  <si>
    <t>19/05/2026 20:15:09</t>
  </si>
  <si>
    <t>รสเปรี้ยวเผ็ด​, 10 ซอง 200g</t>
  </si>
  <si>
    <t>584103245753911087</t>
  </si>
  <si>
    <t>รสเปรี้ยวเผ็ด​, 5 ซอง 100g</t>
  </si>
  <si>
    <t>19/05/2026 19:58:15</t>
  </si>
  <si>
    <t>584103177233859933</t>
  </si>
  <si>
    <t>19/05/2026 19:56:59</t>
  </si>
  <si>
    <t>584102113720764029</t>
  </si>
  <si>
    <t>รสเผ็ดหอม​, 30 ซอง 600g</t>
  </si>
  <si>
    <t>19/05/2026 18:42:48</t>
  </si>
  <si>
    <t>584102058908026127</t>
  </si>
  <si>
    <t>19/05/2026 18:32:56</t>
  </si>
  <si>
    <t>584101774083720795</t>
  </si>
  <si>
    <t>รสเผ็ดหอม​, 5 ซอง 100g</t>
  </si>
  <si>
    <t>19/05/2026 18:21:10</t>
  </si>
  <si>
    <t>584101702143935533</t>
  </si>
  <si>
    <t>19/05/2026 18:14:51</t>
  </si>
  <si>
    <t>584101700460381787</t>
  </si>
  <si>
    <t>已取消</t>
  </si>
  <si>
    <t>19/05/2026 18:14:29</t>
  </si>
  <si>
    <t>584101587932316674</t>
  </si>
  <si>
    <t>19/05/2026 18:07:02</t>
  </si>
  <si>
    <t>584101566103389264</t>
  </si>
  <si>
    <t>19/05/2026 18:01:07</t>
  </si>
  <si>
    <t>584100716933842610</t>
  </si>
  <si>
    <t>19/05/2026 16:52:31</t>
  </si>
  <si>
    <t>584100604338144376</t>
  </si>
  <si>
    <t>19/05/2026 16:51:11</t>
  </si>
  <si>
    <t>584099923247466118</t>
  </si>
  <si>
    <t>19/05/2026 15:54:55</t>
  </si>
  <si>
    <t>584099261013460130</t>
  </si>
  <si>
    <t>19/05/2026 15:00:46</t>
  </si>
  <si>
    <t>584098924056315257</t>
  </si>
  <si>
    <t>แครกเกอร์เห็ดทรัฟเฟิลข้าวไรย์โซดา Peppito Black Truffle Rye Soda Crackers 400g บรรจุ 19ซอง/กล่อง เค้กและขนมอบ น้ำตาลต่ำ</t>
  </si>
  <si>
    <t>ค่าเริ่มต้น</t>
  </si>
  <si>
    <t>19/05/2026 14:36:36</t>
  </si>
  <si>
    <t>584098717408855053</t>
  </si>
  <si>
    <t>19/05/2026 14:23:23</t>
  </si>
  <si>
    <t>584098718379246605</t>
  </si>
  <si>
    <t>19/05/2026 14:22:42</t>
  </si>
  <si>
    <t>584098037656421870</t>
  </si>
  <si>
    <t>19/05/2026 13:27:56</t>
  </si>
  <si>
    <t>584095589895931640</t>
  </si>
  <si>
    <t>已发货</t>
  </si>
  <si>
    <t>Egg Roll 2สูตร ทองม้วนไข่กล่องเหล็กพรีเมี่ยม!! GuangZhou Restaurant 454g/480g กล่องล่ะ 24 แท่ง</t>
  </si>
  <si>
    <t>Traditional สูตรดั้งเดิม ไข่ล้วน</t>
  </si>
  <si>
    <t>19/05/2026 10:28:03</t>
  </si>
  <si>
    <t>584095072035440090</t>
  </si>
  <si>
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</si>
  <si>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รสเผ็ดหอม​, 3pcs</t>
  </si>
  <si>
    <t>19/05/2026 09:51:30</t>
  </si>
  <si>
    <t>584094929447389051</t>
  </si>
  <si>
    <t>19/05/2026 09:39:35</t>
  </si>
  <si>
    <t>584094170676168338</t>
  </si>
  <si>
    <t>19/05/2026 08:39:41</t>
  </si>
  <si>
    <t>584093150722622688</t>
  </si>
  <si>
    <t>Butter สูตรเนยสด พรีเมี่ยม</t>
  </si>
  <si>
    <t>19/05/2026 06:59:56</t>
  </si>
  <si>
    <t>584092522203219343</t>
  </si>
  <si>
    <t>19/05/2026 05:29:32</t>
  </si>
  <si>
    <t>584092178504123745</t>
  </si>
  <si>
    <t>19/05/2026 04:06:50</t>
  </si>
  <si>
    <t>584091469758760161</t>
  </si>
  <si>
    <t>19/05/2026 00:49:26</t>
  </si>
  <si>
    <t>584091287607543701</t>
  </si>
  <si>
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</si>
  <si>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20 ซอง 200g</t>
  </si>
  <si>
    <t>19/05/2026 00:20:32</t>
  </si>
  <si>
    <t>584090828273976338</t>
  </si>
  <si>
    <t>รสเปรี้ยวเผ็ด​, 30 ซอง 600g</t>
  </si>
  <si>
    <t>18/05/2026 23:29:19</t>
  </si>
  <si>
    <t>584090859222828050</t>
  </si>
  <si>
    <t>18/05/2026 23:28:14</t>
  </si>
  <si>
    <t>584090849401537554</t>
  </si>
  <si>
    <t>未支付</t>
  </si>
  <si>
    <t>รสเปรี้ยวเผ็ด​, 20 ซอง 400g</t>
  </si>
  <si>
    <t>18/05/2026 23:28:00</t>
  </si>
  <si>
    <t>584090067923207572</t>
  </si>
  <si>
    <t>18/05/2026 22:23:45</t>
  </si>
  <si>
    <t>584089601847362967</t>
  </si>
  <si>
    <t>18/05/2026 21:52:56</t>
  </si>
  <si>
    <t>584089394322506855</t>
  </si>
  <si>
    <t>18/05/2026 21:33:07</t>
  </si>
  <si>
    <t>584008957621274416</t>
  </si>
  <si>
    <t>18/05/2026 20:49:38</t>
  </si>
  <si>
    <t>584087021484409946</t>
  </si>
  <si>
    <t>18/05/2026 19:08:03</t>
  </si>
  <si>
    <t>584086579603735558</t>
  </si>
  <si>
    <t>18/05/2026 18:42:48</t>
  </si>
  <si>
    <t>584086624405456171</t>
  </si>
  <si>
    <t>18/05/2026 18:40:52</t>
  </si>
  <si>
    <t>584086082930639890</t>
  </si>
  <si>
    <t>18/05/2026 18:03:03</t>
  </si>
  <si>
    <t>584085868495209475</t>
  </si>
  <si>
    <t>18/05/2026 17:48:24</t>
  </si>
  <si>
    <t>584083864289183129</t>
  </si>
  <si>
    <t>18/05/2026 15:07:42</t>
  </si>
  <si>
    <t>584081216972228306</t>
  </si>
  <si>
    <t>18/05/2026 11:59:43</t>
  </si>
  <si>
    <t>584080481602929866</t>
  </si>
  <si>
    <t>18/05/2026 11:07:06</t>
  </si>
  <si>
    <t>584080054269085379</t>
  </si>
  <si>
    <t>18/05/2026 10:37:17</t>
  </si>
  <si>
    <t>584078263175316497</t>
  </si>
  <si>
    <t>18/05/2026 08:11:59</t>
  </si>
  <si>
    <t>584077541474600805</t>
  </si>
  <si>
    <t>18/05/2026 06:55:41</t>
  </si>
  <si>
    <t>584076310611461501</t>
  </si>
  <si>
    <t>18/05/2026 02:40:20</t>
  </si>
  <si>
    <t>584076331449091470</t>
  </si>
  <si>
    <t>18/05/2026 02:37:20</t>
  </si>
  <si>
    <t>584075329366819966</t>
  </si>
  <si>
    <t>17/05/2026 23:39:48</t>
  </si>
  <si>
    <t>584075302113477651</t>
  </si>
  <si>
    <t>17/05/2026 23:38:18</t>
  </si>
  <si>
    <t>584075061359970194</t>
  </si>
  <si>
    <t>17/05/2026 23:17:29</t>
  </si>
  <si>
    <t>584075016552219872</t>
  </si>
  <si>
    <t>17/05/2026 23:03:19</t>
  </si>
  <si>
    <t>584074552617764263</t>
  </si>
  <si>
    <t>17/05/2026 22:31:48</t>
  </si>
  <si>
    <t>584074505542665639</t>
  </si>
  <si>
    <t>17/05/2026 22:29:36</t>
  </si>
  <si>
    <t>584074279256098083</t>
  </si>
  <si>
    <t>17/05/2026 22:11:17</t>
  </si>
  <si>
    <t>584071676778611940</t>
  </si>
  <si>
    <t>17/05/2026 19:28:31</t>
  </si>
  <si>
    <t>584071567367505124</t>
  </si>
  <si>
    <t>17/05/2026 19:22:55</t>
  </si>
  <si>
    <t>584071476795180470</t>
  </si>
  <si>
    <t>17/05/2026 19:14:05</t>
  </si>
  <si>
    <t>584069644013372561</t>
  </si>
  <si>
    <t>17/05/2026 17:04:56</t>
  </si>
  <si>
    <t>584068728060413435</t>
  </si>
  <si>
    <t>17/05/2026 15:52:43</t>
  </si>
  <si>
    <t>584066169875367030</t>
  </si>
  <si>
    <t>17/05/2026 12:55:13</t>
  </si>
  <si>
    <t>584065721308448325</t>
  </si>
  <si>
    <t>17/05/2026 12:23:26</t>
  </si>
  <si>
    <t>584065522567120286</t>
  </si>
  <si>
    <t>17/05/2026 12:08:38</t>
  </si>
  <si>
    <t>584065343794415587</t>
  </si>
  <si>
    <t>17/05/2026 11:56:54</t>
  </si>
  <si>
    <t>584064185219974575</t>
  </si>
  <si>
    <t>17/05/2026 10:37:28</t>
  </si>
  <si>
    <t>584062144600900994</t>
  </si>
  <si>
    <t>17/05/2026 07:47:55</t>
  </si>
  <si>
    <t>584061848940873049</t>
  </si>
  <si>
    <t>17/05/2026 07:18:00</t>
  </si>
  <si>
    <t>584061678994425446</t>
  </si>
  <si>
    <t>17/05/2026 06:55:00</t>
  </si>
  <si>
    <t>584061531942585978</t>
  </si>
  <si>
    <t>17/05/2026 06:39:20</t>
  </si>
  <si>
    <t>584061400981341900</t>
  </si>
  <si>
    <t>17/05/2026 06:21:47</t>
  </si>
  <si>
    <t>584060942379156684</t>
  </si>
  <si>
    <t>17/05/2026 04:46:02</t>
  </si>
  <si>
    <t>584060714162227034</t>
  </si>
  <si>
    <t>17/05/2026 03:34:14</t>
  </si>
  <si>
    <t>584060387505046833</t>
  </si>
  <si>
    <t>17/05/2026 01:53:49</t>
  </si>
  <si>
    <t>584060090184664991</t>
  </si>
  <si>
    <t>17/05/2026 00:59:34</t>
  </si>
  <si>
    <t>584055723115054270</t>
  </si>
  <si>
    <t>16/05/2026 19:09:17</t>
  </si>
  <si>
    <t>584055763066586302</t>
  </si>
  <si>
    <t>16/05/2026 19:08:57</t>
  </si>
  <si>
    <t>584055452870084062</t>
  </si>
  <si>
    <t>16/05/2026 18:51:50</t>
  </si>
  <si>
    <t>584055175063832527</t>
  </si>
  <si>
    <t>16/05/2026 18:31:21</t>
  </si>
  <si>
    <t>584054109260055948</t>
  </si>
  <si>
    <t>16/05/2026 17:08:57</t>
  </si>
  <si>
    <t>584054059419534964</t>
  </si>
  <si>
    <t>16/05/2026 17:04:07</t>
  </si>
  <si>
    <t>584054054542608289</t>
  </si>
  <si>
    <t>16/05/2026 17:00:44</t>
  </si>
  <si>
    <t>584054001690904016</t>
  </si>
  <si>
    <t>รสเปรี้ยวเผ็ด​, 2pcs</t>
  </si>
  <si>
    <t>16/05/2026 16:58:51</t>
  </si>
  <si>
    <t>584053918958060818</t>
  </si>
  <si>
    <t>16/05/2026 16:52:30</t>
  </si>
  <si>
    <t>584053611757340079</t>
  </si>
  <si>
    <t>16/05/2026 16:24:39</t>
  </si>
  <si>
    <t>584053549793248687</t>
  </si>
  <si>
    <t>16/05/2026 16:23:44</t>
  </si>
  <si>
    <t>584053263896839796</t>
  </si>
  <si>
    <t>16/05/2026 15:56:38</t>
  </si>
  <si>
    <t>584053107448775852</t>
  </si>
  <si>
    <t>16/05/2026 15:47:12</t>
  </si>
  <si>
    <t>584052984858903650</t>
  </si>
  <si>
    <t>16/05/2026 15:36:51</t>
  </si>
  <si>
    <t>584051527176258608</t>
  </si>
  <si>
    <t>16/05/2026 13:47:16</t>
  </si>
  <si>
    <t>584050711903766260</t>
  </si>
  <si>
    <t>16/05/2026 12:43:36</t>
  </si>
  <si>
    <t>584050440414004825</t>
  </si>
  <si>
    <t>16/05/2026 12:26:18</t>
  </si>
  <si>
    <t>584049398505440415</t>
  </si>
  <si>
    <t>16/05/2026 11:12:32</t>
  </si>
  <si>
    <t>584049380888249432</t>
  </si>
  <si>
    <t>16/05/2026 11:10:26</t>
  </si>
  <si>
    <t>584047885379274507</t>
  </si>
  <si>
    <t>16/05/2026 09:14:32</t>
  </si>
  <si>
    <t>584046184167605266</t>
  </si>
  <si>
    <t>16/05/2026 06:30:56</t>
  </si>
  <si>
    <t>584045219304671056</t>
  </si>
  <si>
    <t>16/05/2026 02:36:41</t>
  </si>
  <si>
    <t>584045188897277599</t>
  </si>
  <si>
    <t>16/05/2026 02:20:04</t>
  </si>
  <si>
    <t>584044705322730949</t>
  </si>
  <si>
    <t>16/05/2026 00:38:41</t>
  </si>
  <si>
    <t>584043942701991754</t>
  </si>
  <si>
    <t>15/05/2026 23:02:54</t>
  </si>
  <si>
    <t>584042914830321384</t>
  </si>
  <si>
    <t>15/05/2026 21:51:47</t>
  </si>
  <si>
    <t>584042662368937622</t>
  </si>
  <si>
    <t>15/05/2026 21:36:57</t>
  </si>
  <si>
    <t>584042000514057301</t>
  </si>
  <si>
    <t>15/05/2026 20:55:21</t>
  </si>
  <si>
    <t>584041766833718392</t>
  </si>
  <si>
    <t>15/05/2026 20:41:52</t>
  </si>
  <si>
    <t>584041297527146349</t>
  </si>
  <si>
    <t>15/05/2026 20:08:11</t>
  </si>
  <si>
    <t>584041187353397162</t>
  </si>
  <si>
    <t>15/05/2026 19:55:51</t>
  </si>
  <si>
    <t>584041012976780590</t>
  </si>
  <si>
    <t>15/05/2026 19:52:13</t>
  </si>
  <si>
    <t>584040420757308685</t>
  </si>
  <si>
    <t>15/05/2026 19:14:17</t>
  </si>
  <si>
    <t>584040414624449805</t>
  </si>
  <si>
    <t>15/05/2026 19:11:13</t>
  </si>
  <si>
    <t>584039697985405981</t>
  </si>
  <si>
    <t>15/05/2026 18:23:23</t>
  </si>
  <si>
    <t>584038978303460562</t>
  </si>
  <si>
    <t>15/05/2026 17:26:50</t>
  </si>
  <si>
    <t>584038598939018870</t>
  </si>
  <si>
    <t>15/05/2026 16:58:38</t>
  </si>
  <si>
    <t>584038625065534737</t>
  </si>
  <si>
    <t>15/05/2026 16:52:18</t>
  </si>
  <si>
    <t>584038308834804877</t>
  </si>
  <si>
    <t>15/05/2026 16:35:57</t>
  </si>
  <si>
    <t>584038240512935877</t>
  </si>
  <si>
    <t>15/05/2026 16:27:33</t>
  </si>
  <si>
    <t>584038202625656440</t>
  </si>
  <si>
    <t>15/05/2026 16:23:12</t>
  </si>
  <si>
    <t>584038003954583532</t>
  </si>
  <si>
    <t>15/05/2026 16:08:21</t>
  </si>
  <si>
    <t>584037559107945788</t>
  </si>
  <si>
    <t>15/05/2026 15:30:08</t>
  </si>
  <si>
    <t>584037487433975040</t>
  </si>
  <si>
    <t>15/05/2026 15:28:25</t>
  </si>
  <si>
    <t>584037319332234332</t>
  </si>
  <si>
    <t>15/05/2026 15:16:18</t>
  </si>
  <si>
    <t>584037131785897159</t>
  </si>
  <si>
    <t>15/05/2026 14:59:34</t>
  </si>
  <si>
    <t>584035853115623122</t>
  </si>
  <si>
    <t>15/05/2026 13:24:20</t>
  </si>
  <si>
    <t>584034787080045772</t>
  </si>
  <si>
    <t>15/05/2026 12:13:57</t>
  </si>
  <si>
    <t>584032152932942950</t>
  </si>
  <si>
    <t>15/05/2026 09:14:01</t>
  </si>
  <si>
    <t>584028152093771298</t>
  </si>
  <si>
    <t>14/05/2026 23:17:26</t>
  </si>
  <si>
    <t>584027403634968514</t>
  </si>
  <si>
    <t>10 ซอง 100g</t>
  </si>
  <si>
    <t>14/05/2026 22:17:50</t>
  </si>
  <si>
    <t>584027198265722615</t>
  </si>
  <si>
    <t>14/05/2026 22:04:23</t>
  </si>
  <si>
    <t>584027077387323361</t>
  </si>
  <si>
    <t>14/05/2026 21:58:05</t>
  </si>
  <si>
    <t>584027151353218921</t>
  </si>
  <si>
    <t>14/05/2026 21:57:03</t>
  </si>
  <si>
    <t>584024505450202295</t>
  </si>
  <si>
    <t>14/05/2026 19:12:36</t>
  </si>
  <si>
    <t>584023642820478259</t>
  </si>
  <si>
    <t>14/05/2026 18:10:51</t>
  </si>
  <si>
    <t>584022722473067938</t>
  </si>
  <si>
    <t>14/05/2026 17:00:03</t>
  </si>
  <si>
    <t>584022655667569963</t>
  </si>
  <si>
    <t>14/05/2026 16:54:44</t>
  </si>
  <si>
    <t>584022571487889392</t>
  </si>
  <si>
    <t>14/05/2026 16:50:21</t>
  </si>
  <si>
    <t>584021555705578593</t>
  </si>
  <si>
    <t>14/05/2026 15:19:54</t>
  </si>
  <si>
    <t>584021481626108989</t>
  </si>
  <si>
    <t>14/05/2026 15:18:36</t>
  </si>
  <si>
    <t>584020938171581595</t>
  </si>
  <si>
    <t>14/05/2026 14:38:28</t>
  </si>
  <si>
    <t>584020502956377919</t>
  </si>
  <si>
    <t>14/05/2026 14:05:50</t>
  </si>
  <si>
    <t>584020281204376760</t>
  </si>
  <si>
    <t>14/05/2026 13:52:22</t>
  </si>
  <si>
    <t>584020280232936724</t>
  </si>
  <si>
    <t>14/05/2026 13:51:20</t>
  </si>
  <si>
    <t>584020115267683784</t>
  </si>
  <si>
    <t>14/05/2026 13:38:50</t>
  </si>
  <si>
    <t>584019757668861341</t>
  </si>
  <si>
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</si>
  <si>
    <t>ชุดทดลอง(จำกัด50ชุดแรก!)1ชุด 6ชิ้น คละ3รส</t>
  </si>
  <si>
    <t>14/05/2026 13:12:24</t>
  </si>
  <si>
    <t>584019591187760541</t>
  </si>
  <si>
    <t>14/05/2026 13:01:13</t>
  </si>
  <si>
    <t>584017711338259521</t>
  </si>
  <si>
    <t>14/05/2026 10:51:39</t>
  </si>
  <si>
    <t>584016478976575051</t>
  </si>
  <si>
    <t>14/05/2026 09:14:59</t>
  </si>
  <si>
    <t>584015486241113746</t>
  </si>
  <si>
    <t>14/05/2026 07:56:51</t>
  </si>
  <si>
    <t>584015059757795211</t>
  </si>
  <si>
    <t>14/05/2026 07:09:52</t>
  </si>
  <si>
    <t>584013568055084713</t>
  </si>
  <si>
    <t>14/05/2026 02:03:17</t>
  </si>
  <si>
    <t>584013528613422099</t>
  </si>
  <si>
    <t>14/05/2026 01:54:34</t>
  </si>
  <si>
    <t>584012983060236250</t>
  </si>
  <si>
    <t>14/05/2026 00:15:48</t>
  </si>
  <si>
    <t>584008171373102349</t>
  </si>
  <si>
    <t>13/05/2026 18:24:39</t>
  </si>
  <si>
    <t>584006838369879542</t>
  </si>
  <si>
    <t>13/05/2026 16:40:09</t>
  </si>
  <si>
    <t>584006480409233323</t>
  </si>
  <si>
    <t>13/05/2026 16:13:48</t>
  </si>
  <si>
    <t>584005685855159985</t>
  </si>
  <si>
    <t>13/05/2026 15:08:10</t>
  </si>
  <si>
    <t>584005011735283707</t>
  </si>
  <si>
    <t>13/05/2026 14:12:27</t>
  </si>
  <si>
    <t>584003962700596241</t>
  </si>
  <si>
    <t>13/05/2026 13:00:10</t>
  </si>
  <si>
    <t>584002888335329163</t>
  </si>
  <si>
    <t>13/05/2026 11:48:05</t>
  </si>
  <si>
    <t>584002831506966035</t>
  </si>
  <si>
    <t>13/05/2026 11:43:52</t>
  </si>
  <si>
    <t>584002895433139731</t>
  </si>
  <si>
    <t>13/05/2026 11:43:41</t>
  </si>
  <si>
    <t>584002156418926085</t>
  </si>
  <si>
    <t>13/05/2026 10:56:21</t>
  </si>
  <si>
    <t>584001888332448788</t>
  </si>
  <si>
    <t>13/05/2026 10:35:34</t>
  </si>
  <si>
    <t>584001018826425770</t>
  </si>
  <si>
    <t>13/05/2026 09:27:14</t>
  </si>
  <si>
    <t>584000777948530336</t>
  </si>
  <si>
    <t>13/05/2026 09:09:16</t>
  </si>
  <si>
    <t>584000707040085510</t>
  </si>
  <si>
    <t>13/05/2026 09:00:02</t>
  </si>
  <si>
    <t>584000570231915766</t>
  </si>
  <si>
    <t>13/05/2026 08:50:57</t>
  </si>
  <si>
    <t>584000499562480916</t>
  </si>
  <si>
    <t>13/05/2026 08:44:46</t>
  </si>
  <si>
    <t>584000454719538267</t>
  </si>
  <si>
    <t>13/05/2026 08:37:59</t>
  </si>
  <si>
    <t>584000332486444660</t>
  </si>
  <si>
    <t>13/05/2026 08:33:13</t>
  </si>
  <si>
    <t>584000304388146497</t>
  </si>
  <si>
    <t>13/05/2026 08:31:18</t>
  </si>
  <si>
    <t>583999972122395715</t>
  </si>
  <si>
    <t>13/05/2026 08:00:11</t>
  </si>
  <si>
    <t>583999890341660306</t>
  </si>
  <si>
    <t>13/05/2026 07:50:50</t>
  </si>
  <si>
    <t>583999723158865600</t>
  </si>
  <si>
    <t>13/05/2026 07:31:54</t>
  </si>
  <si>
    <t>583999551212259327</t>
  </si>
  <si>
    <t>13/05/2026 07:16:41</t>
  </si>
  <si>
    <t>583999486230628032</t>
  </si>
  <si>
    <t>13/05/2026 07:08:54</t>
  </si>
  <si>
    <t>583999454925981448</t>
  </si>
  <si>
    <t>13/05/2026 07:04:19</t>
  </si>
  <si>
    <t>583999049827845846</t>
  </si>
  <si>
    <t>13/05/2026 06:18:48</t>
  </si>
  <si>
    <t>583998654974428688</t>
  </si>
  <si>
    <t>13/05/2026 05:12:19</t>
  </si>
  <si>
    <t>583998593435600481</t>
  </si>
  <si>
    <t>13/05/2026 04:54:48</t>
  </si>
  <si>
    <t>583998424178001362</t>
  </si>
  <si>
    <t>13/05/2026 04:02:38</t>
  </si>
  <si>
    <t>583998368604718957</t>
  </si>
  <si>
    <t>13/05/2026 03:44:33</t>
  </si>
  <si>
    <t>583997384237810702</t>
  </si>
  <si>
    <t>13/05/2026 00:02:31</t>
  </si>
  <si>
    <t>583996017046554188</t>
  </si>
  <si>
    <t>12/05/2026 22:04:43</t>
  </si>
  <si>
    <t>583994846091183901</t>
  </si>
  <si>
    <t>12/05/2026 20:53:01</t>
  </si>
  <si>
    <t>583992840954611332</t>
  </si>
  <si>
    <t>12/05/2026 18:40:39</t>
  </si>
  <si>
    <t>583992257682375851</t>
  </si>
  <si>
    <t>12/05/2026 17:59:05</t>
  </si>
  <si>
    <t>583992020777469046</t>
  </si>
  <si>
    <t>12/05/2026 17:33:23</t>
  </si>
  <si>
    <t>583991572132758905</t>
  </si>
  <si>
    <t>12/05/2026 17:06:25</t>
  </si>
  <si>
    <t>583991341001376787</t>
  </si>
  <si>
    <t>12/05/2026 16:46:35</t>
  </si>
  <si>
    <t>583991197719364915</t>
  </si>
  <si>
    <t>12/05/2026 16:36:32</t>
  </si>
  <si>
    <t>583991168972785048</t>
  </si>
  <si>
    <t>12/05/2026 16:29:37</t>
  </si>
  <si>
    <t>583990798310147770</t>
  </si>
  <si>
    <t>12/05/2026 15:59:43</t>
  </si>
  <si>
    <t>583990671450998521</t>
  </si>
  <si>
    <t>12/05/2026 15:54:18</t>
  </si>
  <si>
    <t>583990587445839267</t>
  </si>
  <si>
    <t>รสเผ็ดหอม​, 1pcs</t>
  </si>
  <si>
    <t>12/05/2026 15:45:28</t>
  </si>
  <si>
    <t>583990182970361821</t>
  </si>
  <si>
    <t>12/05/2026 15:12:10</t>
  </si>
  <si>
    <t>583989726503339750</t>
  </si>
  <si>
    <t>12/05/2026 14:37:24</t>
  </si>
  <si>
    <t>583989403448804847</t>
  </si>
  <si>
    <t>12/05/2026 14:16:04</t>
  </si>
  <si>
    <t>583989304764433969</t>
  </si>
  <si>
    <t>12/05/2026 14:07:46</t>
  </si>
  <si>
    <t>583989106993694134</t>
  </si>
  <si>
    <t>12/05/2026 13:53:33</t>
  </si>
  <si>
    <t>583988506884343581</t>
  </si>
  <si>
    <t>12/05/2026 13:06:42</t>
  </si>
  <si>
    <t>583988447690786446</t>
  </si>
  <si>
    <t>12/05/2026 13:02:58</t>
  </si>
  <si>
    <t>583988367731623336</t>
  </si>
  <si>
    <t>12/05/2026 12:59:24</t>
  </si>
  <si>
    <t>583988307600049591</t>
  </si>
  <si>
    <t>12/05/2026 12:52:54</t>
  </si>
  <si>
    <t>583987941615240326</t>
  </si>
  <si>
    <t>12/05/2026 12:30:10</t>
  </si>
  <si>
    <t>583987915221141032</t>
  </si>
  <si>
    <t>12/05/2026 12:20:48</t>
  </si>
  <si>
    <t>583986977747404156</t>
  </si>
  <si>
    <t>12/05/2026 11:20:09</t>
  </si>
  <si>
    <t>583986563764028844</t>
  </si>
  <si>
    <t>12/05/2026 10:51:36</t>
  </si>
  <si>
    <t>583986518683125164</t>
  </si>
  <si>
    <t>12/05/2026 10:51:17</t>
  </si>
  <si>
    <t>583986391681566178</t>
  </si>
  <si>
    <t>12/05/2026 10:37:05</t>
  </si>
  <si>
    <t>583985467640481148</t>
  </si>
  <si>
    <t>12/05/2026 09:26:47</t>
  </si>
  <si>
    <t>583985013125252511</t>
  </si>
  <si>
    <t>12/05/2026 08:53:38</t>
  </si>
  <si>
    <t>583984472642062016</t>
  </si>
  <si>
    <t>12/05/2026 08:03:24</t>
  </si>
  <si>
    <t>583982299749844971</t>
  </si>
  <si>
    <t>12/05/2026 01:23:19</t>
  </si>
  <si>
    <t>583982037395801643</t>
  </si>
  <si>
    <t>12/05/2026 00:35:22</t>
  </si>
  <si>
    <t>583981111605822746</t>
  </si>
  <si>
    <t>11/05/2026 22:55:12</t>
  </si>
  <si>
    <t>583980486638863994</t>
  </si>
  <si>
    <t>11/05/2026 22:08:22</t>
  </si>
  <si>
    <t>583979247356183807</t>
  </si>
  <si>
    <t>11/05/2026 20:47:15</t>
  </si>
  <si>
    <t>583977990989382673</t>
  </si>
  <si>
    <t>11/05/2026 19:28:25</t>
  </si>
  <si>
    <t>583977634274247856</t>
  </si>
  <si>
    <t>11/05/2026 19:04:59</t>
  </si>
  <si>
    <t>583977325537953551</t>
  </si>
  <si>
    <t>11/05/2026 18:43:52</t>
  </si>
  <si>
    <t>583976441596446629</t>
  </si>
  <si>
    <t>11/05/2026 17:35:16</t>
  </si>
  <si>
    <t>583976308251592185</t>
  </si>
  <si>
    <t>11/05/2026 17:27:01</t>
  </si>
  <si>
    <t>583975605953070892</t>
  </si>
  <si>
    <t>11/05/2026 16:26:19</t>
  </si>
  <si>
    <t>583973812557415686</t>
  </si>
  <si>
    <t>11/05/2026 14:09:43</t>
  </si>
  <si>
    <t>583971855508211262</t>
  </si>
  <si>
    <t>11/05/2026 11:51:26</t>
  </si>
  <si>
    <t>583970066233591435</t>
  </si>
  <si>
    <t>11/05/2026 09:36:14</t>
  </si>
  <si>
    <t>583967096286971032</t>
  </si>
  <si>
    <t>11/05/2026 02:21:18</t>
  </si>
  <si>
    <t>583966648991515683</t>
  </si>
  <si>
    <t>11/05/2026 00:47:29</t>
  </si>
  <si>
    <t>583965988841424119</t>
  </si>
  <si>
    <t>10/05/2026 23:29:54</t>
  </si>
  <si>
    <t>583965098268001660</t>
  </si>
  <si>
    <t>10/05/2026 22:19:54</t>
  </si>
  <si>
    <t>583964794702890985</t>
  </si>
  <si>
    <t>10/05/2026 21:54:13</t>
  </si>
  <si>
    <t>583964025772016947</t>
  </si>
  <si>
    <t>10/05/2026 21:10:08</t>
  </si>
  <si>
    <t>583964012562318523</t>
  </si>
  <si>
    <t>10/05/2026 21:04:02</t>
  </si>
  <si>
    <t>583963829914404342</t>
  </si>
  <si>
    <t>10/05/2026 20:56:47</t>
  </si>
  <si>
    <t>583962804633503627</t>
  </si>
  <si>
    <t>10/05/2026 19:45:55</t>
  </si>
  <si>
    <t>583961902757152650</t>
  </si>
  <si>
    <t>10/05/2026 18:54:11</t>
  </si>
  <si>
    <t>583961113935579064</t>
  </si>
  <si>
    <t>10/05/2026 17:48:42</t>
  </si>
  <si>
    <t>583960938322035899</t>
  </si>
  <si>
    <t>10/05/2026 17:40:37</t>
  </si>
  <si>
    <t>583960900175037822</t>
  </si>
  <si>
    <t>10/05/2026 17:38:11</t>
  </si>
  <si>
    <t>583960485929059719</t>
  </si>
  <si>
    <t>10/05/2026 17:06:06</t>
  </si>
  <si>
    <t>583960254692558352</t>
  </si>
  <si>
    <t>10/05/2026 16:44:51</t>
  </si>
  <si>
    <t>583957701280433405</t>
  </si>
  <si>
    <t>10/05/2026 13:37:21</t>
  </si>
  <si>
    <t>583956945493853908</t>
  </si>
  <si>
    <t>10/05/2026 12:40:14</t>
  </si>
  <si>
    <t>583956025550866113</t>
  </si>
  <si>
    <t>10/05/2026 11:38:23</t>
  </si>
  <si>
    <t>583954002100914165</t>
  </si>
  <si>
    <t>10/05/2026 09:10:09</t>
  </si>
  <si>
    <t>583953550094533777</t>
  </si>
  <si>
    <t>10/05/2026 08:28:38</t>
  </si>
  <si>
    <t>583953370872972368</t>
  </si>
  <si>
    <t>10/05/2026 08:13:02</t>
  </si>
  <si>
    <t>583951571569313308</t>
  </si>
  <si>
    <t>10/05/2026 02:59:03</t>
  </si>
  <si>
    <t>583951498608019000</t>
  </si>
  <si>
    <t>10/05/2026 02:40:51</t>
  </si>
  <si>
    <t>583951504357951032</t>
  </si>
  <si>
    <t>10/05/2026 02:39:20</t>
  </si>
  <si>
    <t>583951137370768764</t>
  </si>
  <si>
    <t>10/05/2026 01:16:10</t>
  </si>
  <si>
    <t>583950931333580780</t>
  </si>
  <si>
    <t>10/05/2026 00:43:26</t>
  </si>
  <si>
    <t>583950631951173110</t>
  </si>
  <si>
    <t>10/05/2026 00:07:29</t>
  </si>
  <si>
    <t>583949295124907521</t>
  </si>
  <si>
    <t>09/05/2026 22:14:34</t>
  </si>
  <si>
    <t>583949218803778878</t>
  </si>
  <si>
    <t>09/05/2026 22:12:18</t>
  </si>
  <si>
    <t>583947460250142637</t>
  </si>
  <si>
    <t>09/05/2026 20:23:42</t>
  </si>
  <si>
    <t>583944555681056669</t>
  </si>
  <si>
    <t>09/05/2026 17:11:22</t>
  </si>
  <si>
    <t>583944290529871052</t>
  </si>
  <si>
    <t>09/05/2026 16:53:57</t>
  </si>
  <si>
    <t>583941491266978938</t>
  </si>
  <si>
    <t>已完成</t>
  </si>
  <si>
    <t>09/05/2026 13:40:15</t>
  </si>
  <si>
    <t>583941336483071004</t>
  </si>
  <si>
    <t>09/05/2026 13:34:45</t>
  </si>
  <si>
    <t>583938861855442451</t>
  </si>
  <si>
    <t>09/05/2026 10:58:38</t>
  </si>
  <si>
    <t>583938738377295183</t>
  </si>
  <si>
    <t>09/05/2026 10:52:52</t>
  </si>
  <si>
    <t>583938752042271795</t>
  </si>
  <si>
    <t>09/05/2026 10:52:42</t>
  </si>
  <si>
    <t>583936996833920569</t>
  </si>
  <si>
    <t>09/05/2026 08:53:16</t>
  </si>
  <si>
    <t>583934371711321168</t>
  </si>
  <si>
    <t>09/05/2026 04:49:23</t>
  </si>
  <si>
    <t>583933539851077142</t>
  </si>
  <si>
    <t>09/05/2026 02:24:03</t>
  </si>
  <si>
    <t>583933372462564656</t>
  </si>
  <si>
    <t>09/05/2026 01:56:26</t>
  </si>
  <si>
    <t>583932815066367358</t>
  </si>
  <si>
    <t>09/05/2026 00:46:49</t>
  </si>
  <si>
    <t>583932697193251842</t>
  </si>
  <si>
    <t>09/05/2026 00:32:25</t>
  </si>
  <si>
    <t>583932606496539962</t>
  </si>
  <si>
    <t>09/05/2026 00:23:13</t>
  </si>
  <si>
    <t>583932253376120159</t>
  </si>
  <si>
    <t>08/05/2026 23:49:26</t>
  </si>
  <si>
    <t>583930750266934916</t>
  </si>
  <si>
    <t>08/05/2026 22:07:37</t>
  </si>
  <si>
    <t>583930312618444258</t>
  </si>
  <si>
    <t>08/05/2026 21:39:50</t>
  </si>
  <si>
    <t>583929738581869824</t>
  </si>
  <si>
    <t>08/05/2026 21:08:58</t>
  </si>
  <si>
    <t>583928845847987422</t>
  </si>
  <si>
    <t>08/05/2026 20:21:13</t>
  </si>
  <si>
    <t>583928489692399325</t>
  </si>
  <si>
    <t>08/05/2026 20:06:37</t>
  </si>
  <si>
    <t>583926770599757313</t>
  </si>
  <si>
    <t>08/05/2026 18:21:27</t>
  </si>
  <si>
    <t>583925914440795880</t>
  </si>
  <si>
    <t>08/05/2026 17:31:22</t>
  </si>
  <si>
    <t>583921945439078011</t>
  </si>
  <si>
    <t>08/05/2026 13:14:15</t>
  </si>
  <si>
    <t>583920182256240597</t>
  </si>
  <si>
    <t>08/05/2026 11:14:56</t>
  </si>
  <si>
    <t>583918396904015152</t>
  </si>
  <si>
    <t>08/05/2026 08:57:59</t>
  </si>
  <si>
    <t>583917221945836982</t>
  </si>
  <si>
    <t>08/05/2026 07:19:16</t>
  </si>
  <si>
    <t>583915226070288052</t>
  </si>
  <si>
    <t>08/05/2026 00:37:53</t>
  </si>
  <si>
    <t>583915161941477178</t>
  </si>
  <si>
    <t>08/05/2026 00:29:20</t>
  </si>
  <si>
    <t>583912827094860968</t>
  </si>
  <si>
    <t>07/05/2026 21:17:37</t>
  </si>
  <si>
    <t>583912689572414790</t>
  </si>
  <si>
    <t>07/05/2026 21:09:40</t>
  </si>
  <si>
    <t>583912307404408356</t>
  </si>
  <si>
    <t>07/05/2026 20:49:35</t>
  </si>
  <si>
    <t>583911209037300753</t>
  </si>
  <si>
    <t>07/05/2026 19:42:47</t>
  </si>
  <si>
    <t>583911024957360100</t>
  </si>
  <si>
    <t>07/05/2026 19:28:41</t>
  </si>
  <si>
    <t>583908266853041851</t>
  </si>
  <si>
    <t>07/05/2026 16:16:10</t>
  </si>
  <si>
    <t>583908260592256802</t>
  </si>
  <si>
    <t>07/05/2026 16:12:01</t>
  </si>
  <si>
    <t>583908232312095847</t>
  </si>
  <si>
    <t>07/05/2026 16:06:28</t>
  </si>
  <si>
    <t>583907706317276930</t>
  </si>
  <si>
    <t>07/05/2026 15:36:31</t>
  </si>
  <si>
    <t>583902819162489933</t>
  </si>
  <si>
    <t>07/05/2026 10:02:54</t>
  </si>
  <si>
    <t>583900358772622970</t>
  </si>
  <si>
    <t>07/05/2026 06:54:54</t>
  </si>
  <si>
    <t>583897705158969013</t>
  </si>
  <si>
    <t>07/05/2026 00:13:55</t>
  </si>
  <si>
    <t>583897699482764981</t>
  </si>
  <si>
    <t>07/05/2026 00:13:09</t>
  </si>
  <si>
    <t>583897621456848571</t>
  </si>
  <si>
    <t>07/05/2026 00:09:58</t>
  </si>
  <si>
    <t>583897294817494640</t>
  </si>
  <si>
    <t>06/05/2026 23:40:33</t>
  </si>
  <si>
    <t>583897010710939270</t>
  </si>
  <si>
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</si>
  <si>
    <t>30 ซอง 300g</t>
  </si>
  <si>
    <t>06/05/2026 23:18:20</t>
  </si>
  <si>
    <t>583896848242672684</t>
  </si>
  <si>
    <t>06/05/2026 23:05:45</t>
  </si>
  <si>
    <t>583896342857155885</t>
  </si>
  <si>
    <t>06/05/2026 22:31:05</t>
  </si>
  <si>
    <t>583895035733509475</t>
  </si>
  <si>
    <t>06/05/2026 21:15:19</t>
  </si>
  <si>
    <t>583894960855287607</t>
  </si>
  <si>
    <t>06/05/2026 21:15:00</t>
  </si>
  <si>
    <t>583894516130875250</t>
  </si>
  <si>
    <t>06/05/2026 20:46:23</t>
  </si>
  <si>
    <t>583894033300948284</t>
  </si>
  <si>
    <t>06/05/2026 20:24:13</t>
  </si>
  <si>
    <t>583892580320249682</t>
  </si>
  <si>
    <t>06/05/2026 19:04:36</t>
  </si>
  <si>
    <t>583892181753694104</t>
  </si>
  <si>
    <t>06/05/2026 18:35:29</t>
  </si>
  <si>
    <t>583890976170739503</t>
  </si>
  <si>
    <t>06/05/2026 17:23:23</t>
  </si>
  <si>
    <t>583890894093518639</t>
  </si>
  <si>
    <t>06/05/2026 17:22:50</t>
  </si>
  <si>
    <t>583890059662296222</t>
  </si>
  <si>
    <t>06/05/2026 16:25:02</t>
  </si>
  <si>
    <t>583889973396997559</t>
  </si>
  <si>
    <t>06/05/2026 16:17:02</t>
  </si>
  <si>
    <t>583889697498235928</t>
  </si>
  <si>
    <t>06/05/2026 15:58:36</t>
  </si>
  <si>
    <t>583889560106075556</t>
  </si>
  <si>
    <t>06/05/2026 15:48:45</t>
  </si>
  <si>
    <t>583888321931412497</t>
  </si>
  <si>
    <t>06/05/2026 14:25:59</t>
  </si>
  <si>
    <t>583887772397569395</t>
  </si>
  <si>
    <t>06/05/2026 13:58:08</t>
  </si>
  <si>
    <t>583887120182052382</t>
  </si>
  <si>
    <t>06/05/2026 13:16:07</t>
  </si>
  <si>
    <t>583886602501785452</t>
  </si>
  <si>
    <t>06/05/2026 12:40:51</t>
  </si>
  <si>
    <t>583886233088395096</t>
  </si>
  <si>
    <t>06/05/2026 12:14:53</t>
  </si>
  <si>
    <t>583884144092153752</t>
  </si>
  <si>
    <t>06/05/2026 09:49:45</t>
  </si>
  <si>
    <t>583883976919320012</t>
  </si>
  <si>
    <t>06/05/2026 09:36:55</t>
  </si>
  <si>
    <t>583882760408238061</t>
  </si>
  <si>
    <t>06/05/2026 07:50:47</t>
  </si>
  <si>
    <t>583880882296686564</t>
  </si>
  <si>
    <t>06/05/2026 02:17:18</t>
  </si>
  <si>
    <t>583879520691128102</t>
  </si>
  <si>
    <t>05/05/2026 23:19:28</t>
  </si>
  <si>
    <t>583879220633372205</t>
  </si>
  <si>
    <t>05/05/2026 23:02:57</t>
  </si>
  <si>
    <t>583879149692880432</t>
  </si>
  <si>
    <t>Traditional Egg Roll ทองม้วนไข่ สูตรดั้งเดิม กล่องเหล็ก  GuangZhou Restaurant 454g 4ซองใหญ่ รวม24แท่ง บรรจุ 454กรัม</t>
  </si>
  <si>
    <t>05/05/2026 22:55:23</t>
  </si>
  <si>
    <t>583877316268492154</t>
  </si>
  <si>
    <t>05/05/2026 21:08:29</t>
  </si>
  <si>
    <t>583877170209457530</t>
  </si>
  <si>
    <t>05/05/2026 21:02:27</t>
  </si>
  <si>
    <t>583875725860964107</t>
  </si>
  <si>
    <t>05/05/2026 19:54:09</t>
  </si>
  <si>
    <t>583875440190457515</t>
  </si>
  <si>
    <t>05/05/2026 19:29:08</t>
  </si>
  <si>
    <t>583873965985662825</t>
  </si>
  <si>
    <t>05/05/2026 18:08:26</t>
  </si>
  <si>
    <t>583873899636688814</t>
  </si>
  <si>
    <t>05/05/2026 18:02:19</t>
  </si>
  <si>
    <t>583873725181363952</t>
  </si>
  <si>
    <t>05/05/2026 17:50:29</t>
  </si>
  <si>
    <t>583873267671140174</t>
  </si>
  <si>
    <t>05/05/2026 17:23:17</t>
  </si>
  <si>
    <t>583873271508337712</t>
  </si>
  <si>
    <t>05/05/2026 17:16:54</t>
  </si>
  <si>
    <t>583873046543566722</t>
  </si>
  <si>
    <t>05/05/2026 17:05:49</t>
  </si>
  <si>
    <t>583872837460788684</t>
  </si>
  <si>
    <t>05/05/2026 16:54:21</t>
  </si>
  <si>
    <t>583872695014426024</t>
  </si>
  <si>
    <t>05/05/2026 16:41:01</t>
  </si>
  <si>
    <t>583872617039299621</t>
  </si>
  <si>
    <t>05/05/2026 16:36:26</t>
  </si>
  <si>
    <t>583872573102392787</t>
  </si>
  <si>
    <t>05/05/2026 16:32:24</t>
  </si>
  <si>
    <t>583872240929637800</t>
  </si>
  <si>
    <t>05/05/2026 16:12:12</t>
  </si>
  <si>
    <t>583871741432595652</t>
  </si>
  <si>
    <t>05/05/2026 15:38:47</t>
  </si>
  <si>
    <t>583870523888469410</t>
  </si>
  <si>
    <t>05/05/2026 14:16:25</t>
  </si>
  <si>
    <t>583870344422721239</t>
  </si>
  <si>
    <t>05/05/2026 14:04:30</t>
  </si>
  <si>
    <t>583869739987993838</t>
  </si>
  <si>
    <t>05/05/2026 13:25:31</t>
  </si>
  <si>
    <t>583868858821084177</t>
  </si>
  <si>
    <t>05/05/2026 12:33:46</t>
  </si>
  <si>
    <t>583868654357153661</t>
  </si>
  <si>
    <t>05/05/2026 12:19:23</t>
  </si>
  <si>
    <t>583868652894783357</t>
  </si>
  <si>
    <t>05/05/2026 12:19:06</t>
  </si>
  <si>
    <t>583866190266729592</t>
  </si>
  <si>
    <t>05/05/2026 09:49:20</t>
  </si>
  <si>
    <t>583865436497282971</t>
  </si>
  <si>
    <t>05/05/2026 08:54:12</t>
  </si>
  <si>
    <t>583864510871471408</t>
  </si>
  <si>
    <t>05/05/2026 07:44:10</t>
  </si>
  <si>
    <t>583862482125555243</t>
  </si>
  <si>
    <t>05/05/2026 02:39:02</t>
  </si>
  <si>
    <t>583862244331652379</t>
  </si>
  <si>
    <t>05/05/2026 01:52:44</t>
  </si>
  <si>
    <t>583861999501280611</t>
  </si>
  <si>
    <t>05/05/2026 01:18:12</t>
  </si>
  <si>
    <t>583859131512686308</t>
  </si>
  <si>
    <t>04/05/2026 21:37:21</t>
  </si>
  <si>
    <t>583857415646971391</t>
  </si>
  <si>
    <t>04/05/2026 20:03:41</t>
  </si>
  <si>
    <t>583857257174697094</t>
  </si>
  <si>
    <t>04/05/2026 19:57:24</t>
  </si>
  <si>
    <t>583855214767539330</t>
  </si>
  <si>
    <t>04/05/2026 17:59:58</t>
  </si>
  <si>
    <t>583853740773967662</t>
  </si>
  <si>
    <t>04/05/2026 16:26:46</t>
  </si>
  <si>
    <t>583853601867466665</t>
  </si>
  <si>
    <t>04/05/2026 16:17:19</t>
  </si>
  <si>
    <t>583853550085113227</t>
  </si>
  <si>
    <t>04/05/2026 16:13:58</t>
  </si>
  <si>
    <t>583853109504541700</t>
  </si>
  <si>
    <t>04/05/2026 15:44:40</t>
  </si>
  <si>
    <t>583851169217676393</t>
  </si>
  <si>
    <t>04/05/2026 13:45:40</t>
  </si>
  <si>
    <t>583850384288875696</t>
  </si>
  <si>
    <t>04/05/2026 12:51:39</t>
  </si>
  <si>
    <t>583850284526569222</t>
  </si>
  <si>
    <t>04/05/2026 12:43:15</t>
  </si>
  <si>
    <t>583848357376787871</t>
  </si>
  <si>
    <t>04/05/2026 10:34:22</t>
  </si>
  <si>
    <t>583845930747987396</t>
  </si>
  <si>
    <t>04/05/2026 07:09:47</t>
  </si>
  <si>
    <t>583845132571280511</t>
  </si>
  <si>
    <t>04/05/2026 05:17:06</t>
  </si>
  <si>
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</si>
  <si>
    <t>18 ซอง / 288 กรัม (คละ 3 รสชาติ)</t>
  </si>
  <si>
    <t>583845034805527819</t>
  </si>
  <si>
    <t>04/05/2026 04:52:10</t>
  </si>
  <si>
    <t>583844723863225466</t>
  </si>
  <si>
    <t>04/05/2026 03:21:53</t>
  </si>
  <si>
    <t>583844441688540870</t>
  </si>
  <si>
    <t>04/05/2026 02:02:04</t>
  </si>
  <si>
    <t>583844019563628290</t>
  </si>
  <si>
    <t>04/05/2026 00:43:17</t>
  </si>
  <si>
    <t>583843911797670912</t>
  </si>
  <si>
    <t>04/05/2026 00:31:07</t>
  </si>
  <si>
    <t>583843817834579621</t>
  </si>
  <si>
    <t>04/05/2026 00:18:53</t>
  </si>
  <si>
    <t>583843553807795468</t>
  </si>
  <si>
    <t>03/05/2026 23:49:51</t>
  </si>
  <si>
    <t>583843029285439108</t>
  </si>
  <si>
    <t>03/05/2026 22:58:54</t>
  </si>
  <si>
    <t>583840410505086077</t>
  </si>
  <si>
    <t>03/05/2026 20:14:34</t>
  </si>
  <si>
    <t>583839862752511122</t>
  </si>
  <si>
    <t>03/05/2026 19:39:01</t>
  </si>
  <si>
    <t>583839357731374568</t>
  </si>
  <si>
    <t>03/05/2026 19:07:33</t>
  </si>
  <si>
    <t>583838732483724553</t>
  </si>
  <si>
    <t>03/05/2026 18:28:09</t>
  </si>
  <si>
    <t>583836406261188363</t>
  </si>
  <si>
    <t>03/05/2026 15:58:02</t>
  </si>
  <si>
    <t>583836139130095506</t>
  </si>
  <si>
    <t>03/05/2026 15:45:38</t>
  </si>
  <si>
    <t>583836158264837174</t>
  </si>
  <si>
    <t>03/05/2026 15:45:27</t>
  </si>
  <si>
    <t>583835851173561814</t>
  </si>
  <si>
    <t>03/05/2026 15:24:15</t>
  </si>
  <si>
    <t>583835765226898523</t>
  </si>
  <si>
    <t>03/05/2026 15:20:03</t>
  </si>
  <si>
    <t>583835680332088928</t>
  </si>
  <si>
    <t>03/05/2026 15:18:16</t>
  </si>
  <si>
    <t>583835564333958939</t>
  </si>
  <si>
    <t>03/05/2026 15:11:26</t>
  </si>
  <si>
    <t>583835287280125524</t>
  </si>
  <si>
    <t>03/05/2026 14:50:59</t>
  </si>
  <si>
    <t>583835274123249438</t>
  </si>
  <si>
    <t>03/05/2026 14:49:30</t>
  </si>
  <si>
    <t>583834914493924657</t>
  </si>
  <si>
    <t>03/05/2026 14:30:59</t>
  </si>
  <si>
    <t>583834273714963712</t>
  </si>
  <si>
    <t>03/05/2026 13:52:29</t>
  </si>
  <si>
    <t>583829412092151710</t>
  </si>
  <si>
    <t>03/05/2026 08:56:38</t>
  </si>
  <si>
    <t>583829021238723688</t>
  </si>
  <si>
    <t>03/05/2026 08:22:24</t>
  </si>
  <si>
    <t>583828134486639855</t>
  </si>
  <si>
    <t>03/05/2026 07:06:03</t>
  </si>
  <si>
    <t>583826397249308516</t>
  </si>
  <si>
    <t>03/05/2026 02:32:33</t>
  </si>
  <si>
    <t>583687756420646750</t>
  </si>
  <si>
    <t>03/05/2026 02:25:51</t>
  </si>
  <si>
    <t>583825462284551185</t>
  </si>
  <si>
    <t>03/05/2026 00:22:15</t>
  </si>
  <si>
    <t>583825295248688775</t>
  </si>
  <si>
    <t>03/05/2026 00:06:02</t>
  </si>
  <si>
    <t>583824608000313191</t>
  </si>
  <si>
    <t>02/05/2026 23:09:01</t>
  </si>
  <si>
    <t>583824366551336282</t>
  </si>
  <si>
    <t>02/05/2026 22:48:28</t>
  </si>
  <si>
    <t>583823864290838036</t>
  </si>
  <si>
    <t>02/05/2026 22:10:35</t>
  </si>
  <si>
    <t>583823715351168256</t>
  </si>
  <si>
    <t>02/05/2026 22:09:58</t>
  </si>
  <si>
    <t>583822782965909012</t>
  </si>
  <si>
    <t>02/05/2026 21:08:16</t>
  </si>
  <si>
    <t>583822415381628622</t>
  </si>
  <si>
    <t>02/05/2026 20:50:28</t>
  </si>
  <si>
    <t>583822353397155379</t>
  </si>
  <si>
    <t>02/05/2026 20:48:22</t>
  </si>
  <si>
    <t>583822001435412179</t>
  </si>
  <si>
    <t>02/05/2026 20:26:42</t>
  </si>
  <si>
    <t>583821965761545939</t>
  </si>
  <si>
    <t>02/05/2026 20:24:41</t>
  </si>
  <si>
    <t>583821879979050206</t>
  </si>
  <si>
    <t>02/05/2026 20:21:55</t>
  </si>
  <si>
    <t>583820656503850414</t>
  </si>
  <si>
    <t>02/05/2026 19:12:28</t>
  </si>
  <si>
    <t>583820291894773440</t>
  </si>
  <si>
    <t>02/05/2026 18:48:50</t>
  </si>
  <si>
    <t>583819735267574833</t>
  </si>
  <si>
    <t>02/05/2026 18:16:31</t>
  </si>
  <si>
    <t>583819307836867601</t>
  </si>
  <si>
    <t>02/05/2026 17:43:08</t>
  </si>
  <si>
    <t>583818035598755022</t>
  </si>
  <si>
    <t>02/05/2026 16:15:20</t>
  </si>
  <si>
    <t>583816411641251663</t>
  </si>
  <si>
    <t>02/05/2026 14:30:58</t>
  </si>
  <si>
    <t>583815963396048783</t>
  </si>
  <si>
    <t>02/05/2026 14:01:43</t>
  </si>
  <si>
    <t>583815219186336884</t>
  </si>
  <si>
    <t>02/05/2026 13:11:25</t>
  </si>
  <si>
    <t>583814438815564817</t>
  </si>
  <si>
    <t>02/05/2026 12:29:00</t>
  </si>
  <si>
    <t>583813773147079958</t>
  </si>
  <si>
    <t>02/05/2026 11:45:03</t>
  </si>
  <si>
    <t>583812846762755819</t>
  </si>
  <si>
    <t>02/05/2026 10:52:01</t>
  </si>
  <si>
    <t>583812570557744875</t>
  </si>
  <si>
    <t>02/05/2026 10:32:50</t>
  </si>
  <si>
    <t>583812576835503851</t>
  </si>
  <si>
    <t>02/05/2026 10:31:15</t>
  </si>
  <si>
    <t>583812188899869898</t>
  </si>
  <si>
    <t>02/05/2026 10:07:38</t>
  </si>
  <si>
    <t>583812199589250250</t>
  </si>
  <si>
    <t>02/05/2026 10:06:59</t>
  </si>
  <si>
    <t>583810453232452973</t>
  </si>
  <si>
    <t>02/05/2026 07:41:28</t>
  </si>
  <si>
    <t>583808655640724736</t>
  </si>
  <si>
    <t>02/05/2026 02:12:52</t>
  </si>
  <si>
    <t>583808011082499091</t>
  </si>
  <si>
    <t>02/05/2026 00:46:31</t>
  </si>
  <si>
    <t>583807922482021453</t>
  </si>
  <si>
    <t>02/05/2026 00:37:26</t>
  </si>
  <si>
    <t>583807921649058833</t>
  </si>
  <si>
    <t>02/05/2026 00:35:47</t>
  </si>
  <si>
    <t>583807300729997027</t>
  </si>
  <si>
    <t>01/05/2026 23:38:58</t>
  </si>
  <si>
    <t>583807170471626547</t>
  </si>
  <si>
    <t>01/05/2026 23:28:54</t>
  </si>
  <si>
    <t>583806252741593010</t>
  </si>
  <si>
    <t>01/05/2026 22:28:52</t>
  </si>
  <si>
    <t>583805926662899611</t>
  </si>
  <si>
    <t>01/05/2026 22:08:35</t>
  </si>
  <si>
    <t>583805715970885348</t>
  </si>
  <si>
    <t>01/05/2026 21:58:47</t>
  </si>
  <si>
    <t>583805446692636439</t>
  </si>
  <si>
    <t>01/05/2026 21:42:52</t>
  </si>
  <si>
    <t>583805258709763089</t>
  </si>
  <si>
    <t>01/05/2026 21:28:58</t>
  </si>
  <si>
    <t>583805096220460960</t>
  </si>
  <si>
    <t>01/05/2026 21:19:42</t>
  </si>
  <si>
    <t>583804302658274852</t>
  </si>
  <si>
    <t>01/05/2026 20:37:39</t>
  </si>
  <si>
    <t>583803715789358621</t>
  </si>
  <si>
    <t>01/05/2026 20:05:57</t>
  </si>
  <si>
    <t>583803370342941992</t>
  </si>
  <si>
    <t>01/05/2026 19:48:42</t>
  </si>
  <si>
    <t>583801860495804383</t>
  </si>
  <si>
    <t>01/05/2026 18:21:49</t>
  </si>
  <si>
    <t>583800818353210565</t>
  </si>
  <si>
    <t>01/05/2026 17:17:54</t>
  </si>
  <si>
    <t>583800533823096823</t>
  </si>
  <si>
    <t>01/05/2026 16:59:09</t>
  </si>
  <si>
    <t>583800282568885447</t>
  </si>
  <si>
    <t>01/05/2026 16:38:36</t>
  </si>
  <si>
    <t>583798602932324241</t>
  </si>
  <si>
    <t>01/05/2026 15:00:47</t>
  </si>
  <si>
    <t>583797988320773461</t>
  </si>
  <si>
    <t>01/05/2026 14:26:54</t>
  </si>
  <si>
    <t>583797955250455629</t>
  </si>
  <si>
    <t>01/05/2026 14:24:50</t>
  </si>
  <si>
    <t>583797700026008718</t>
  </si>
  <si>
    <t>01/05/2026 14:09:53</t>
  </si>
  <si>
    <t>583797709181126243</t>
  </si>
  <si>
    <t>01/05/2026 14:08:31</t>
  </si>
  <si>
    <t>583797146324993809</t>
  </si>
  <si>
    <t>01/05/2026 13:36:58</t>
  </si>
  <si>
    <t>583796362639410627</t>
  </si>
  <si>
    <t>01/05/2026 12:53:25</t>
  </si>
  <si>
    <t>583795725662586355</t>
  </si>
  <si>
    <t>01/05/2026 12:12:22</t>
  </si>
  <si>
    <t>583794970641925915</t>
  </si>
  <si>
    <t>01/05/2026 11:33:05</t>
  </si>
  <si>
    <t>583794201007326528</t>
  </si>
  <si>
    <t>01/05/2026 10:49:19</t>
  </si>
  <si>
    <t>583793774953465708</t>
  </si>
  <si>
    <t>01/05/2026 10:28:48</t>
  </si>
  <si>
    <t>583788894628972390</t>
  </si>
  <si>
    <t>01/05/2026 03:59:32</t>
  </si>
  <si>
    <t>583788714047080044</t>
  </si>
  <si>
    <t>01/05/2026 03:44:29</t>
  </si>
  <si>
    <t>583788162345043301</t>
  </si>
  <si>
    <t>01/05/2026 02:35:35</t>
  </si>
  <si>
    <t>583787250459444987</t>
  </si>
  <si>
    <t>01/05/2026 00:56:19</t>
  </si>
  <si>
    <t>583787101547889740</t>
  </si>
  <si>
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</si>
  <si>
    <t>01/05/2026 00:35:33</t>
  </si>
  <si>
    <t>584100891464926506</t>
  </si>
  <si>
    <t>-</t>
  </si>
  <si>
    <t>19/05/2026 17:44:14</t>
  </si>
  <si>
    <t>584100956770436652</t>
  </si>
  <si>
    <t>19/05/2026 17:34:14</t>
  </si>
  <si>
    <t>584100280471029498</t>
  </si>
  <si>
    <t>19/05/2026 16:39:15</t>
  </si>
  <si>
    <t>584099916865505165</t>
  </si>
  <si>
    <t>19/05/2026 16:10:16</t>
  </si>
  <si>
    <t>584099916655789583</t>
  </si>
  <si>
    <t>19/05/2026 16:05:23</t>
  </si>
  <si>
    <t>584099843290858513</t>
  </si>
  <si>
    <t>19/05/2026 15:56:18</t>
  </si>
  <si>
    <t>584099842968159629</t>
  </si>
  <si>
    <t>19/05/2026 15:50:24</t>
  </si>
  <si>
    <t>584099704401790823</t>
  </si>
  <si>
    <t>19/05/2026 15:45:25</t>
  </si>
  <si>
    <t>584099704100849284</t>
  </si>
  <si>
    <t>19/05/2026 15:40:18</t>
  </si>
  <si>
    <t>584099565078676569</t>
  </si>
  <si>
    <t>19/05/2026 15:27:14</t>
  </si>
  <si>
    <t>584099565023823344</t>
  </si>
  <si>
    <t>19/05/2026 15:26:13</t>
  </si>
  <si>
    <t>584099349191034230</t>
  </si>
  <si>
    <t>19/05/2026 15:22:24</t>
  </si>
  <si>
    <t>584099387037156418</t>
  </si>
  <si>
    <t>19/05/2026 15:18:27</t>
  </si>
  <si>
    <t>584099386804438591</t>
  </si>
  <si>
    <t>19/05/2026 15:14:23</t>
  </si>
  <si>
    <t>584098797143885212</t>
  </si>
  <si>
    <t>19/05/2026 14:30:25</t>
  </si>
  <si>
    <t>584097659277902876</t>
  </si>
  <si>
    <t>19/05/2026 13:09:21</t>
  </si>
  <si>
    <t>584096159432148722</t>
  </si>
  <si>
    <t>19/05/2026 11:21:19</t>
  </si>
  <si>
    <t>584096001545700493</t>
  </si>
  <si>
    <t>19/05/2026 11:07:17</t>
  </si>
  <si>
    <t>584086039701390825</t>
  </si>
  <si>
    <t>18/05/2026 18:11:11</t>
  </si>
  <si>
    <t>584085599103779876</t>
  </si>
  <si>
    <t>18/05/2026 17:42:12</t>
  </si>
  <si>
    <t>584085231584118126</t>
  </si>
  <si>
    <t>18/05/2026 17:19:21</t>
  </si>
  <si>
    <t>584084837634639648</t>
  </si>
  <si>
    <t>18/05/2026 16:34:17</t>
  </si>
  <si>
    <t>584084837536794075</t>
  </si>
  <si>
    <t>18/05/2026 16:32:25</t>
  </si>
  <si>
    <t>584084470066349073</t>
  </si>
  <si>
    <t>18/05/2026 16:14:14</t>
  </si>
  <si>
    <t>584084222996088375</t>
  </si>
  <si>
    <t>18/05/2026 15:48:17</t>
  </si>
  <si>
    <t>584083454074062331</t>
  </si>
  <si>
    <t>18/05/2026 14:46:23</t>
  </si>
  <si>
    <t>584083454021174618</t>
  </si>
  <si>
    <t>18/05/2026 14:45:22</t>
  </si>
  <si>
    <t>584083311093188524</t>
  </si>
  <si>
    <t>18/05/2026 14:36:25</t>
  </si>
  <si>
    <t>584051770441106869</t>
  </si>
  <si>
    <t>16/05/2026 14:17:18</t>
  </si>
  <si>
    <t>584051169904134081</t>
  </si>
  <si>
    <t>16/05/2026 13:47:15</t>
  </si>
  <si>
    <t>584051274612967160</t>
  </si>
  <si>
    <t>16/05/2026 13:46:18</t>
  </si>
  <si>
    <t>584051169877526125</t>
  </si>
  <si>
    <t>16/05/2026 13:46:16</t>
  </si>
  <si>
    <t>584051274643113561</t>
  </si>
  <si>
    <t>16/05/2026 13:46:14</t>
  </si>
  <si>
    <t>584050795741349794</t>
  </si>
  <si>
    <t>16/05/2026 13:27:16</t>
  </si>
  <si>
    <t>584050962672878971</t>
  </si>
  <si>
    <t>16/05/2026 13:27:15</t>
  </si>
  <si>
    <t>584050962670847921</t>
  </si>
  <si>
    <t>16/05/2026 13:27:13</t>
  </si>
  <si>
    <t>584050795474552178</t>
  </si>
  <si>
    <t>16/05/2026 13:18:12</t>
  </si>
  <si>
    <t>584050962295719757</t>
  </si>
  <si>
    <t>16/05/2026 13:16:12</t>
  </si>
  <si>
    <t>584050624655034142</t>
  </si>
  <si>
    <t>16/05/2026 13:15:15</t>
  </si>
  <si>
    <t>584050962280187754</t>
  </si>
  <si>
    <t>16/05/2026 13:15:13</t>
  </si>
  <si>
    <t>584049026070906630</t>
  </si>
  <si>
    <t>16/05/2026 11:04:15</t>
  </si>
  <si>
    <t>584049026064091089</t>
  </si>
  <si>
    <t>16/05/2026 11:04:12</t>
  </si>
  <si>
    <t>584048785680270415</t>
  </si>
  <si>
    <t>16/05/2026 10:49:12</t>
  </si>
  <si>
    <t>584048707739223740</t>
  </si>
  <si>
    <t>16/05/2026 10:48:18</t>
  </si>
  <si>
    <t>584048585343010171</t>
  </si>
  <si>
    <t>16/05/2026 10:19:15</t>
  </si>
  <si>
    <t>584038576955622416</t>
  </si>
  <si>
    <t>15/05/2026 17:09:10</t>
  </si>
  <si>
    <t>584038226237425207</t>
  </si>
  <si>
    <t>15/05/2026 16:37:12</t>
  </si>
  <si>
    <t>584038082229273812</t>
  </si>
  <si>
    <t>15/05/2026 16:26:16</t>
  </si>
  <si>
    <t>584038082019952277</t>
  </si>
  <si>
    <t>15/05/2026 16:21:12</t>
  </si>
  <si>
    <t>584037232382674398</t>
  </si>
  <si>
    <t>15/05/2026 15:21:17</t>
  </si>
  <si>
    <t>584037232289089323</t>
  </si>
  <si>
    <t>15/05/2026 15:19:18</t>
  </si>
  <si>
    <t>584037232045033009</t>
  </si>
  <si>
    <t>15/05/2026 15:14:19</t>
  </si>
  <si>
    <t>584036879310423069</t>
  </si>
  <si>
    <t>15/05/2026 14:46:20</t>
  </si>
  <si>
    <t>584036549109843281</t>
  </si>
  <si>
    <t>15/05/2026 14:23:21</t>
  </si>
  <si>
    <t>584035879930988224</t>
  </si>
  <si>
    <t>15/05/2026 13:31:21</t>
  </si>
  <si>
    <t>584035695408088822</t>
  </si>
  <si>
    <t>15/05/2026 13:24:23</t>
  </si>
  <si>
    <t>584035633665967241</t>
  </si>
  <si>
    <t>15/05/2026 13:23:20</t>
  </si>
  <si>
    <t>584035695186969849</t>
  </si>
  <si>
    <t>15/05/2026 13:20:17</t>
  </si>
  <si>
    <t>584035633446224940</t>
  </si>
  <si>
    <t>15/05/2026 13:18:21</t>
  </si>
  <si>
    <t>584035331126756494</t>
  </si>
  <si>
    <t>15/05/2026 13:14:15</t>
  </si>
  <si>
    <t>584021643148756643</t>
  </si>
  <si>
    <t>14/05/2026 15:32:36</t>
  </si>
  <si>
    <t>584021441558185236</t>
  </si>
  <si>
    <t>14/05/2026 15:21:17</t>
  </si>
  <si>
    <t>584020685239453332</t>
  </si>
  <si>
    <t>14/05/2026 14:24:13</t>
  </si>
  <si>
    <t>584014352774301204</t>
  </si>
  <si>
    <t>14/05/2026 14:18:16</t>
  </si>
  <si>
    <t>584020501797242811</t>
  </si>
  <si>
    <t>14/05/2026 14:11:13</t>
  </si>
  <si>
    <t>584014352063890488</t>
  </si>
  <si>
    <t>14/05/2026 14:00:19</t>
  </si>
  <si>
    <t>584020336663430472</t>
  </si>
  <si>
    <t>14/05/2026 13:57:26</t>
  </si>
  <si>
    <t>584014351116175013</t>
  </si>
  <si>
    <t>14/05/2026 13:37:16</t>
  </si>
  <si>
    <t>584014351059748491</t>
  </si>
  <si>
    <t>14/05/2026 13:35:22</t>
  </si>
  <si>
    <t>584014350986479314</t>
  </si>
  <si>
    <t>14/05/2026 13:33:26</t>
  </si>
  <si>
    <t>584020001060521212</t>
  </si>
  <si>
    <t>14/05/2026 13:31:20</t>
  </si>
  <si>
    <t>584020001037191089</t>
  </si>
  <si>
    <t>14/05/2026 13:31:15</t>
  </si>
  <si>
    <t>584014350840989011</t>
  </si>
  <si>
    <t>14/05/2026 13:30:23</t>
  </si>
  <si>
    <t>584014350814054250</t>
  </si>
  <si>
    <t>14/05/2026 13:29:25</t>
  </si>
  <si>
    <t>584006735710488515</t>
  </si>
  <si>
    <t>13/05/2026 16:54:17</t>
  </si>
  <si>
    <t>583998067155437112</t>
  </si>
  <si>
    <t>13/05/2026 16:18:16</t>
  </si>
  <si>
    <t>583998066915771788</t>
  </si>
  <si>
    <t>13/05/2026 16:13:13</t>
  </si>
  <si>
    <t>583998066805146688</t>
  </si>
  <si>
    <t>13/05/2026 16:11:14</t>
  </si>
  <si>
    <t>583998066697470994</t>
  </si>
  <si>
    <t>13/05/2026 16:09:13</t>
  </si>
  <si>
    <t>583998066546149200</t>
  </si>
  <si>
    <t>13/05/2026 16:05:23</t>
  </si>
  <si>
    <t>583998063667480005</t>
  </si>
  <si>
    <t>13/05/2026 15:03:12</t>
  </si>
  <si>
    <t>584005179765064869</t>
  </si>
  <si>
    <t>13/05/2026 14:47:21</t>
  </si>
  <si>
    <t>584005179618788844</t>
  </si>
  <si>
    <t>13/05/2026 14:43:23</t>
  </si>
  <si>
    <t>583998062575126439</t>
  </si>
  <si>
    <t>13/05/2026 14:42:17</t>
  </si>
  <si>
    <t>583998062201242643</t>
  </si>
  <si>
    <t>13/05/2026 14:35:16</t>
  </si>
  <si>
    <t>583998062156350563</t>
  </si>
  <si>
    <t>13/05/2026 14:34:13</t>
  </si>
  <si>
    <t>583998061903775315</t>
  </si>
  <si>
    <t>13/05/2026 14:29:15</t>
  </si>
  <si>
    <t>583990972787230494</t>
  </si>
  <si>
    <t>12/05/2026 16:23:19</t>
  </si>
  <si>
    <t>583990972651439690</t>
  </si>
  <si>
    <t>12/05/2026 16:20:14</t>
  </si>
  <si>
    <t>583990393666701256</t>
  </si>
  <si>
    <t>12/05/2026 15:49:17</t>
  </si>
  <si>
    <t>583990456623269877</t>
  </si>
  <si>
    <t>12/05/2026 15:47:13</t>
  </si>
  <si>
    <t>583990456477779204</t>
  </si>
  <si>
    <t>12/05/2026 15:43:22</t>
  </si>
  <si>
    <t>583990456128406949</t>
  </si>
  <si>
    <t>12/05/2026 15:36:14</t>
  </si>
  <si>
    <t>583990257836655633</t>
  </si>
  <si>
    <t>12/05/2026 15:28:11</t>
  </si>
  <si>
    <t>583990141951051686</t>
  </si>
  <si>
    <t>12/05/2026 15:27:22</t>
  </si>
  <si>
    <t>583990257613572068</t>
  </si>
  <si>
    <t>12/05/2026 15:23:17</t>
  </si>
  <si>
    <t>583989861646763890</t>
  </si>
  <si>
    <t>12/05/2026 15:13:13</t>
  </si>
  <si>
    <t>583989861274060234</t>
  </si>
  <si>
    <t>12/05/2026 15:02:20</t>
  </si>
  <si>
    <t>583988683446519764</t>
  </si>
  <si>
    <t>12/05/2026 13:23:17</t>
  </si>
  <si>
    <t>583988431723202401</t>
  </si>
  <si>
    <t>12/05/2026 13:08:19</t>
  </si>
  <si>
    <t>583987671189456327</t>
  </si>
  <si>
    <t>12/05/2026 12:47:20</t>
  </si>
  <si>
    <t>583976487599310402</t>
  </si>
  <si>
    <t>11/05/2026 18:04:10</t>
  </si>
  <si>
    <t>583976487238207427</t>
  </si>
  <si>
    <t>11/05/2026 17:51:17</t>
  </si>
  <si>
    <t>583976275714082564</t>
  </si>
  <si>
    <t>11/05/2026 17:36:10</t>
  </si>
  <si>
    <t>583976092914845618</t>
  </si>
  <si>
    <t>11/05/2026 17:26:20</t>
  </si>
  <si>
    <t>583976093573350405</t>
  </si>
  <si>
    <t>11/05/2026 17:19:19</t>
  </si>
  <si>
    <t>583976092708603306</t>
  </si>
  <si>
    <t>11/05/2026 17:19:13</t>
  </si>
  <si>
    <t>583976093546349696</t>
  </si>
  <si>
    <t>11/05/2026 17:18:22</t>
  </si>
  <si>
    <t>583976092693333141</t>
  </si>
  <si>
    <t>11/05/2026 17:18:20</t>
  </si>
  <si>
    <t>583976093493920922</t>
  </si>
  <si>
    <t>11/05/2026 17:17:20</t>
  </si>
  <si>
    <t>583975829026669937</t>
  </si>
  <si>
    <t>11/05/2026 17:12:13</t>
  </si>
  <si>
    <t>583975923362137138</t>
  </si>
  <si>
    <t>11/05/2026 17:08:15</t>
  </si>
  <si>
    <t>583975758137296368</t>
  </si>
  <si>
    <t>11/05/2026 16:52:12</t>
  </si>
  <si>
    <t>583975603459491607</t>
  </si>
  <si>
    <t>11/05/2026 16:48:11</t>
  </si>
  <si>
    <t>583975757775471647</t>
  </si>
  <si>
    <t>11/05/2026 16:44:21</t>
  </si>
  <si>
    <t>583975555365832122</t>
  </si>
  <si>
    <t>11/05/2026 16:32:10</t>
  </si>
  <si>
    <t>583975398271124496</t>
  </si>
  <si>
    <t>11/05/2026 16:21:11</t>
  </si>
  <si>
    <t>583975361976173645</t>
  </si>
  <si>
    <t>11/05/2026 16:17:19</t>
  </si>
  <si>
    <t>583975245552649407</t>
  </si>
  <si>
    <t>11/05/2026 16:07:14</t>
  </si>
  <si>
    <t>583974895185397071</t>
  </si>
  <si>
    <t>11/05/2026 15:45:20</t>
  </si>
  <si>
    <t>583974659147597074</t>
  </si>
  <si>
    <t>11/05/2026 15:32:16</t>
  </si>
  <si>
    <t>583974734479591350</t>
  </si>
  <si>
    <t>11/05/2026 15:29:19</t>
  </si>
  <si>
    <t>583974658946729677</t>
  </si>
  <si>
    <t>11/05/2026 15:25:24</t>
  </si>
  <si>
    <t>583974412954928580</t>
  </si>
  <si>
    <t>11/05/2026 15:00:28</t>
  </si>
  <si>
    <t>583973960787330333</t>
  </si>
  <si>
    <t>11/05/2026 14:27:13</t>
  </si>
  <si>
    <t>583973908061521060</t>
  </si>
  <si>
    <t>11/05/2026 14:25:14</t>
  </si>
  <si>
    <t>583973908043695988</t>
  </si>
  <si>
    <t>11/05/2026 14:24:24</t>
  </si>
  <si>
    <t>583973750001861724</t>
  </si>
  <si>
    <t>11/05/2026 14:16:11</t>
  </si>
  <si>
    <t>583971422570185882</t>
  </si>
  <si>
    <t>11/05/2026 11:32:18</t>
  </si>
  <si>
    <t>583971378211554380</t>
  </si>
  <si>
    <t>11/05/2026 11:27:17</t>
  </si>
  <si>
    <t>583971181819037208</t>
  </si>
  <si>
    <t>11/05/2026 11:23:12</t>
  </si>
  <si>
    <t>583971208718878241</t>
  </si>
  <si>
    <t>11/05/2026 11:16:12</t>
  </si>
  <si>
    <t>583971208516437593</t>
  </si>
  <si>
    <t>11/05/2026 11:11:13</t>
  </si>
  <si>
    <t>583971208398669531</t>
  </si>
  <si>
    <t>11/05/2026 11:08:27</t>
  </si>
  <si>
    <t>583971083489084518</t>
  </si>
  <si>
    <t>11/05/2026 11:01:26</t>
  </si>
  <si>
    <t>583970937320211472</t>
  </si>
  <si>
    <t>11/05/2026 10:50:11</t>
  </si>
  <si>
    <t>583970937238685053</t>
  </si>
  <si>
    <t>11/05/2026 10:48:18</t>
  </si>
  <si>
    <t>583970785949681568</t>
  </si>
  <si>
    <t>11/05/2026 10:45:29</t>
  </si>
  <si>
    <t>583970798527153169</t>
  </si>
  <si>
    <t>11/05/2026 10:42:10</t>
  </si>
  <si>
    <t>583941683830883847</t>
  </si>
  <si>
    <t>09/05/2026 14:01:18</t>
  </si>
  <si>
    <t>583941516239079385</t>
  </si>
  <si>
    <t>09/05/2026 14:01:11</t>
  </si>
  <si>
    <t>583941457160537566</t>
  </si>
  <si>
    <t>09/05/2026 13:48:29</t>
  </si>
  <si>
    <t>583941179537851409</t>
  </si>
  <si>
    <t>09/05/2026 13:46:13</t>
  </si>
  <si>
    <t>583941456912090336</t>
  </si>
  <si>
    <t>09/05/2026 13:44:15</t>
  </si>
  <si>
    <t>583938453086438885</t>
  </si>
  <si>
    <t>09/05/2026 10:45:21</t>
  </si>
  <si>
    <t>583938113318257704</t>
  </si>
  <si>
    <t>09/05/2026 10:21:21</t>
  </si>
  <si>
    <t>583925740466898144</t>
  </si>
  <si>
    <t>08/05/2026 17:55:12</t>
  </si>
  <si>
    <t>583925738458416194</t>
  </si>
  <si>
    <t>08/05/2026 17:37:18</t>
  </si>
  <si>
    <t>583925738144564242</t>
  </si>
  <si>
    <t>08/05/2026 17:28:13</t>
  </si>
  <si>
    <t>583925408767248141</t>
  </si>
  <si>
    <t>08/05/2026 17:20:18</t>
  </si>
  <si>
    <t>583925127791150125</t>
  </si>
  <si>
    <t>08/05/2026 17:02:28</t>
  </si>
  <si>
    <t>583925039711093901</t>
  </si>
  <si>
    <t>08/05/2026 16:42:11</t>
  </si>
  <si>
    <t>583924792500847688</t>
  </si>
  <si>
    <t>08/05/2026 16:29:22</t>
  </si>
  <si>
    <t>583924506512491694</t>
  </si>
  <si>
    <t>08/05/2026 16:21:20</t>
  </si>
  <si>
    <t>583924506185598574</t>
  </si>
  <si>
    <t>08/05/2026 16:11:13</t>
  </si>
  <si>
    <t>583923917600228925</t>
  </si>
  <si>
    <t>08/05/2026 15:26:17</t>
  </si>
  <si>
    <t>583923470643790865</t>
  </si>
  <si>
    <t>08/05/2026 14:57:16</t>
  </si>
  <si>
    <t>583922943658722616</t>
  </si>
  <si>
    <t>08/05/2026 14:25:23</t>
  </si>
  <si>
    <t>583922828920653687</t>
  </si>
  <si>
    <t>08/05/2026 14:12:18</t>
  </si>
  <si>
    <t>583922625399194992</t>
  </si>
  <si>
    <t>08/05/2026 14:05:21</t>
  </si>
  <si>
    <t>583922433669498768</t>
  </si>
  <si>
    <t>08/05/2026 13:46:15</t>
  </si>
  <si>
    <t>583922125492094437</t>
  </si>
  <si>
    <t>08/05/2026 13:42:25</t>
  </si>
  <si>
    <t>583922063198946581</t>
  </si>
  <si>
    <t>08/05/2026 13:31:25</t>
  </si>
  <si>
    <t>583921807684437078</t>
  </si>
  <si>
    <t>08/05/2026 13:19:22</t>
  </si>
  <si>
    <t>583921807305508692</t>
  </si>
  <si>
    <t>08/05/2026 13:11:17</t>
  </si>
  <si>
    <t>583919284152206747</t>
  </si>
  <si>
    <t>08/05/2026 10:13:35</t>
  </si>
  <si>
    <t>583919118601323790</t>
  </si>
  <si>
    <t>08/05/2026 10:12:28</t>
  </si>
  <si>
    <t>583918884794042114</t>
  </si>
  <si>
    <t>08/05/2026 10:00:22</t>
  </si>
  <si>
    <t>583918961856513074</t>
  </si>
  <si>
    <t>08/05/2026 09:53:25</t>
  </si>
  <si>
    <t>583907661116638653</t>
  </si>
  <si>
    <t>07/05/2026 15:52:21</t>
  </si>
  <si>
    <t>583907478676407562</t>
  </si>
  <si>
    <t>07/05/2026 15:24:17</t>
  </si>
  <si>
    <t>583907478410790757</t>
  </si>
  <si>
    <t>07/05/2026 15:18:19</t>
  </si>
  <si>
    <t>583907130770622015</t>
  </si>
  <si>
    <t>07/05/2026 15:08:25</t>
  </si>
  <si>
    <t>583907301432657262</t>
  </si>
  <si>
    <t>07/05/2026 15:05:16</t>
  </si>
  <si>
    <t>583906879106548906</t>
  </si>
  <si>
    <t>07/05/2026 14:49:23</t>
  </si>
  <si>
    <t>583906879076861454</t>
  </si>
  <si>
    <t>07/05/2026 14:48:23</t>
  </si>
  <si>
    <t>583906879046911042</t>
  </si>
  <si>
    <t>07/05/2026 14:47:22</t>
  </si>
  <si>
    <t>583906389839415160</t>
  </si>
  <si>
    <t>07/05/2026 14:02:24</t>
  </si>
  <si>
    <t>583906141371335964</t>
  </si>
  <si>
    <t>07/05/2026 14:00:21</t>
  </si>
  <si>
    <t>583905862188172666</t>
  </si>
  <si>
    <t>07/05/2026 13:41:21</t>
  </si>
  <si>
    <t>583905862137710475</t>
  </si>
  <si>
    <t>07/05/2026 13:40:13</t>
  </si>
  <si>
    <t>583905862021448826</t>
  </si>
  <si>
    <t>07/05/2026 13:37:11</t>
  </si>
  <si>
    <t>583905520726607501</t>
  </si>
  <si>
    <t>07/05/2026 13:16:18</t>
  </si>
  <si>
    <t>583903238763218705</t>
  </si>
  <si>
    <t>07/05/2026 10:43:18</t>
  </si>
  <si>
    <t>583903238255314408</t>
  </si>
  <si>
    <t>07/05/2026 10:33:17</t>
  </si>
  <si>
    <t>583902930689230006</t>
  </si>
  <si>
    <t>07/05/2026 10:28:19</t>
  </si>
  <si>
    <t>583903051189683222</t>
  </si>
  <si>
    <t>07/05/2026 10:27:25</t>
  </si>
  <si>
    <t>583902884610672147</t>
  </si>
  <si>
    <t>07/05/2026 10:13:23</t>
  </si>
  <si>
    <t>583902884570301810</t>
  </si>
  <si>
    <t>07/05/2026 10:12:28</t>
  </si>
  <si>
    <t>583891160945952645</t>
  </si>
  <si>
    <t>06/05/2026 18:00:10</t>
  </si>
  <si>
    <t>583890368806421953</t>
  </si>
  <si>
    <t>06/05/2026 17:05:23</t>
  </si>
  <si>
    <t>583888959174772474</t>
  </si>
  <si>
    <t>06/05/2026 15:33:16</t>
  </si>
  <si>
    <t>583888204821333009</t>
  </si>
  <si>
    <t>06/05/2026 14:40:14</t>
  </si>
  <si>
    <t>583888122360202862</t>
  </si>
  <si>
    <t>06/05/2026 14:18:10</t>
  </si>
  <si>
    <t>583887942319966064</t>
  </si>
  <si>
    <t>06/05/2026 14:15:10</t>
  </si>
  <si>
    <t>583887208158758356</t>
  </si>
  <si>
    <t>06/05/2026 13:21:22</t>
  </si>
  <si>
    <t>583887208134313450</t>
  </si>
  <si>
    <t>06/05/2026 13:21:15</t>
  </si>
  <si>
    <t>583886906489800344</t>
  </si>
  <si>
    <t>06/05/2026 13:18:15</t>
  </si>
  <si>
    <t>583885010011260639</t>
  </si>
  <si>
    <t>06/05/2026 10:57:24</t>
  </si>
  <si>
    <t>583884448128468326</t>
  </si>
  <si>
    <t>06/05/2026 10:18:10</t>
  </si>
  <si>
    <t>583884309500691806</t>
  </si>
  <si>
    <t>06/05/2026 10:01:15</t>
  </si>
  <si>
    <t>583884159539577866</t>
  </si>
  <si>
    <t>06/05/2026 09:52:28</t>
  </si>
  <si>
    <t>583872949226734671</t>
  </si>
  <si>
    <t>05/05/2026 17:21:12</t>
  </si>
  <si>
    <t>583872857747653649</t>
  </si>
  <si>
    <t>05/05/2026 17:08:12</t>
  </si>
  <si>
    <t>583872677274027322</t>
  </si>
  <si>
    <t>05/05/2026 17:01:14</t>
  </si>
  <si>
    <t>583872677187847442</t>
  </si>
  <si>
    <t>05/05/2026 16:58:15</t>
  </si>
  <si>
    <t>583872200679851377</t>
  </si>
  <si>
    <t>05/05/2026 16:20:12</t>
  </si>
  <si>
    <t>583866119576913575</t>
  </si>
  <si>
    <t>05/05/2026 09:53:11</t>
  </si>
  <si>
    <t>583853085635216525</t>
  </si>
  <si>
    <t>04/05/2026 15:56:15</t>
  </si>
  <si>
    <t>583852144167519792</t>
  </si>
  <si>
    <t>04/05/2026 15:02:14</t>
  </si>
  <si>
    <t>583847265532413542</t>
  </si>
  <si>
    <t>04/05/2026 09:29:19</t>
  </si>
  <si>
    <t>计算逻辑</t>
    <phoneticPr fontId="4" type="noConversion"/>
  </si>
  <si>
    <t>平台包邮服务费率</t>
    <phoneticPr fontId="4" type="noConversion"/>
  </si>
  <si>
    <t>佣金费率拆解</t>
    <phoneticPr fontId="4" type="noConversion"/>
  </si>
  <si>
    <t>平台佣金 3.2% + 增长费 8.09% + 汇率损耗 1%+1.05THB固定</t>
    <phoneticPr fontId="4" type="noConversion"/>
  </si>
  <si>
    <t xml:space="preserve">样品订单成本构成 </t>
    <phoneticPr fontId="4" type="noConversion"/>
  </si>
  <si>
    <t>产品成本+包装+固定快递费7元</t>
    <phoneticPr fontId="4" type="noConversion"/>
  </si>
  <si>
    <t>Normal 订单成本构成</t>
    <phoneticPr fontId="4" type="noConversion"/>
  </si>
  <si>
    <t>收入、产品成本、包装、平台佣金12.29%+1.05THB、包邮服务7.49%</t>
    <phoneticPr fontId="4" type="noConversion"/>
  </si>
  <si>
    <t xml:space="preserve">订单类型判断 </t>
    <phoneticPr fontId="4" type="noConversion"/>
  </si>
  <si>
    <t>Normal vs 样品</t>
    <phoneticPr fontId="4" type="noConversion"/>
  </si>
  <si>
    <t>汇率配置</t>
    <phoneticPr fontId="4" type="noConversion"/>
  </si>
  <si>
    <t>THB÷4.7, USD×7</t>
    <phoneticPr fontId="4" type="noConversion"/>
  </si>
  <si>
    <t>GMV</t>
    <phoneticPr fontId="4" type="noConversion"/>
  </si>
  <si>
    <t>——</t>
    <phoneticPr fontId="4" type="noConversion"/>
  </si>
  <si>
    <t>1871.49*7=13100.43</t>
    <phoneticPr fontId="4" type="noConversion"/>
  </si>
  <si>
    <t>TikTok项目利润汇总</t>
    <phoneticPr fontId="4" type="noConversion"/>
  </si>
  <si>
    <t>项目测算</t>
    <phoneticPr fontId="4" type="noConversion"/>
  </si>
  <si>
    <t>黄油鸡蛋卷480g</t>
    <phoneticPr fontId="4" type="noConversion"/>
  </si>
  <si>
    <t>传统鸡蛋卷454g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</si>
</sst>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10">
    <font>
      <sz val="11"/>
      <color theme="1"/>
      <name val="宋体"/>
      <family val="2"/>
      <scheme val="minor"/>
    </font>
    <font>
      <b/>
      <sz val="14"/>
      <name val="等线"/>
      <family val="4"/>
      <charset val="134"/>
    </font>
    <font>
      <sz val="12"/>
      <name val="等线"/>
      <family val="4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等线"/>
      <family val="4"/>
      <charset val="134"/>
    </font>
    <font>
      <sz val="11"/>
      <color theme="1"/>
      <name val="等线"/>
      <family val="4"/>
      <charset val="134"/>
    </font>
    <font>
      <b/>
      <sz val="11"/>
      <name val="等线"/>
      <family val="4"/>
      <charset val="134"/>
    </font>
    <font>
      <b/>
      <sz val="11"/>
      <color theme="1"/>
      <name val="等线"/>
      <family val="4"/>
      <charset val="134"/>
    </font>
    <font>
      <b/>
      <i/>
      <sz val="11"/>
      <color theme="1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2" fontId="0" fillId="0" borderId="0" xfId="0" applyNumberFormat="1"/>
    <xf numFmtId="10" fontId="0" fillId="0" borderId="0" xfId="0" applyNumberForma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2" fontId="6" fillId="0" borderId="0" xfId="0" applyNumberFormat="1" applyFont="1"/>
    <xf numFmtId="0" fontId="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0" fontId="8" fillId="0" borderId="0" xfId="0" applyNumberFormat="1" applyFont="1" applyAlignment="1">
      <alignment horizontal="left" vertical="center"/>
    </xf>
    <xf numFmtId="2" fontId="2" fillId="0" borderId="1" xfId="0" applyNumberFormat="1" applyFont="1" applyBorder="1" applyAlignment="1">
      <alignment vertical="center"/>
    </xf>
    <xf numFmtId="176" fontId="2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143933</xdr:colOff>
      <xdr:row>16</xdr:row>
      <xdr:rowOff>118533</xdr:rowOff>
    </xdr:from>
    <xdr:to>
      <xdr:col>6</xdr:col>
      <xdr:colOff>601133</xdr:colOff>
      <xdr:row>27</xdr:row>
      <xdr:rowOff>70627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EE44AF1-5C2B-F31E-7669-748972BD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33" y="3310466"/>
          <a:ext cx="7772400" cy="2094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zoomScale="150" zoomScaleNormal="150" workbookViewId="0">
      <selection activeCell="F14" sqref="F14"/>
    </sheetView>
  </sheetViews>
  <sheetFormatPr baseColWidth="10" defaultColWidth="8.83203125" defaultRowHeight="15"/>
  <cols>
    <col min="1" max="1" width="16" style="10" customWidth="1"/>
    <col min="2" max="3" width="16" style="9" customWidth="1"/>
    <col min="4" max="4" width="16" style="10" customWidth="1"/>
    <col min="5" max="5" width="16" style="9" customWidth="1"/>
    <col min="6" max="6" width="16" style="10" customWidth="1"/>
    <col min="7" max="7" width="16" style="9" customWidth="1"/>
    <col min="8" max="19" width="16" style="10" customWidth="1"/>
    <col min="20" max="16384" width="8.83203125" style="10"/>
  </cols>
  <sheetData>
    <row r="1" spans="1:9" ht="18">
      <c r="A1" s="8" t="s">
        <v>0</v>
      </c>
    </row>
    <row r="3" spans="1:9" ht="16">
      <c r="A3" s="11" t="s">
        <v>1</v>
      </c>
      <c r="B3" s="12" t="s">
        <v>2</v>
      </c>
      <c r="C3" s="12" t="s">
        <v>3</v>
      </c>
      <c r="D3" s="11" t="s">
        <v>4</v>
      </c>
      <c r="E3" s="12" t="s">
        <v>5</v>
      </c>
      <c r="F3" s="11" t="s">
        <v>6</v>
      </c>
      <c r="G3" s="12" t="s">
        <v>7</v>
      </c>
      <c r="H3" s="11" t="s">
        <v>8</v>
      </c>
      <c r="I3" s="11" t="s">
        <v>9</v>
      </c>
    </row>
    <row r="4" spans="1:9" ht="16">
      <c r="A4" s="11" t="s">
        <v>10</v>
      </c>
      <c r="B4" s="12" t="s">
        <v>11</v>
      </c>
      <c r="C4" s="12" t="s">
        <v>12</v>
      </c>
      <c r="D4" s="11" t="s">
        <v>13</v>
      </c>
      <c r="E4" s="12" t="s">
        <v>14</v>
      </c>
      <c r="F4" s="11" t="s">
        <v>15</v>
      </c>
      <c r="G4" s="12" t="s">
        <v>16</v>
      </c>
      <c r="H4" s="11" t="s">
        <v>17</v>
      </c>
      <c r="I4" s="11" t="s">
        <v>18</v>
      </c>
    </row>
    <row r="5" spans="1:9" ht="16">
      <c r="A5" s="11" t="s">
        <v>19</v>
      </c>
      <c r="B5" s="12">
        <v>522</v>
      </c>
      <c r="C5" s="12">
        <v>15935.87</v>
      </c>
      <c r="D5" s="11">
        <v>74898.59</v>
      </c>
      <c r="E5" s="12">
        <v>10738.11</v>
      </c>
      <c r="F5" s="11">
        <v>50469.120000000003</v>
      </c>
      <c r="G5" s="12">
        <v>5197.76</v>
      </c>
      <c r="H5" s="11">
        <v>24429.47</v>
      </c>
      <c r="I5" s="13">
        <v>0.32619999999999999</v>
      </c>
    </row>
    <row r="6" spans="1:9" ht="16">
      <c r="A6" s="11" t="s">
        <v>20</v>
      </c>
      <c r="B6" s="12">
        <v>211</v>
      </c>
      <c r="C6" s="12">
        <v>0</v>
      </c>
      <c r="D6" s="11">
        <v>0</v>
      </c>
      <c r="E6" s="12">
        <v>3307.06</v>
      </c>
      <c r="F6" s="11">
        <v>15543.18</v>
      </c>
      <c r="G6" s="12">
        <v>-3307.06</v>
      </c>
      <c r="H6" s="11">
        <v>-15543.18</v>
      </c>
      <c r="I6" s="14" t="s">
        <v>21</v>
      </c>
    </row>
    <row r="7" spans="1:9" s="9" customFormat="1" ht="16">
      <c r="A7" s="12" t="s">
        <v>22</v>
      </c>
      <c r="B7" s="12">
        <v>733</v>
      </c>
      <c r="C7" s="12">
        <v>15935.87</v>
      </c>
      <c r="D7" s="12">
        <v>74898.59</v>
      </c>
      <c r="E7" s="12">
        <v>14045.17</v>
      </c>
      <c r="F7" s="12">
        <v>66012.289999999994</v>
      </c>
      <c r="G7" s="12">
        <v>1890.7</v>
      </c>
      <c r="H7" s="12">
        <v>8886.2999999999993</v>
      </c>
      <c r="I7" s="13">
        <v>0.1186</v>
      </c>
    </row>
    <row r="10" spans="1:9">
      <c r="A10" s="15" t="s">
        <v>1453</v>
      </c>
    </row>
    <row r="11" spans="1:9">
      <c r="A11" s="10" t="s">
        <v>1463</v>
      </c>
      <c r="B11" s="16" t="s">
        <v>1464</v>
      </c>
    </row>
    <row r="12" spans="1:9">
      <c r="A12" s="10" t="s">
        <v>1461</v>
      </c>
      <c r="B12" s="16" t="s">
        <v>1462</v>
      </c>
    </row>
    <row r="13" spans="1:9">
      <c r="A13" s="10" t="s">
        <v>1459</v>
      </c>
      <c r="B13" s="16" t="s">
        <v>1460</v>
      </c>
    </row>
    <row r="14" spans="1:9">
      <c r="A14" s="10" t="s">
        <v>1457</v>
      </c>
      <c r="B14" s="16" t="s">
        <v>1458</v>
      </c>
    </row>
    <row r="15" spans="1:9">
      <c r="A15" s="10" t="s">
        <v>1455</v>
      </c>
      <c r="B15" s="16" t="s">
        <v>1456</v>
      </c>
    </row>
    <row r="16" spans="1:9">
      <c r="A16" s="10" t="s">
        <v>1454</v>
      </c>
      <c r="B16" s="17">
        <v>7.4899999999999994E-2</v>
      </c>
    </row>
    <row r="29" spans="1:9" ht="18">
      <c r="A29" s="8" t="s">
        <v>1468</v>
      </c>
    </row>
    <row r="30" spans="1:9" ht="16">
      <c r="A30" s="11" t="s">
        <v>1</v>
      </c>
      <c r="B30" s="12" t="s">
        <v>2</v>
      </c>
      <c r="C30" s="12" t="s">
        <v>3</v>
      </c>
      <c r="D30" s="11" t="s">
        <v>4</v>
      </c>
      <c r="E30" s="12" t="s">
        <v>5</v>
      </c>
      <c r="F30" s="11" t="s">
        <v>6</v>
      </c>
      <c r="G30" s="12" t="s">
        <v>7</v>
      </c>
      <c r="H30" s="11" t="s">
        <v>8</v>
      </c>
      <c r="I30" s="11" t="s">
        <v>9</v>
      </c>
    </row>
    <row r="31" spans="1:9" ht="16">
      <c r="A31" s="11" t="s">
        <v>10</v>
      </c>
      <c r="B31" s="12" t="s">
        <v>11</v>
      </c>
      <c r="C31" s="12" t="s">
        <v>12</v>
      </c>
      <c r="D31" s="11" t="s">
        <v>13</v>
      </c>
      <c r="E31" s="12" t="s">
        <v>14</v>
      </c>
      <c r="F31" s="11" t="s">
        <v>15</v>
      </c>
      <c r="G31" s="12" t="s">
        <v>16</v>
      </c>
      <c r="H31" s="11" t="s">
        <v>17</v>
      </c>
      <c r="I31" s="11" t="s">
        <v>18</v>
      </c>
    </row>
    <row r="32" spans="1:9" ht="16">
      <c r="A32" s="11" t="s">
        <v>19</v>
      </c>
      <c r="B32" s="12">
        <v>522</v>
      </c>
      <c r="C32" s="12">
        <v>15935.87</v>
      </c>
      <c r="D32" s="11">
        <v>74898.59</v>
      </c>
      <c r="E32" s="12">
        <v>10738.11</v>
      </c>
      <c r="F32" s="11">
        <v>50469.120000000003</v>
      </c>
      <c r="G32" s="12">
        <v>5197.76</v>
      </c>
      <c r="H32" s="11">
        <v>24429.47</v>
      </c>
      <c r="I32" s="13">
        <v>0.32619999999999999</v>
      </c>
    </row>
    <row r="33" spans="1:9" ht="16">
      <c r="A33" s="11" t="s">
        <v>20</v>
      </c>
      <c r="B33" s="12">
        <v>211</v>
      </c>
      <c r="C33" s="12">
        <v>0</v>
      </c>
      <c r="D33" s="11">
        <v>0</v>
      </c>
      <c r="E33" s="12">
        <v>3307.06</v>
      </c>
      <c r="F33" s="11">
        <v>15543.18</v>
      </c>
      <c r="G33" s="12">
        <v>-3307.06</v>
      </c>
      <c r="H33" s="11">
        <v>-15543.18</v>
      </c>
      <c r="I33" s="14" t="s">
        <v>21</v>
      </c>
    </row>
    <row r="34" spans="1:9" ht="16">
      <c r="A34" s="11" t="s">
        <v>1465</v>
      </c>
      <c r="B34" s="12" t="s">
        <v>1466</v>
      </c>
      <c r="C34" s="12">
        <v>0</v>
      </c>
      <c r="D34" s="11">
        <v>0</v>
      </c>
      <c r="E34" s="12">
        <v>5568.85</v>
      </c>
      <c r="F34" s="18">
        <f>E34*4.7</f>
        <v>26173.595000000001</v>
      </c>
      <c r="G34" s="12">
        <f>C34-E34</f>
        <v>-5568.85</v>
      </c>
      <c r="H34" s="19">
        <f>D34-F34</f>
        <v>-26173.595000000001</v>
      </c>
      <c r="I34" s="14" t="s">
        <v>21</v>
      </c>
    </row>
    <row r="35" spans="1:9" ht="16">
      <c r="A35" s="12" t="s">
        <v>1469</v>
      </c>
      <c r="B35" s="12">
        <v>733</v>
      </c>
      <c r="C35" s="12">
        <f>SUM(C32:C34)</f>
        <v>15935.87</v>
      </c>
      <c r="D35" s="12">
        <v>74898.59</v>
      </c>
      <c r="E35" s="12">
        <f>SUM(E32:E34)</f>
        <v>19614.02</v>
      </c>
      <c r="F35" s="12">
        <f>SUM(F32:F34)</f>
        <v>92185.895000000004</v>
      </c>
      <c r="G35" s="12">
        <f>SUM(G32:G34)</f>
        <v>-3678.15</v>
      </c>
      <c r="H35" s="12">
        <f>SUM(H32:H34)</f>
        <v>-17287.305</v>
      </c>
      <c r="I35" s="13">
        <f>G35/C35</f>
        <v>-0.23080948828021311</v>
      </c>
    </row>
    <row r="38" spans="1:9">
      <c r="C38" s="9" t="s">
        <v>1467</v>
      </c>
    </row>
  </sheetData>
  <phoneticPr fontId="4" type="noConversion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abSelected="1" zoomScale="150" zoomScaleNormal="150" workbookViewId="0">
      <selection activeCell="F22" sqref="F22"/>
    </sheetView>
  </sheetViews>
  <sheetFormatPr baseColWidth="10" defaultColWidth="8.83203125" defaultRowHeight="15"/>
  <cols>
    <col min="1" max="1" width="10.33203125" style="5" customWidth="1"/>
    <col min="2" max="2" width="16" style="5" customWidth="1"/>
    <col min="3" max="14" width="12.83203125" style="5" customWidth="1"/>
    <col min="15" max="19" width="16" style="5" customWidth="1"/>
    <col min="20" max="16384" width="8.83203125" style="5"/>
  </cols>
  <sheetData>
    <row r="1" spans="1:14" ht="16">
      <c r="A1" s="1" t="s">
        <v>23</v>
      </c>
      <c r="B1" s="1" t="s">
        <v>24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29</v>
      </c>
    </row>
    <row r="2" spans="1:14" ht="16">
      <c r="A2" s="1" t="s">
        <v>30</v>
      </c>
      <c r="B2" s="1" t="s">
        <v>31</v>
      </c>
      <c r="C2" s="1" t="s">
        <v>11</v>
      </c>
      <c r="D2" s="1" t="s">
        <v>12</v>
      </c>
      <c r="E2" s="1" t="s">
        <v>13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16</v>
      </c>
      <c r="M2" s="1" t="s">
        <v>17</v>
      </c>
      <c r="N2" s="1" t="s">
        <v>38</v>
      </c>
    </row>
    <row r="3" spans="1:14">
      <c r="A3" s="6" t="s">
        <v>30</v>
      </c>
      <c r="B3" s="6" t="s">
        <v>31</v>
      </c>
      <c r="C3" s="6" t="s">
        <v>11</v>
      </c>
      <c r="D3" s="6" t="s">
        <v>12</v>
      </c>
      <c r="E3" s="6" t="s">
        <v>13</v>
      </c>
      <c r="F3" s="6" t="s">
        <v>32</v>
      </c>
      <c r="G3" s="6" t="s">
        <v>33</v>
      </c>
      <c r="H3" s="6" t="s">
        <v>34</v>
      </c>
      <c r="I3" s="6" t="s">
        <v>35</v>
      </c>
      <c r="J3" s="6" t="s">
        <v>36</v>
      </c>
      <c r="K3" s="6" t="s">
        <v>37</v>
      </c>
      <c r="L3" s="6" t="s">
        <v>16</v>
      </c>
      <c r="M3" s="6" t="s">
        <v>17</v>
      </c>
      <c r="N3" s="6" t="s">
        <v>38</v>
      </c>
    </row>
    <row r="4" spans="1:14">
      <c r="A4" s="5" t="s">
        <v>39</v>
      </c>
      <c r="B4" s="5" t="s">
        <v>40</v>
      </c>
      <c r="C4" s="7">
        <v>135</v>
      </c>
      <c r="D4" s="7">
        <v>2386.8978723404248</v>
      </c>
      <c r="E4" s="7">
        <v>11218.42</v>
      </c>
      <c r="F4" s="7">
        <v>904.49999999999989</v>
      </c>
      <c r="G4" s="7">
        <v>129</v>
      </c>
      <c r="H4" s="7">
        <v>322.1688974468085</v>
      </c>
      <c r="I4" s="7">
        <v>178.7786506382979</v>
      </c>
      <c r="J4" s="7">
        <v>1534.4475480851061</v>
      </c>
      <c r="K4" s="7">
        <v>7211.9034760000004</v>
      </c>
      <c r="L4" s="7">
        <v>852.45032425531917</v>
      </c>
      <c r="M4" s="7">
        <v>4006.5165240000001</v>
      </c>
      <c r="N4" s="7">
        <v>35.713732629015503</v>
      </c>
    </row>
    <row r="5" spans="1:14">
      <c r="A5" s="5" t="s">
        <v>41</v>
      </c>
      <c r="B5" s="5" t="s">
        <v>42</v>
      </c>
      <c r="C5" s="7">
        <v>85</v>
      </c>
      <c r="D5" s="7">
        <v>1655.425531914894</v>
      </c>
      <c r="E5" s="7">
        <v>7780.5</v>
      </c>
      <c r="F5" s="7">
        <v>911.76529267804654</v>
      </c>
      <c r="G5" s="7">
        <v>76</v>
      </c>
      <c r="H5" s="7">
        <v>220.4305212765957</v>
      </c>
      <c r="I5" s="7">
        <v>123.9913723404255</v>
      </c>
      <c r="J5" s="7">
        <v>1332.1871862950679</v>
      </c>
      <c r="K5" s="7">
        <v>6261.2797755868196</v>
      </c>
      <c r="L5" s="7">
        <v>323.23834561982568</v>
      </c>
      <c r="M5" s="7">
        <v>1519.2202244131811</v>
      </c>
      <c r="N5" s="7">
        <v>19.52599735766572</v>
      </c>
    </row>
    <row r="6" spans="1:14">
      <c r="A6" s="5" t="s">
        <v>43</v>
      </c>
      <c r="B6" s="5" t="s">
        <v>44</v>
      </c>
      <c r="C6" s="7">
        <v>67</v>
      </c>
      <c r="D6" s="7">
        <v>2110.1106382978719</v>
      </c>
      <c r="E6" s="7">
        <v>9917.52</v>
      </c>
      <c r="F6" s="7">
        <v>897.8</v>
      </c>
      <c r="G6" s="7">
        <v>61</v>
      </c>
      <c r="H6" s="7">
        <v>272.96025702127662</v>
      </c>
      <c r="I6" s="7">
        <v>158.04728680851059</v>
      </c>
      <c r="J6" s="7">
        <v>1389.8075438297869</v>
      </c>
      <c r="K6" s="7">
        <v>6532.095456</v>
      </c>
      <c r="L6" s="7">
        <v>720.30309446808519</v>
      </c>
      <c r="M6" s="7">
        <v>3385.424544</v>
      </c>
      <c r="N6" s="7">
        <v>34.135797497761537</v>
      </c>
    </row>
    <row r="7" spans="1:14">
      <c r="A7" s="5" t="s">
        <v>45</v>
      </c>
      <c r="B7" s="5" t="s">
        <v>46</v>
      </c>
      <c r="C7" s="7">
        <v>56</v>
      </c>
      <c r="D7" s="7">
        <v>2125.717021276595</v>
      </c>
      <c r="E7" s="7">
        <v>9990.869999999999</v>
      </c>
      <c r="F7" s="7">
        <v>1125.5999999999999</v>
      </c>
      <c r="G7" s="7">
        <v>47</v>
      </c>
      <c r="H7" s="7">
        <v>271.7506219148936</v>
      </c>
      <c r="I7" s="7">
        <v>159.216204893617</v>
      </c>
      <c r="J7" s="7">
        <v>1603.566826808511</v>
      </c>
      <c r="K7" s="7">
        <v>7536.764086000001</v>
      </c>
      <c r="L7" s="7">
        <v>522.15019446808492</v>
      </c>
      <c r="M7" s="7">
        <v>2454.1059139999988</v>
      </c>
      <c r="N7" s="7">
        <v>24.563485602354941</v>
      </c>
    </row>
    <row r="8" spans="1:14">
      <c r="A8" s="5" t="s">
        <v>47</v>
      </c>
      <c r="B8" s="5" t="s">
        <v>40</v>
      </c>
      <c r="C8" s="7">
        <v>49</v>
      </c>
      <c r="D8" s="7">
        <v>1153.225531914894</v>
      </c>
      <c r="E8" s="7">
        <v>5420.16</v>
      </c>
      <c r="F8" s="7">
        <v>328.3</v>
      </c>
      <c r="G8" s="7">
        <v>48</v>
      </c>
      <c r="H8" s="7">
        <v>152.45482212765961</v>
      </c>
      <c r="I8" s="7">
        <v>86.376592340425532</v>
      </c>
      <c r="J8" s="7">
        <v>615.13141446808504</v>
      </c>
      <c r="K8" s="7">
        <v>2891.1176479999999</v>
      </c>
      <c r="L8" s="7">
        <v>538.09411744680847</v>
      </c>
      <c r="M8" s="7">
        <v>2529.0423519999999</v>
      </c>
      <c r="N8" s="7">
        <v>46.659920592750026</v>
      </c>
    </row>
    <row r="9" spans="1:14">
      <c r="A9" s="5" t="s">
        <v>48</v>
      </c>
      <c r="B9" s="5" t="s">
        <v>49</v>
      </c>
      <c r="C9" s="7">
        <v>48</v>
      </c>
      <c r="D9" s="7">
        <v>614.62765957446811</v>
      </c>
      <c r="E9" s="7">
        <v>2888.75</v>
      </c>
      <c r="F9" s="7">
        <v>160.80000000000001</v>
      </c>
      <c r="G9" s="7">
        <v>45</v>
      </c>
      <c r="H9" s="7">
        <v>85.590930851063831</v>
      </c>
      <c r="I9" s="7">
        <v>46.035611702127653</v>
      </c>
      <c r="J9" s="7">
        <v>337.42654255319138</v>
      </c>
      <c r="K9" s="7">
        <v>1585.9047499999999</v>
      </c>
      <c r="L9" s="7">
        <v>277.20111702127662</v>
      </c>
      <c r="M9" s="7">
        <v>1302.8452500000001</v>
      </c>
      <c r="N9" s="7">
        <v>45.100657723929039</v>
      </c>
    </row>
    <row r="10" spans="1:14">
      <c r="A10" s="5" t="s">
        <v>50</v>
      </c>
      <c r="B10" s="5" t="s">
        <v>51</v>
      </c>
      <c r="C10" s="7">
        <v>35</v>
      </c>
      <c r="D10" s="7">
        <v>630.97446808510631</v>
      </c>
      <c r="E10" s="7">
        <v>2965.58</v>
      </c>
      <c r="F10" s="7">
        <v>117.25</v>
      </c>
      <c r="G10" s="7">
        <v>32</v>
      </c>
      <c r="H10" s="7">
        <v>84.69569829787234</v>
      </c>
      <c r="I10" s="7">
        <v>47.259987659574463</v>
      </c>
      <c r="J10" s="7">
        <v>281.2056859574468</v>
      </c>
      <c r="K10" s="7">
        <v>1321.6667239999999</v>
      </c>
      <c r="L10" s="7">
        <v>349.76878212765962</v>
      </c>
      <c r="M10" s="7">
        <v>1643.913276</v>
      </c>
      <c r="N10" s="7">
        <v>55.433111769030013</v>
      </c>
    </row>
    <row r="11" spans="1:14">
      <c r="A11" s="5" t="s">
        <v>52</v>
      </c>
      <c r="B11" s="5" t="s">
        <v>1470</v>
      </c>
      <c r="C11" s="7">
        <v>27</v>
      </c>
      <c r="D11" s="7">
        <v>2197.548936170213</v>
      </c>
      <c r="E11" s="7">
        <v>10328.48</v>
      </c>
      <c r="F11" s="7">
        <v>1228.4682578150389</v>
      </c>
      <c r="G11" s="7">
        <v>52</v>
      </c>
      <c r="H11" s="7">
        <v>275.88727489361702</v>
      </c>
      <c r="I11" s="7">
        <v>164.59641531914889</v>
      </c>
      <c r="J11" s="7">
        <v>1720.951948027805</v>
      </c>
      <c r="K11" s="7">
        <v>8088.4741557306861</v>
      </c>
      <c r="L11" s="7">
        <v>476.59698814240733</v>
      </c>
      <c r="M11" s="7">
        <v>2240.0058442693139</v>
      </c>
      <c r="N11" s="7">
        <v>21.68766211745886</v>
      </c>
    </row>
    <row r="12" spans="1:14">
      <c r="A12" s="5" t="s">
        <v>54</v>
      </c>
      <c r="B12" s="5" t="s">
        <v>44</v>
      </c>
      <c r="C12" s="7">
        <v>23</v>
      </c>
      <c r="D12" s="7">
        <v>989.57446808510633</v>
      </c>
      <c r="E12" s="7">
        <v>4651</v>
      </c>
      <c r="F12" s="7">
        <v>308.2</v>
      </c>
      <c r="G12" s="7">
        <v>21</v>
      </c>
      <c r="H12" s="7">
        <v>126.3101914893617</v>
      </c>
      <c r="I12" s="7">
        <v>74.11912765957446</v>
      </c>
      <c r="J12" s="7">
        <v>529.62931914893613</v>
      </c>
      <c r="K12" s="7">
        <v>2489.2577999999999</v>
      </c>
      <c r="L12" s="7">
        <v>459.94514893617031</v>
      </c>
      <c r="M12" s="7">
        <v>2161.7422000000001</v>
      </c>
      <c r="N12" s="7">
        <v>46.479084067942381</v>
      </c>
    </row>
    <row r="13" spans="1:14">
      <c r="A13" s="5" t="s">
        <v>55</v>
      </c>
      <c r="B13" s="5" t="s">
        <v>46</v>
      </c>
      <c r="C13" s="7">
        <v>13</v>
      </c>
      <c r="D13" s="7">
        <v>533.71276595744678</v>
      </c>
      <c r="E13" s="7">
        <v>2508.4499999999998</v>
      </c>
      <c r="F13" s="7">
        <v>261.3</v>
      </c>
      <c r="G13" s="7">
        <v>9</v>
      </c>
      <c r="H13" s="7">
        <v>67.603937234042547</v>
      </c>
      <c r="I13" s="7">
        <v>39.975086170212762</v>
      </c>
      <c r="J13" s="7">
        <v>377.87902340425529</v>
      </c>
      <c r="K13" s="7">
        <v>1776.0314100000001</v>
      </c>
      <c r="L13" s="7">
        <v>155.83374255319151</v>
      </c>
      <c r="M13" s="7">
        <v>732.41858999999988</v>
      </c>
      <c r="N13" s="7">
        <v>29.198054176882131</v>
      </c>
    </row>
    <row r="14" spans="1:14">
      <c r="A14" s="5" t="s">
        <v>56</v>
      </c>
      <c r="B14" s="5" t="s">
        <v>1471</v>
      </c>
      <c r="C14" s="7">
        <v>13</v>
      </c>
      <c r="D14" s="7">
        <v>1179.7872340425531</v>
      </c>
      <c r="E14" s="7">
        <v>5545</v>
      </c>
      <c r="F14" s="7">
        <v>523.29401893482236</v>
      </c>
      <c r="G14" s="7">
        <v>26</v>
      </c>
      <c r="H14" s="7">
        <v>147.90010638297869</v>
      </c>
      <c r="I14" s="7">
        <v>88.366063829787223</v>
      </c>
      <c r="J14" s="7">
        <v>785.56018914758829</v>
      </c>
      <c r="K14" s="7">
        <v>3692.1328889936649</v>
      </c>
      <c r="L14" s="7">
        <v>394.22704489496482</v>
      </c>
      <c r="M14" s="7">
        <v>1852.8671110063351</v>
      </c>
      <c r="N14" s="7">
        <v>33.415096681809473</v>
      </c>
    </row>
    <row r="15" spans="1:14">
      <c r="A15" s="5" t="s">
        <v>58</v>
      </c>
      <c r="B15" s="5" t="s">
        <v>59</v>
      </c>
      <c r="C15" s="7">
        <v>7</v>
      </c>
      <c r="D15" s="7">
        <v>196.76170212765959</v>
      </c>
      <c r="E15" s="7">
        <v>924.78</v>
      </c>
      <c r="F15" s="7">
        <v>85.399999999999991</v>
      </c>
      <c r="G15" s="7">
        <v>3.5</v>
      </c>
      <c r="H15" s="7">
        <v>25.745842978723399</v>
      </c>
      <c r="I15" s="7">
        <v>14.7374514893617</v>
      </c>
      <c r="J15" s="7">
        <v>129.3832944680851</v>
      </c>
      <c r="K15" s="7">
        <v>608.10148400000003</v>
      </c>
      <c r="L15" s="7">
        <v>67.378407659574464</v>
      </c>
      <c r="M15" s="7">
        <v>316.678516</v>
      </c>
      <c r="N15" s="7">
        <v>34.24365968122148</v>
      </c>
    </row>
    <row r="16" spans="1:14">
      <c r="A16" s="5" t="s">
        <v>60</v>
      </c>
      <c r="B16" s="5" t="s">
        <v>61</v>
      </c>
      <c r="C16" s="7">
        <v>4</v>
      </c>
      <c r="D16" s="7">
        <v>72.042553191489347</v>
      </c>
      <c r="E16" s="7">
        <v>338.6</v>
      </c>
      <c r="F16" s="7">
        <v>24.4</v>
      </c>
      <c r="G16" s="7">
        <v>2</v>
      </c>
      <c r="H16" s="7">
        <v>9.7476468085106376</v>
      </c>
      <c r="I16" s="7">
        <v>5.3959872340425523</v>
      </c>
      <c r="J16" s="7">
        <v>41.543634042553187</v>
      </c>
      <c r="K16" s="7">
        <v>195.25507999999999</v>
      </c>
      <c r="L16" s="7">
        <v>30.498919148936171</v>
      </c>
      <c r="M16" s="7">
        <v>143.34492</v>
      </c>
      <c r="N16" s="7">
        <v>42.33458948611932</v>
      </c>
    </row>
    <row r="17" spans="1:14">
      <c r="A17" s="5" t="s">
        <v>62</v>
      </c>
      <c r="B17" s="5" t="s">
        <v>63</v>
      </c>
      <c r="C17" s="7">
        <v>2</v>
      </c>
      <c r="D17" s="7">
        <v>14.485106382978721</v>
      </c>
      <c r="E17" s="7">
        <v>68.08</v>
      </c>
      <c r="F17" s="7">
        <v>8</v>
      </c>
      <c r="G17" s="7">
        <v>1</v>
      </c>
      <c r="H17" s="7">
        <v>2.2270280851063831</v>
      </c>
      <c r="I17" s="7">
        <v>1.0849344680851061</v>
      </c>
      <c r="J17" s="7">
        <v>12.31196255319149</v>
      </c>
      <c r="K17" s="7">
        <v>57.866224000000003</v>
      </c>
      <c r="L17" s="7">
        <v>2.1731438297872332</v>
      </c>
      <c r="M17" s="7">
        <v>10.213775999999999</v>
      </c>
      <c r="N17" s="7">
        <v>15.002608695652169</v>
      </c>
    </row>
    <row r="18" spans="1:14">
      <c r="A18" s="5" t="s">
        <v>64</v>
      </c>
      <c r="B18" s="5" t="s">
        <v>65</v>
      </c>
      <c r="C18" s="7">
        <v>1</v>
      </c>
      <c r="D18" s="7">
        <v>31.914893617021271</v>
      </c>
      <c r="E18" s="7">
        <v>150</v>
      </c>
      <c r="F18" s="7">
        <v>18.3</v>
      </c>
      <c r="G18" s="7">
        <v>0.5</v>
      </c>
      <c r="H18" s="7">
        <v>4.1457446808510632</v>
      </c>
      <c r="I18" s="7">
        <v>2.390425531914893</v>
      </c>
      <c r="J18" s="7">
        <v>25.33617021276596</v>
      </c>
      <c r="K18" s="7">
        <v>119.08</v>
      </c>
      <c r="L18" s="7">
        <v>6.5787234042553173</v>
      </c>
      <c r="M18" s="7">
        <v>30.919999999999991</v>
      </c>
      <c r="N18" s="7">
        <v>20.61333333333333</v>
      </c>
    </row>
    <row r="19" spans="1:14">
      <c r="A19" s="5" t="s">
        <v>66</v>
      </c>
      <c r="B19" s="5" t="s">
        <v>67</v>
      </c>
      <c r="C19" s="7">
        <v>1</v>
      </c>
      <c r="D19" s="7">
        <v>43.063829787234042</v>
      </c>
      <c r="E19" s="7">
        <v>202.4</v>
      </c>
      <c r="F19" s="7">
        <v>12</v>
      </c>
      <c r="G19" s="7">
        <v>1</v>
      </c>
      <c r="H19" s="7">
        <v>5.5159489361702132</v>
      </c>
      <c r="I19" s="7">
        <v>3.2254808510638289</v>
      </c>
      <c r="J19" s="7">
        <v>21.74142978723404</v>
      </c>
      <c r="K19" s="7">
        <v>102.18472</v>
      </c>
      <c r="L19" s="7">
        <v>21.322399999999998</v>
      </c>
      <c r="M19" s="7">
        <v>100.21528000000001</v>
      </c>
      <c r="N19" s="7">
        <v>49.513478260869569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zoomScale="150" zoomScaleNormal="150" workbookViewId="0">
      <selection activeCell="B37" sqref="B37"/>
    </sheetView>
  </sheetViews>
  <sheetFormatPr baseColWidth="10" defaultColWidth="8.83203125" defaultRowHeight="14"/>
  <cols>
    <col min="1" max="19" width="16" customWidth="1"/>
  </cols>
  <sheetData>
    <row r="1" spans="1:10" ht="16">
      <c r="A1" s="1" t="s">
        <v>23</v>
      </c>
      <c r="B1" s="1" t="s">
        <v>24</v>
      </c>
      <c r="C1" s="1" t="s">
        <v>2</v>
      </c>
      <c r="D1" s="1" t="s">
        <v>25</v>
      </c>
      <c r="E1" s="1" t="s">
        <v>26</v>
      </c>
      <c r="F1" s="1" t="s">
        <v>68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6">
      <c r="A2" s="1" t="s">
        <v>30</v>
      </c>
      <c r="B2" s="1" t="s">
        <v>31</v>
      </c>
      <c r="C2" s="1" t="s">
        <v>11</v>
      </c>
      <c r="D2" s="1" t="s">
        <v>32</v>
      </c>
      <c r="E2" s="1" t="s">
        <v>33</v>
      </c>
      <c r="F2" s="1" t="s">
        <v>69</v>
      </c>
      <c r="G2" s="1" t="s">
        <v>36</v>
      </c>
      <c r="H2" s="1" t="s">
        <v>37</v>
      </c>
      <c r="I2" s="1" t="s">
        <v>16</v>
      </c>
      <c r="J2" s="1" t="s">
        <v>17</v>
      </c>
    </row>
    <row r="3" spans="1:10">
      <c r="A3" s="2" t="s">
        <v>30</v>
      </c>
      <c r="B3" s="2" t="s">
        <v>31</v>
      </c>
      <c r="C3" s="2" t="s">
        <v>11</v>
      </c>
      <c r="D3" s="2" t="s">
        <v>32</v>
      </c>
      <c r="E3" s="2" t="s">
        <v>33</v>
      </c>
      <c r="F3" s="2" t="s">
        <v>69</v>
      </c>
      <c r="G3" s="2" t="s">
        <v>36</v>
      </c>
      <c r="H3" s="2" t="s">
        <v>37</v>
      </c>
      <c r="I3" s="2" t="s">
        <v>16</v>
      </c>
      <c r="J3" s="2" t="s">
        <v>17</v>
      </c>
    </row>
    <row r="4" spans="1:10">
      <c r="A4" t="s">
        <v>39</v>
      </c>
      <c r="B4" t="s">
        <v>40</v>
      </c>
      <c r="C4" s="3">
        <v>160</v>
      </c>
      <c r="D4" s="3">
        <v>1072</v>
      </c>
      <c r="E4" s="3">
        <v>160</v>
      </c>
      <c r="F4" s="3">
        <v>1120</v>
      </c>
      <c r="G4" s="3">
        <v>2352</v>
      </c>
      <c r="H4" s="3">
        <v>11054.4</v>
      </c>
      <c r="I4" s="3">
        <v>-2352</v>
      </c>
      <c r="J4" s="3">
        <v>-11054.4</v>
      </c>
    </row>
    <row r="5" spans="1:10">
      <c r="A5" t="s">
        <v>41</v>
      </c>
      <c r="B5" t="s">
        <v>42</v>
      </c>
      <c r="C5" s="3">
        <v>51</v>
      </c>
      <c r="D5" s="3">
        <v>547.05917560682792</v>
      </c>
      <c r="E5" s="3">
        <v>51</v>
      </c>
      <c r="F5" s="3">
        <v>357</v>
      </c>
      <c r="G5" s="3">
        <v>955.05917560682792</v>
      </c>
      <c r="H5" s="3">
        <v>4488.7781253520916</v>
      </c>
      <c r="I5" s="3">
        <v>-955.05917560682792</v>
      </c>
      <c r="J5" s="3">
        <v>-4488.7781253520916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25"/>
  <sheetViews>
    <sheetView zoomScale="120" zoomScaleNormal="120" workbookViewId="0">
      <selection activeCell="C12" sqref="C12"/>
    </sheetView>
  </sheetViews>
  <sheetFormatPr baseColWidth="10" defaultColWidth="8.83203125" defaultRowHeight="14"/>
  <cols>
    <col min="1" max="1" width="16" customWidth="1"/>
    <col min="2" max="3" width="10.83203125" customWidth="1"/>
    <col min="4" max="6" width="16" customWidth="1"/>
    <col min="7" max="17" width="10.83203125" customWidth="1"/>
    <col min="18" max="19" width="16" customWidth="1"/>
  </cols>
  <sheetData>
    <row r="1" spans="1:18" ht="16">
      <c r="A1" s="1" t="s">
        <v>70</v>
      </c>
      <c r="B1" s="1" t="s">
        <v>71</v>
      </c>
      <c r="C1" s="1" t="s">
        <v>30</v>
      </c>
      <c r="D1" s="1" t="s">
        <v>31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77</v>
      </c>
      <c r="P1" s="1" t="s">
        <v>78</v>
      </c>
      <c r="Q1" s="1" t="s">
        <v>18</v>
      </c>
      <c r="R1" s="1" t="s">
        <v>79</v>
      </c>
    </row>
    <row r="2" spans="1:18" ht="16">
      <c r="A2" s="1" t="s">
        <v>70</v>
      </c>
      <c r="B2" s="1" t="s">
        <v>71</v>
      </c>
      <c r="C2" s="1" t="s">
        <v>30</v>
      </c>
      <c r="D2" s="1" t="s">
        <v>31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77</v>
      </c>
      <c r="P2" s="1" t="s">
        <v>78</v>
      </c>
      <c r="Q2" s="1" t="s">
        <v>18</v>
      </c>
      <c r="R2" s="1" t="s">
        <v>79</v>
      </c>
    </row>
    <row r="3" spans="1:18">
      <c r="A3" s="2" t="s">
        <v>70</v>
      </c>
      <c r="B3" s="2" t="s">
        <v>71</v>
      </c>
      <c r="C3" s="2" t="s">
        <v>30</v>
      </c>
      <c r="D3" s="2" t="s">
        <v>31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77</v>
      </c>
      <c r="P3" s="2" t="s">
        <v>78</v>
      </c>
      <c r="Q3" s="2" t="s">
        <v>18</v>
      </c>
      <c r="R3" s="2" t="s">
        <v>79</v>
      </c>
    </row>
    <row r="4" spans="1:18">
      <c r="A4" t="s">
        <v>80</v>
      </c>
      <c r="B4" t="s">
        <v>81</v>
      </c>
      <c r="C4" t="s">
        <v>39</v>
      </c>
      <c r="D4" t="s">
        <v>40</v>
      </c>
      <c r="E4" t="s">
        <v>82</v>
      </c>
      <c r="F4" t="s">
        <v>83</v>
      </c>
      <c r="G4">
        <v>1</v>
      </c>
      <c r="H4">
        <v>69</v>
      </c>
      <c r="I4">
        <v>14.68</v>
      </c>
      <c r="J4">
        <v>6.7</v>
      </c>
      <c r="K4">
        <v>1</v>
      </c>
      <c r="L4">
        <v>2.0299999999999998</v>
      </c>
      <c r="M4">
        <v>1.1000000000000001</v>
      </c>
      <c r="N4">
        <v>10.83</v>
      </c>
      <c r="O4">
        <v>3.85</v>
      </c>
      <c r="P4">
        <v>18.11</v>
      </c>
      <c r="Q4" s="4">
        <v>0.26249</v>
      </c>
      <c r="R4" t="s">
        <v>84</v>
      </c>
    </row>
    <row r="5" spans="1:18">
      <c r="A5" t="s">
        <v>85</v>
      </c>
      <c r="B5" t="s">
        <v>81</v>
      </c>
      <c r="C5" t="s">
        <v>43</v>
      </c>
      <c r="D5" t="s">
        <v>44</v>
      </c>
      <c r="E5" t="s">
        <v>82</v>
      </c>
      <c r="F5" t="s">
        <v>86</v>
      </c>
      <c r="G5">
        <v>2</v>
      </c>
      <c r="H5">
        <v>250</v>
      </c>
      <c r="I5">
        <v>53.19</v>
      </c>
      <c r="J5">
        <v>26.8</v>
      </c>
      <c r="K5">
        <v>1</v>
      </c>
      <c r="L5">
        <v>6.76</v>
      </c>
      <c r="M5">
        <v>3.98</v>
      </c>
      <c r="N5">
        <v>38.54</v>
      </c>
      <c r="O5">
        <v>14.65</v>
      </c>
      <c r="P5">
        <v>68.84</v>
      </c>
      <c r="Q5" s="4">
        <v>0.27535999999999999</v>
      </c>
      <c r="R5" t="s">
        <v>87</v>
      </c>
    </row>
    <row r="6" spans="1:18">
      <c r="A6" t="s">
        <v>88</v>
      </c>
      <c r="B6" t="s">
        <v>81</v>
      </c>
      <c r="C6" t="s">
        <v>39</v>
      </c>
      <c r="D6" t="s">
        <v>40</v>
      </c>
      <c r="E6" t="s">
        <v>82</v>
      </c>
      <c r="F6" t="s">
        <v>83</v>
      </c>
      <c r="G6">
        <v>1</v>
      </c>
      <c r="H6">
        <v>138</v>
      </c>
      <c r="I6">
        <v>29.36</v>
      </c>
      <c r="J6">
        <v>6.7</v>
      </c>
      <c r="K6">
        <v>1</v>
      </c>
      <c r="L6">
        <v>3.83</v>
      </c>
      <c r="M6">
        <v>2.2000000000000002</v>
      </c>
      <c r="N6">
        <v>13.73</v>
      </c>
      <c r="O6">
        <v>15.63</v>
      </c>
      <c r="P6">
        <v>73.459999999999994</v>
      </c>
      <c r="Q6" s="4">
        <v>0.53234000000000004</v>
      </c>
      <c r="R6" t="s">
        <v>89</v>
      </c>
    </row>
    <row r="7" spans="1:18">
      <c r="A7" t="s">
        <v>88</v>
      </c>
      <c r="B7" t="s">
        <v>81</v>
      </c>
      <c r="C7" t="s">
        <v>47</v>
      </c>
      <c r="D7" t="s">
        <v>40</v>
      </c>
      <c r="E7" t="s">
        <v>82</v>
      </c>
      <c r="F7" t="s">
        <v>90</v>
      </c>
      <c r="G7">
        <v>1</v>
      </c>
      <c r="H7">
        <v>138</v>
      </c>
      <c r="I7">
        <v>29.36</v>
      </c>
      <c r="J7">
        <v>6.7</v>
      </c>
      <c r="K7">
        <v>1</v>
      </c>
      <c r="L7">
        <v>3.83</v>
      </c>
      <c r="M7">
        <v>2.2000000000000002</v>
      </c>
      <c r="N7">
        <v>13.73</v>
      </c>
      <c r="O7">
        <v>15.63</v>
      </c>
      <c r="P7">
        <v>73.459999999999994</v>
      </c>
      <c r="Q7" s="4">
        <v>0.53234000000000004</v>
      </c>
      <c r="R7" t="s">
        <v>89</v>
      </c>
    </row>
    <row r="8" spans="1:18">
      <c r="A8" t="s">
        <v>91</v>
      </c>
      <c r="B8" t="s">
        <v>81</v>
      </c>
      <c r="C8" t="s">
        <v>50</v>
      </c>
      <c r="D8" t="s">
        <v>51</v>
      </c>
      <c r="E8" t="s">
        <v>82</v>
      </c>
      <c r="F8" t="s">
        <v>92</v>
      </c>
      <c r="G8">
        <v>2</v>
      </c>
      <c r="H8">
        <v>114</v>
      </c>
      <c r="I8">
        <v>24.26</v>
      </c>
      <c r="J8">
        <v>6.7</v>
      </c>
      <c r="K8">
        <v>1</v>
      </c>
      <c r="L8">
        <v>3.2</v>
      </c>
      <c r="M8">
        <v>1.82</v>
      </c>
      <c r="N8">
        <v>12.72</v>
      </c>
      <c r="O8">
        <v>11.53</v>
      </c>
      <c r="P8">
        <v>54.21</v>
      </c>
      <c r="Q8" s="4">
        <v>0.47553000000000001</v>
      </c>
      <c r="R8" t="s">
        <v>93</v>
      </c>
    </row>
    <row r="9" spans="1:18">
      <c r="A9" t="s">
        <v>94</v>
      </c>
      <c r="B9" t="s">
        <v>81</v>
      </c>
      <c r="C9" t="s">
        <v>39</v>
      </c>
      <c r="D9" t="s">
        <v>40</v>
      </c>
      <c r="E9" t="s">
        <v>82</v>
      </c>
      <c r="F9" t="s">
        <v>83</v>
      </c>
      <c r="G9">
        <v>1</v>
      </c>
      <c r="H9">
        <v>69</v>
      </c>
      <c r="I9">
        <v>14.68</v>
      </c>
      <c r="J9">
        <v>6.7</v>
      </c>
      <c r="K9">
        <v>1</v>
      </c>
      <c r="L9">
        <v>2.0299999999999998</v>
      </c>
      <c r="M9">
        <v>1.1000000000000001</v>
      </c>
      <c r="N9">
        <v>10.83</v>
      </c>
      <c r="O9">
        <v>3.85</v>
      </c>
      <c r="P9">
        <v>18.11</v>
      </c>
      <c r="Q9" s="4">
        <v>0.26249</v>
      </c>
      <c r="R9" t="s">
        <v>95</v>
      </c>
    </row>
    <row r="10" spans="1:18">
      <c r="A10" t="s">
        <v>96</v>
      </c>
      <c r="B10" t="s">
        <v>81</v>
      </c>
      <c r="C10" t="s">
        <v>45</v>
      </c>
      <c r="D10" t="s">
        <v>46</v>
      </c>
      <c r="E10" t="s">
        <v>82</v>
      </c>
      <c r="F10" t="s">
        <v>97</v>
      </c>
      <c r="G10">
        <v>1</v>
      </c>
      <c r="H10">
        <v>167</v>
      </c>
      <c r="I10">
        <v>35.53</v>
      </c>
      <c r="J10">
        <v>20.100000000000001</v>
      </c>
      <c r="K10">
        <v>1</v>
      </c>
      <c r="L10">
        <v>4.59</v>
      </c>
      <c r="M10">
        <v>2.66</v>
      </c>
      <c r="N10">
        <v>28.35</v>
      </c>
      <c r="O10">
        <v>7.18</v>
      </c>
      <c r="P10">
        <v>33.75</v>
      </c>
      <c r="Q10" s="4">
        <v>0.20208000000000001</v>
      </c>
      <c r="R10" t="s">
        <v>98</v>
      </c>
    </row>
    <row r="11" spans="1:18">
      <c r="A11" t="s">
        <v>99</v>
      </c>
      <c r="B11" t="s">
        <v>81</v>
      </c>
      <c r="C11" t="s">
        <v>39</v>
      </c>
      <c r="D11" t="s">
        <v>40</v>
      </c>
      <c r="E11" t="s">
        <v>82</v>
      </c>
      <c r="F11" t="s">
        <v>83</v>
      </c>
      <c r="G11">
        <v>1</v>
      </c>
      <c r="H11">
        <v>76</v>
      </c>
      <c r="I11">
        <v>16.170000000000002</v>
      </c>
      <c r="J11">
        <v>6.7</v>
      </c>
      <c r="K11">
        <v>1</v>
      </c>
      <c r="L11">
        <v>2.21</v>
      </c>
      <c r="M11">
        <v>1.21</v>
      </c>
      <c r="N11">
        <v>11.12</v>
      </c>
      <c r="O11">
        <v>5.05</v>
      </c>
      <c r="P11">
        <v>23.73</v>
      </c>
      <c r="Q11" s="4">
        <v>0.31219999999999998</v>
      </c>
      <c r="R11" t="s">
        <v>100</v>
      </c>
    </row>
    <row r="12" spans="1:18">
      <c r="A12" t="s">
        <v>101</v>
      </c>
      <c r="B12" t="s">
        <v>81</v>
      </c>
      <c r="C12" t="s">
        <v>48</v>
      </c>
      <c r="D12" t="s">
        <v>49</v>
      </c>
      <c r="E12" t="s">
        <v>82</v>
      </c>
      <c r="F12" t="s">
        <v>102</v>
      </c>
      <c r="G12">
        <v>2</v>
      </c>
      <c r="H12">
        <v>94</v>
      </c>
      <c r="I12">
        <v>20</v>
      </c>
      <c r="J12">
        <v>6.7</v>
      </c>
      <c r="K12">
        <v>1</v>
      </c>
      <c r="L12">
        <v>2.68</v>
      </c>
      <c r="M12">
        <v>1.5</v>
      </c>
      <c r="N12">
        <v>11.88</v>
      </c>
      <c r="O12">
        <v>8.1199999999999992</v>
      </c>
      <c r="P12">
        <v>38.17</v>
      </c>
      <c r="Q12" s="4">
        <v>0.40603</v>
      </c>
      <c r="R12" t="s">
        <v>103</v>
      </c>
    </row>
    <row r="13" spans="1:18">
      <c r="A13" t="s">
        <v>104</v>
      </c>
      <c r="B13" t="s">
        <v>81</v>
      </c>
      <c r="C13" t="s">
        <v>43</v>
      </c>
      <c r="D13" t="s">
        <v>44</v>
      </c>
      <c r="E13" t="s">
        <v>82</v>
      </c>
      <c r="F13" t="s">
        <v>86</v>
      </c>
      <c r="G13">
        <v>1</v>
      </c>
      <c r="H13">
        <v>159</v>
      </c>
      <c r="I13">
        <v>33.83</v>
      </c>
      <c r="J13">
        <v>13.4</v>
      </c>
      <c r="K13">
        <v>1</v>
      </c>
      <c r="L13">
        <v>4.38</v>
      </c>
      <c r="M13">
        <v>2.5299999999999998</v>
      </c>
      <c r="N13">
        <v>21.31</v>
      </c>
      <c r="O13">
        <v>12.51</v>
      </c>
      <c r="P13">
        <v>58.82</v>
      </c>
      <c r="Q13" s="4">
        <v>0.36993999999999999</v>
      </c>
      <c r="R13" t="s">
        <v>105</v>
      </c>
    </row>
    <row r="14" spans="1:18">
      <c r="A14" t="s">
        <v>106</v>
      </c>
      <c r="B14" t="s">
        <v>107</v>
      </c>
      <c r="C14" t="s">
        <v>45</v>
      </c>
      <c r="D14" t="s">
        <v>46</v>
      </c>
      <c r="E14" t="s">
        <v>82</v>
      </c>
      <c r="F14" t="s">
        <v>97</v>
      </c>
      <c r="G14">
        <v>1</v>
      </c>
      <c r="H14">
        <v>167</v>
      </c>
      <c r="I14">
        <v>35.53</v>
      </c>
      <c r="J14">
        <v>20.100000000000001</v>
      </c>
      <c r="K14">
        <v>1</v>
      </c>
      <c r="L14">
        <v>4.59</v>
      </c>
      <c r="M14">
        <v>2.66</v>
      </c>
      <c r="N14">
        <v>28.35</v>
      </c>
      <c r="O14">
        <v>7.18</v>
      </c>
      <c r="P14">
        <v>33.75</v>
      </c>
      <c r="Q14" s="4">
        <v>0.20208000000000001</v>
      </c>
      <c r="R14" t="s">
        <v>108</v>
      </c>
    </row>
    <row r="15" spans="1:18">
      <c r="A15" t="s">
        <v>109</v>
      </c>
      <c r="B15" t="s">
        <v>81</v>
      </c>
      <c r="C15" t="s">
        <v>48</v>
      </c>
      <c r="D15" t="s">
        <v>49</v>
      </c>
      <c r="E15" t="s">
        <v>82</v>
      </c>
      <c r="F15" t="s">
        <v>102</v>
      </c>
      <c r="G15">
        <v>1</v>
      </c>
      <c r="H15">
        <v>48</v>
      </c>
      <c r="I15">
        <v>10.210000000000001</v>
      </c>
      <c r="J15">
        <v>3.35</v>
      </c>
      <c r="K15">
        <v>1</v>
      </c>
      <c r="L15">
        <v>1.48</v>
      </c>
      <c r="M15">
        <v>0.76</v>
      </c>
      <c r="N15">
        <v>6.59</v>
      </c>
      <c r="O15">
        <v>3.62</v>
      </c>
      <c r="P15">
        <v>17.010000000000002</v>
      </c>
      <c r="Q15" s="4">
        <v>0.35438999999999998</v>
      </c>
      <c r="R15" t="s">
        <v>110</v>
      </c>
    </row>
    <row r="16" spans="1:18">
      <c r="A16" t="s">
        <v>111</v>
      </c>
      <c r="B16" t="s">
        <v>81</v>
      </c>
      <c r="C16" t="s">
        <v>45</v>
      </c>
      <c r="D16" t="s">
        <v>46</v>
      </c>
      <c r="E16" t="s">
        <v>82</v>
      </c>
      <c r="F16" t="s">
        <v>97</v>
      </c>
      <c r="G16">
        <v>3</v>
      </c>
      <c r="H16">
        <v>516</v>
      </c>
      <c r="I16">
        <v>109.79</v>
      </c>
      <c r="J16">
        <v>60.3</v>
      </c>
      <c r="K16">
        <v>1</v>
      </c>
      <c r="L16">
        <v>13.72</v>
      </c>
      <c r="M16">
        <v>8.2200000000000006</v>
      </c>
      <c r="N16">
        <v>83.24</v>
      </c>
      <c r="O16">
        <v>26.55</v>
      </c>
      <c r="P16">
        <v>124.78</v>
      </c>
      <c r="Q16" s="4">
        <v>0.24181</v>
      </c>
      <c r="R16" t="s">
        <v>112</v>
      </c>
    </row>
    <row r="17" spans="1:18">
      <c r="A17" t="s">
        <v>113</v>
      </c>
      <c r="B17" t="s">
        <v>81</v>
      </c>
      <c r="C17" t="s">
        <v>43</v>
      </c>
      <c r="D17" t="s">
        <v>44</v>
      </c>
      <c r="E17" t="s">
        <v>82</v>
      </c>
      <c r="F17" t="s">
        <v>86</v>
      </c>
      <c r="G17">
        <v>1</v>
      </c>
      <c r="H17">
        <v>120</v>
      </c>
      <c r="I17">
        <v>25.53</v>
      </c>
      <c r="J17">
        <v>13.4</v>
      </c>
      <c r="K17">
        <v>1</v>
      </c>
      <c r="L17">
        <v>3.36</v>
      </c>
      <c r="M17">
        <v>1.91</v>
      </c>
      <c r="N17">
        <v>19.670000000000002</v>
      </c>
      <c r="O17">
        <v>5.86</v>
      </c>
      <c r="P17">
        <v>27.53</v>
      </c>
      <c r="Q17" s="4">
        <v>0.22944999999999999</v>
      </c>
      <c r="R17" t="s">
        <v>114</v>
      </c>
    </row>
    <row r="18" spans="1:18">
      <c r="A18" t="s">
        <v>115</v>
      </c>
      <c r="B18" t="s">
        <v>81</v>
      </c>
      <c r="C18" t="s">
        <v>39</v>
      </c>
      <c r="D18" t="s">
        <v>40</v>
      </c>
      <c r="E18" t="s">
        <v>82</v>
      </c>
      <c r="F18" t="s">
        <v>83</v>
      </c>
      <c r="G18">
        <v>1</v>
      </c>
      <c r="H18">
        <v>69</v>
      </c>
      <c r="I18">
        <v>14.68</v>
      </c>
      <c r="J18">
        <v>6.7</v>
      </c>
      <c r="K18">
        <v>1</v>
      </c>
      <c r="L18">
        <v>2.0299999999999998</v>
      </c>
      <c r="M18">
        <v>1.1000000000000001</v>
      </c>
      <c r="N18">
        <v>10.83</v>
      </c>
      <c r="O18">
        <v>3.85</v>
      </c>
      <c r="P18">
        <v>18.11</v>
      </c>
      <c r="Q18" s="4">
        <v>0.26249</v>
      </c>
      <c r="R18" t="s">
        <v>116</v>
      </c>
    </row>
    <row r="19" spans="1:18">
      <c r="A19" t="s">
        <v>117</v>
      </c>
      <c r="B19" t="s">
        <v>81</v>
      </c>
      <c r="C19" t="s">
        <v>48</v>
      </c>
      <c r="D19" t="s">
        <v>49</v>
      </c>
      <c r="E19" t="s">
        <v>82</v>
      </c>
      <c r="F19" t="s">
        <v>102</v>
      </c>
      <c r="G19">
        <v>1</v>
      </c>
      <c r="H19">
        <v>114</v>
      </c>
      <c r="I19">
        <v>24.26</v>
      </c>
      <c r="J19">
        <v>3.35</v>
      </c>
      <c r="K19">
        <v>1</v>
      </c>
      <c r="L19">
        <v>3.2</v>
      </c>
      <c r="M19">
        <v>1.82</v>
      </c>
      <c r="N19">
        <v>9.3699999999999992</v>
      </c>
      <c r="O19">
        <v>14.88</v>
      </c>
      <c r="P19">
        <v>69.959999999999994</v>
      </c>
      <c r="Q19" s="4">
        <v>0.61365000000000003</v>
      </c>
      <c r="R19" t="s">
        <v>118</v>
      </c>
    </row>
    <row r="20" spans="1:18">
      <c r="A20" t="s">
        <v>117</v>
      </c>
      <c r="B20" t="s">
        <v>81</v>
      </c>
      <c r="C20" t="s">
        <v>50</v>
      </c>
      <c r="D20" t="s">
        <v>51</v>
      </c>
      <c r="E20" t="s">
        <v>82</v>
      </c>
      <c r="F20" t="s">
        <v>92</v>
      </c>
      <c r="G20">
        <v>1</v>
      </c>
      <c r="H20">
        <v>114</v>
      </c>
      <c r="I20">
        <v>24.26</v>
      </c>
      <c r="J20">
        <v>3.35</v>
      </c>
      <c r="K20">
        <v>1</v>
      </c>
      <c r="L20">
        <v>3.2</v>
      </c>
      <c r="M20">
        <v>1.82</v>
      </c>
      <c r="N20">
        <v>9.3699999999999992</v>
      </c>
      <c r="O20">
        <v>14.88</v>
      </c>
      <c r="P20">
        <v>69.959999999999994</v>
      </c>
      <c r="Q20" s="4">
        <v>0.61365000000000003</v>
      </c>
      <c r="R20" t="s">
        <v>118</v>
      </c>
    </row>
    <row r="21" spans="1:18">
      <c r="A21" t="s">
        <v>119</v>
      </c>
      <c r="B21" t="s">
        <v>81</v>
      </c>
      <c r="C21" t="s">
        <v>48</v>
      </c>
      <c r="D21" t="s">
        <v>49</v>
      </c>
      <c r="E21" t="s">
        <v>82</v>
      </c>
      <c r="F21" t="s">
        <v>102</v>
      </c>
      <c r="G21">
        <v>1</v>
      </c>
      <c r="H21">
        <v>56</v>
      </c>
      <c r="I21">
        <v>11.91</v>
      </c>
      <c r="J21">
        <v>3.35</v>
      </c>
      <c r="K21">
        <v>1</v>
      </c>
      <c r="L21">
        <v>1.69</v>
      </c>
      <c r="M21">
        <v>0.89</v>
      </c>
      <c r="N21">
        <v>6.93</v>
      </c>
      <c r="O21">
        <v>4.9800000000000004</v>
      </c>
      <c r="P21">
        <v>23.43</v>
      </c>
      <c r="Q21" s="4">
        <v>0.41836000000000001</v>
      </c>
      <c r="R21" t="s">
        <v>120</v>
      </c>
    </row>
    <row r="22" spans="1:18">
      <c r="A22" t="s">
        <v>121</v>
      </c>
      <c r="B22" t="s">
        <v>81</v>
      </c>
      <c r="C22" t="s">
        <v>41</v>
      </c>
      <c r="D22" t="s">
        <v>42</v>
      </c>
      <c r="E22" t="s">
        <v>122</v>
      </c>
      <c r="F22" t="s">
        <v>123</v>
      </c>
      <c r="G22">
        <v>1</v>
      </c>
      <c r="H22">
        <v>108</v>
      </c>
      <c r="I22">
        <v>22.98</v>
      </c>
      <c r="J22">
        <v>10.73</v>
      </c>
      <c r="K22">
        <v>1</v>
      </c>
      <c r="L22">
        <v>3.05</v>
      </c>
      <c r="M22">
        <v>1.72</v>
      </c>
      <c r="N22">
        <v>16.5</v>
      </c>
      <c r="O22">
        <v>6.48</v>
      </c>
      <c r="P22">
        <v>30.47</v>
      </c>
      <c r="Q22" s="4">
        <v>0.28215000000000001</v>
      </c>
      <c r="R22" t="s">
        <v>124</v>
      </c>
    </row>
    <row r="23" spans="1:18">
      <c r="A23" t="s">
        <v>125</v>
      </c>
      <c r="B23" t="s">
        <v>81</v>
      </c>
      <c r="C23" t="s">
        <v>50</v>
      </c>
      <c r="D23" t="s">
        <v>51</v>
      </c>
      <c r="E23" t="s">
        <v>82</v>
      </c>
      <c r="F23" t="s">
        <v>92</v>
      </c>
      <c r="G23">
        <v>1</v>
      </c>
      <c r="H23">
        <v>47</v>
      </c>
      <c r="I23">
        <v>10</v>
      </c>
      <c r="J23">
        <v>3.35</v>
      </c>
      <c r="K23">
        <v>1</v>
      </c>
      <c r="L23">
        <v>1.45</v>
      </c>
      <c r="M23">
        <v>0.75</v>
      </c>
      <c r="N23">
        <v>6.55</v>
      </c>
      <c r="O23">
        <v>3.45</v>
      </c>
      <c r="P23">
        <v>16.21</v>
      </c>
      <c r="Q23" s="4">
        <v>0.34486</v>
      </c>
      <c r="R23" t="s">
        <v>126</v>
      </c>
    </row>
    <row r="24" spans="1:18">
      <c r="A24" t="s">
        <v>127</v>
      </c>
      <c r="B24" t="s">
        <v>81</v>
      </c>
      <c r="C24" t="s">
        <v>39</v>
      </c>
      <c r="D24" t="s">
        <v>40</v>
      </c>
      <c r="E24" t="s">
        <v>82</v>
      </c>
      <c r="F24" t="s">
        <v>83</v>
      </c>
      <c r="G24">
        <v>1</v>
      </c>
      <c r="H24">
        <v>69</v>
      </c>
      <c r="I24">
        <v>14.68</v>
      </c>
      <c r="J24">
        <v>6.7</v>
      </c>
      <c r="K24">
        <v>1</v>
      </c>
      <c r="L24">
        <v>2.0299999999999998</v>
      </c>
      <c r="M24">
        <v>1.1000000000000001</v>
      </c>
      <c r="N24">
        <v>10.83</v>
      </c>
      <c r="O24">
        <v>3.85</v>
      </c>
      <c r="P24">
        <v>18.11</v>
      </c>
      <c r="Q24" s="4">
        <v>0.26249</v>
      </c>
      <c r="R24" t="s">
        <v>128</v>
      </c>
    </row>
    <row r="25" spans="1:18">
      <c r="A25" t="s">
        <v>129</v>
      </c>
      <c r="B25" t="s">
        <v>81</v>
      </c>
      <c r="C25" t="s">
        <v>43</v>
      </c>
      <c r="D25" t="s">
        <v>44</v>
      </c>
      <c r="E25" t="s">
        <v>82</v>
      </c>
      <c r="F25" t="s">
        <v>86</v>
      </c>
      <c r="G25">
        <v>1</v>
      </c>
      <c r="H25">
        <v>125</v>
      </c>
      <c r="I25">
        <v>26.6</v>
      </c>
      <c r="J25">
        <v>13.4</v>
      </c>
      <c r="K25">
        <v>1</v>
      </c>
      <c r="L25">
        <v>3.49</v>
      </c>
      <c r="M25">
        <v>1.99</v>
      </c>
      <c r="N25">
        <v>19.88</v>
      </c>
      <c r="O25">
        <v>6.71</v>
      </c>
      <c r="P25">
        <v>31.55</v>
      </c>
      <c r="Q25" s="4">
        <v>0.25235999999999997</v>
      </c>
      <c r="R25" t="s">
        <v>130</v>
      </c>
    </row>
    <row r="26" spans="1:18">
      <c r="A26" t="s">
        <v>131</v>
      </c>
      <c r="B26" t="s">
        <v>132</v>
      </c>
      <c r="C26" t="s">
        <v>56</v>
      </c>
      <c r="D26" t="s">
        <v>57</v>
      </c>
      <c r="E26" t="s">
        <v>133</v>
      </c>
      <c r="F26" t="s">
        <v>134</v>
      </c>
      <c r="G26">
        <v>1</v>
      </c>
      <c r="H26">
        <v>330</v>
      </c>
      <c r="I26">
        <v>70.209999999999994</v>
      </c>
      <c r="J26">
        <v>40.25</v>
      </c>
      <c r="K26">
        <v>2</v>
      </c>
      <c r="L26">
        <v>8.85</v>
      </c>
      <c r="M26">
        <v>5.26</v>
      </c>
      <c r="N26">
        <v>56.36</v>
      </c>
      <c r="O26">
        <v>13.85</v>
      </c>
      <c r="P26">
        <v>65.09</v>
      </c>
      <c r="Q26" s="4">
        <v>0.19722999999999999</v>
      </c>
      <c r="R26" t="s">
        <v>135</v>
      </c>
    </row>
    <row r="27" spans="1:18">
      <c r="A27" t="s">
        <v>136</v>
      </c>
      <c r="B27" t="s">
        <v>132</v>
      </c>
      <c r="C27" t="s">
        <v>45</v>
      </c>
      <c r="D27" t="s">
        <v>46</v>
      </c>
      <c r="E27" t="s">
        <v>137</v>
      </c>
      <c r="F27" t="s">
        <v>138</v>
      </c>
      <c r="G27">
        <v>1</v>
      </c>
      <c r="H27">
        <v>179</v>
      </c>
      <c r="I27">
        <v>38.090000000000003</v>
      </c>
      <c r="J27">
        <v>20.100000000000001</v>
      </c>
      <c r="K27">
        <v>1</v>
      </c>
      <c r="L27">
        <v>4.9000000000000004</v>
      </c>
      <c r="M27">
        <v>2.85</v>
      </c>
      <c r="N27">
        <v>28.86</v>
      </c>
      <c r="O27">
        <v>9.23</v>
      </c>
      <c r="P27">
        <v>43.37</v>
      </c>
      <c r="Q27" s="4">
        <v>0.24231</v>
      </c>
      <c r="R27" t="s">
        <v>139</v>
      </c>
    </row>
    <row r="28" spans="1:18">
      <c r="A28" t="s">
        <v>140</v>
      </c>
      <c r="B28" t="s">
        <v>132</v>
      </c>
      <c r="C28" t="s">
        <v>41</v>
      </c>
      <c r="D28" t="s">
        <v>42</v>
      </c>
      <c r="E28" t="s">
        <v>122</v>
      </c>
      <c r="F28" t="s">
        <v>123</v>
      </c>
      <c r="G28">
        <v>2</v>
      </c>
      <c r="H28">
        <v>205</v>
      </c>
      <c r="I28">
        <v>43.62</v>
      </c>
      <c r="J28">
        <v>21.45</v>
      </c>
      <c r="K28">
        <v>1</v>
      </c>
      <c r="L28">
        <v>5.58</v>
      </c>
      <c r="M28">
        <v>3.27</v>
      </c>
      <c r="N28">
        <v>31.3</v>
      </c>
      <c r="O28">
        <v>12.31</v>
      </c>
      <c r="P28">
        <v>57.87</v>
      </c>
      <c r="Q28" s="4">
        <v>0.2823</v>
      </c>
      <c r="R28" t="s">
        <v>141</v>
      </c>
    </row>
    <row r="29" spans="1:18">
      <c r="A29" t="s">
        <v>142</v>
      </c>
      <c r="B29" t="s">
        <v>132</v>
      </c>
      <c r="C29" t="s">
        <v>41</v>
      </c>
      <c r="D29" t="s">
        <v>42</v>
      </c>
      <c r="E29" t="s">
        <v>122</v>
      </c>
      <c r="F29" t="s">
        <v>123</v>
      </c>
      <c r="G29">
        <v>1</v>
      </c>
      <c r="H29">
        <v>105</v>
      </c>
      <c r="I29">
        <v>22.34</v>
      </c>
      <c r="J29">
        <v>10.73</v>
      </c>
      <c r="K29">
        <v>1</v>
      </c>
      <c r="L29">
        <v>2.97</v>
      </c>
      <c r="M29">
        <v>1.67</v>
      </c>
      <c r="N29">
        <v>16.37</v>
      </c>
      <c r="O29">
        <v>5.97</v>
      </c>
      <c r="P29">
        <v>28.07</v>
      </c>
      <c r="Q29" s="4">
        <v>0.26729000000000003</v>
      </c>
      <c r="R29" t="s">
        <v>143</v>
      </c>
    </row>
    <row r="30" spans="1:18">
      <c r="A30" t="s">
        <v>144</v>
      </c>
      <c r="B30" t="s">
        <v>132</v>
      </c>
      <c r="C30" t="s">
        <v>52</v>
      </c>
      <c r="D30" t="s">
        <v>53</v>
      </c>
      <c r="E30" t="s">
        <v>133</v>
      </c>
      <c r="F30" t="s">
        <v>145</v>
      </c>
      <c r="G30">
        <v>1</v>
      </c>
      <c r="H30">
        <v>325</v>
      </c>
      <c r="I30">
        <v>69.150000000000006</v>
      </c>
      <c r="J30">
        <v>45.5</v>
      </c>
      <c r="K30">
        <v>2</v>
      </c>
      <c r="L30">
        <v>8.7200000000000006</v>
      </c>
      <c r="M30">
        <v>5.18</v>
      </c>
      <c r="N30">
        <v>61.4</v>
      </c>
      <c r="O30">
        <v>7.75</v>
      </c>
      <c r="P30">
        <v>36.42</v>
      </c>
      <c r="Q30" s="4">
        <v>0.11206000000000001</v>
      </c>
      <c r="R30" t="s">
        <v>146</v>
      </c>
    </row>
    <row r="31" spans="1:18">
      <c r="A31" t="s">
        <v>147</v>
      </c>
      <c r="B31" t="s">
        <v>132</v>
      </c>
      <c r="C31" t="s">
        <v>39</v>
      </c>
      <c r="D31" t="s">
        <v>40</v>
      </c>
      <c r="E31" t="s">
        <v>82</v>
      </c>
      <c r="F31" t="s">
        <v>83</v>
      </c>
      <c r="G31">
        <v>2</v>
      </c>
      <c r="H31">
        <v>185</v>
      </c>
      <c r="I31">
        <v>39.36</v>
      </c>
      <c r="J31">
        <v>13.4</v>
      </c>
      <c r="K31">
        <v>1</v>
      </c>
      <c r="L31">
        <v>5.0599999999999996</v>
      </c>
      <c r="M31">
        <v>2.95</v>
      </c>
      <c r="N31">
        <v>22.41</v>
      </c>
      <c r="O31">
        <v>16.95</v>
      </c>
      <c r="P31">
        <v>79.680000000000007</v>
      </c>
      <c r="Q31" s="4">
        <v>0.43069000000000002</v>
      </c>
      <c r="R31" t="s">
        <v>148</v>
      </c>
    </row>
    <row r="32" spans="1:18">
      <c r="A32" t="s">
        <v>147</v>
      </c>
      <c r="B32" t="s">
        <v>132</v>
      </c>
      <c r="C32" t="s">
        <v>50</v>
      </c>
      <c r="D32" t="s">
        <v>51</v>
      </c>
      <c r="E32" t="s">
        <v>82</v>
      </c>
      <c r="F32" t="s">
        <v>92</v>
      </c>
      <c r="G32">
        <v>1</v>
      </c>
      <c r="H32">
        <v>185</v>
      </c>
      <c r="I32">
        <v>39.36</v>
      </c>
      <c r="J32">
        <v>3.35</v>
      </c>
      <c r="K32">
        <v>1</v>
      </c>
      <c r="L32">
        <v>5.0599999999999996</v>
      </c>
      <c r="M32">
        <v>2.95</v>
      </c>
      <c r="N32">
        <v>12.36</v>
      </c>
      <c r="O32">
        <v>27</v>
      </c>
      <c r="P32">
        <v>126.91</v>
      </c>
      <c r="Q32" s="4">
        <v>0.68601000000000001</v>
      </c>
      <c r="R32" t="s">
        <v>148</v>
      </c>
    </row>
    <row r="33" spans="1:18">
      <c r="A33" t="s">
        <v>149</v>
      </c>
      <c r="B33" t="s">
        <v>132</v>
      </c>
      <c r="C33" t="s">
        <v>52</v>
      </c>
      <c r="D33" t="s">
        <v>53</v>
      </c>
      <c r="E33" t="s">
        <v>133</v>
      </c>
      <c r="F33" t="s">
        <v>145</v>
      </c>
      <c r="G33">
        <v>1</v>
      </c>
      <c r="H33">
        <v>355</v>
      </c>
      <c r="I33">
        <v>75.53</v>
      </c>
      <c r="J33">
        <v>45.5</v>
      </c>
      <c r="K33">
        <v>2</v>
      </c>
      <c r="L33">
        <v>9.51</v>
      </c>
      <c r="M33">
        <v>5.66</v>
      </c>
      <c r="N33">
        <v>62.66</v>
      </c>
      <c r="O33">
        <v>12.87</v>
      </c>
      <c r="P33">
        <v>60.49</v>
      </c>
      <c r="Q33" s="4">
        <v>0.17038</v>
      </c>
      <c r="R33" t="s">
        <v>150</v>
      </c>
    </row>
    <row r="34" spans="1:18">
      <c r="A34" t="s">
        <v>151</v>
      </c>
      <c r="B34" t="s">
        <v>132</v>
      </c>
      <c r="C34" t="s">
        <v>39</v>
      </c>
      <c r="D34" t="s">
        <v>40</v>
      </c>
      <c r="E34" t="s">
        <v>82</v>
      </c>
      <c r="F34" t="s">
        <v>83</v>
      </c>
      <c r="G34">
        <v>1</v>
      </c>
      <c r="H34">
        <v>129.79</v>
      </c>
      <c r="I34">
        <v>27.61</v>
      </c>
      <c r="J34">
        <v>6.7</v>
      </c>
      <c r="K34">
        <v>1</v>
      </c>
      <c r="L34">
        <v>3.62</v>
      </c>
      <c r="M34">
        <v>2.0699999999999998</v>
      </c>
      <c r="N34">
        <v>13.39</v>
      </c>
      <c r="O34">
        <v>14.23</v>
      </c>
      <c r="P34">
        <v>66.88</v>
      </c>
      <c r="Q34" s="4">
        <v>0.51527000000000001</v>
      </c>
      <c r="R34" t="s">
        <v>152</v>
      </c>
    </row>
    <row r="35" spans="1:18">
      <c r="A35" t="s">
        <v>151</v>
      </c>
      <c r="B35" t="s">
        <v>132</v>
      </c>
      <c r="C35" t="s">
        <v>50</v>
      </c>
      <c r="D35" t="s">
        <v>51</v>
      </c>
      <c r="E35" t="s">
        <v>82</v>
      </c>
      <c r="F35" t="s">
        <v>92</v>
      </c>
      <c r="G35">
        <v>1</v>
      </c>
      <c r="H35">
        <v>129.79</v>
      </c>
      <c r="I35">
        <v>27.61</v>
      </c>
      <c r="J35">
        <v>3.35</v>
      </c>
      <c r="K35">
        <v>1</v>
      </c>
      <c r="L35">
        <v>3.62</v>
      </c>
      <c r="M35">
        <v>2.0699999999999998</v>
      </c>
      <c r="N35">
        <v>10.039999999999999</v>
      </c>
      <c r="O35">
        <v>17.579999999999998</v>
      </c>
      <c r="P35">
        <v>82.62</v>
      </c>
      <c r="Q35" s="4">
        <v>0.63658999999999999</v>
      </c>
      <c r="R35" t="s">
        <v>152</v>
      </c>
    </row>
    <row r="36" spans="1:18">
      <c r="A36" t="s">
        <v>153</v>
      </c>
      <c r="B36" t="s">
        <v>132</v>
      </c>
      <c r="C36" t="s">
        <v>58</v>
      </c>
      <c r="D36" t="s">
        <v>59</v>
      </c>
      <c r="E36" t="s">
        <v>154</v>
      </c>
      <c r="F36" t="s">
        <v>155</v>
      </c>
      <c r="G36">
        <v>1</v>
      </c>
      <c r="H36">
        <v>101</v>
      </c>
      <c r="I36">
        <v>21.49</v>
      </c>
      <c r="J36">
        <v>12.2</v>
      </c>
      <c r="K36">
        <v>0.5</v>
      </c>
      <c r="L36">
        <v>2.86</v>
      </c>
      <c r="M36">
        <v>1.61</v>
      </c>
      <c r="N36">
        <v>17.170000000000002</v>
      </c>
      <c r="O36">
        <v>4.32</v>
      </c>
      <c r="P36">
        <v>20.28</v>
      </c>
      <c r="Q36" s="4">
        <v>0.20080999999999999</v>
      </c>
      <c r="R36" t="s">
        <v>156</v>
      </c>
    </row>
    <row r="37" spans="1:18">
      <c r="A37" t="s">
        <v>157</v>
      </c>
      <c r="B37" t="s">
        <v>132</v>
      </c>
      <c r="C37" t="s">
        <v>55</v>
      </c>
      <c r="D37" t="s">
        <v>46</v>
      </c>
      <c r="E37" t="s">
        <v>82</v>
      </c>
      <c r="F37" t="s">
        <v>158</v>
      </c>
      <c r="G37">
        <v>1</v>
      </c>
      <c r="H37">
        <v>207</v>
      </c>
      <c r="I37">
        <v>44.04</v>
      </c>
      <c r="J37">
        <v>20.100000000000001</v>
      </c>
      <c r="K37">
        <v>1</v>
      </c>
      <c r="L37">
        <v>5.64</v>
      </c>
      <c r="M37">
        <v>3.3</v>
      </c>
      <c r="N37">
        <v>30.04</v>
      </c>
      <c r="O37">
        <v>14.01</v>
      </c>
      <c r="P37">
        <v>65.84</v>
      </c>
      <c r="Q37" s="4">
        <v>0.31805</v>
      </c>
      <c r="R37" t="s">
        <v>159</v>
      </c>
    </row>
    <row r="38" spans="1:18">
      <c r="A38" t="s">
        <v>160</v>
      </c>
      <c r="B38" t="s">
        <v>132</v>
      </c>
      <c r="C38" t="s">
        <v>45</v>
      </c>
      <c r="D38" t="s">
        <v>46</v>
      </c>
      <c r="E38" t="s">
        <v>82</v>
      </c>
      <c r="F38" t="s">
        <v>97</v>
      </c>
      <c r="G38">
        <v>1</v>
      </c>
      <c r="H38">
        <v>207</v>
      </c>
      <c r="I38">
        <v>44.04</v>
      </c>
      <c r="J38">
        <v>20.100000000000001</v>
      </c>
      <c r="K38">
        <v>1</v>
      </c>
      <c r="L38">
        <v>5.64</v>
      </c>
      <c r="M38">
        <v>3.3</v>
      </c>
      <c r="N38">
        <v>30.04</v>
      </c>
      <c r="O38">
        <v>14.01</v>
      </c>
      <c r="P38">
        <v>65.84</v>
      </c>
      <c r="Q38" s="4">
        <v>0.31805</v>
      </c>
      <c r="R38" t="s">
        <v>161</v>
      </c>
    </row>
    <row r="39" spans="1:18">
      <c r="A39" t="s">
        <v>162</v>
      </c>
      <c r="B39" t="s">
        <v>163</v>
      </c>
      <c r="C39" t="s">
        <v>54</v>
      </c>
      <c r="D39" t="s">
        <v>44</v>
      </c>
      <c r="E39" t="s">
        <v>82</v>
      </c>
      <c r="F39" t="s">
        <v>164</v>
      </c>
      <c r="G39">
        <v>1</v>
      </c>
      <c r="H39">
        <v>155</v>
      </c>
      <c r="I39">
        <v>32.979999999999997</v>
      </c>
      <c r="J39">
        <v>13.4</v>
      </c>
      <c r="K39">
        <v>1</v>
      </c>
      <c r="L39">
        <v>4.28</v>
      </c>
      <c r="M39">
        <v>2.4700000000000002</v>
      </c>
      <c r="N39">
        <v>21.15</v>
      </c>
      <c r="O39">
        <v>11.83</v>
      </c>
      <c r="P39">
        <v>55.61</v>
      </c>
      <c r="Q39" s="4">
        <v>0.35877999999999999</v>
      </c>
      <c r="R39" t="s">
        <v>165</v>
      </c>
    </row>
    <row r="40" spans="1:18">
      <c r="A40" t="s">
        <v>166</v>
      </c>
      <c r="B40" t="s">
        <v>132</v>
      </c>
      <c r="C40" t="s">
        <v>39</v>
      </c>
      <c r="D40" t="s">
        <v>40</v>
      </c>
      <c r="E40" t="s">
        <v>82</v>
      </c>
      <c r="F40" t="s">
        <v>83</v>
      </c>
      <c r="G40">
        <v>1</v>
      </c>
      <c r="H40">
        <v>70</v>
      </c>
      <c r="I40">
        <v>14.89</v>
      </c>
      <c r="J40">
        <v>6.7</v>
      </c>
      <c r="K40">
        <v>1</v>
      </c>
      <c r="L40">
        <v>2.0499999999999998</v>
      </c>
      <c r="M40">
        <v>1.1200000000000001</v>
      </c>
      <c r="N40">
        <v>10.87</v>
      </c>
      <c r="O40">
        <v>4.0199999999999996</v>
      </c>
      <c r="P40">
        <v>18.91</v>
      </c>
      <c r="Q40" s="4">
        <v>0.2702</v>
      </c>
      <c r="R40" t="s">
        <v>167</v>
      </c>
    </row>
    <row r="41" spans="1:18">
      <c r="A41" t="s">
        <v>168</v>
      </c>
      <c r="B41" t="s">
        <v>132</v>
      </c>
      <c r="C41" t="s">
        <v>39</v>
      </c>
      <c r="D41" t="s">
        <v>40</v>
      </c>
      <c r="E41" t="s">
        <v>82</v>
      </c>
      <c r="F41" t="s">
        <v>83</v>
      </c>
      <c r="G41">
        <v>1</v>
      </c>
      <c r="H41">
        <v>59.1</v>
      </c>
      <c r="I41">
        <v>12.57</v>
      </c>
      <c r="J41">
        <v>6.7</v>
      </c>
      <c r="K41">
        <v>1</v>
      </c>
      <c r="L41">
        <v>1.77</v>
      </c>
      <c r="M41">
        <v>0.94</v>
      </c>
      <c r="N41">
        <v>10.41</v>
      </c>
      <c r="O41">
        <v>2.16</v>
      </c>
      <c r="P41">
        <v>10.17</v>
      </c>
      <c r="Q41" s="4">
        <v>0.17208000000000001</v>
      </c>
      <c r="R41" t="s">
        <v>169</v>
      </c>
    </row>
    <row r="42" spans="1:18">
      <c r="A42" t="s">
        <v>170</v>
      </c>
      <c r="B42" t="s">
        <v>132</v>
      </c>
      <c r="C42" t="s">
        <v>47</v>
      </c>
      <c r="D42" t="s">
        <v>40</v>
      </c>
      <c r="E42" t="s">
        <v>82</v>
      </c>
      <c r="F42" t="s">
        <v>90</v>
      </c>
      <c r="G42">
        <v>1</v>
      </c>
      <c r="H42">
        <v>69</v>
      </c>
      <c r="I42">
        <v>14.68</v>
      </c>
      <c r="J42">
        <v>6.7</v>
      </c>
      <c r="K42">
        <v>1</v>
      </c>
      <c r="L42">
        <v>2.0299999999999998</v>
      </c>
      <c r="M42">
        <v>1.1000000000000001</v>
      </c>
      <c r="N42">
        <v>10.83</v>
      </c>
      <c r="O42">
        <v>3.85</v>
      </c>
      <c r="P42">
        <v>18.11</v>
      </c>
      <c r="Q42" s="4">
        <v>0.26249</v>
      </c>
      <c r="R42" t="s">
        <v>171</v>
      </c>
    </row>
    <row r="43" spans="1:18">
      <c r="A43" t="s">
        <v>172</v>
      </c>
      <c r="B43" t="s">
        <v>107</v>
      </c>
      <c r="C43" t="s">
        <v>43</v>
      </c>
      <c r="D43" t="s">
        <v>44</v>
      </c>
      <c r="E43" t="s">
        <v>82</v>
      </c>
      <c r="F43" t="s">
        <v>86</v>
      </c>
      <c r="G43">
        <v>1</v>
      </c>
      <c r="H43">
        <v>245</v>
      </c>
      <c r="I43">
        <v>52.13</v>
      </c>
      <c r="J43">
        <v>13.4</v>
      </c>
      <c r="K43">
        <v>1</v>
      </c>
      <c r="L43">
        <v>6.63</v>
      </c>
      <c r="M43">
        <v>3.9</v>
      </c>
      <c r="N43">
        <v>24.93</v>
      </c>
      <c r="O43">
        <v>27.19</v>
      </c>
      <c r="P43">
        <v>127.81</v>
      </c>
      <c r="Q43" s="4">
        <v>0.52166999999999997</v>
      </c>
      <c r="R43" t="s">
        <v>173</v>
      </c>
    </row>
    <row r="44" spans="1:18">
      <c r="A44" t="s">
        <v>172</v>
      </c>
      <c r="B44" t="s">
        <v>107</v>
      </c>
      <c r="C44" t="s">
        <v>54</v>
      </c>
      <c r="D44" t="s">
        <v>44</v>
      </c>
      <c r="E44" t="s">
        <v>82</v>
      </c>
      <c r="F44" t="s">
        <v>164</v>
      </c>
      <c r="G44">
        <v>1</v>
      </c>
      <c r="H44">
        <v>245</v>
      </c>
      <c r="I44">
        <v>52.13</v>
      </c>
      <c r="J44">
        <v>13.4</v>
      </c>
      <c r="K44">
        <v>1</v>
      </c>
      <c r="L44">
        <v>6.63</v>
      </c>
      <c r="M44">
        <v>3.9</v>
      </c>
      <c r="N44">
        <v>24.93</v>
      </c>
      <c r="O44">
        <v>27.19</v>
      </c>
      <c r="P44">
        <v>127.81</v>
      </c>
      <c r="Q44" s="4">
        <v>0.52166999999999997</v>
      </c>
      <c r="R44" t="s">
        <v>173</v>
      </c>
    </row>
    <row r="45" spans="1:18">
      <c r="A45" t="s">
        <v>174</v>
      </c>
      <c r="B45" t="s">
        <v>132</v>
      </c>
      <c r="C45" t="s">
        <v>39</v>
      </c>
      <c r="D45" t="s">
        <v>40</v>
      </c>
      <c r="E45" t="s">
        <v>82</v>
      </c>
      <c r="F45" t="s">
        <v>83</v>
      </c>
      <c r="G45">
        <v>1</v>
      </c>
      <c r="H45">
        <v>69</v>
      </c>
      <c r="I45">
        <v>14.68</v>
      </c>
      <c r="J45">
        <v>6.7</v>
      </c>
      <c r="K45">
        <v>1</v>
      </c>
      <c r="L45">
        <v>2.0299999999999998</v>
      </c>
      <c r="M45">
        <v>1.1000000000000001</v>
      </c>
      <c r="N45">
        <v>10.83</v>
      </c>
      <c r="O45">
        <v>3.85</v>
      </c>
      <c r="P45">
        <v>18.11</v>
      </c>
      <c r="Q45" s="4">
        <v>0.26249</v>
      </c>
      <c r="R45" t="s">
        <v>175</v>
      </c>
    </row>
    <row r="46" spans="1:18">
      <c r="A46" t="s">
        <v>176</v>
      </c>
      <c r="B46" t="s">
        <v>132</v>
      </c>
      <c r="C46" t="s">
        <v>39</v>
      </c>
      <c r="D46" t="s">
        <v>40</v>
      </c>
      <c r="E46" t="s">
        <v>82</v>
      </c>
      <c r="F46" t="s">
        <v>83</v>
      </c>
      <c r="G46">
        <v>1</v>
      </c>
      <c r="H46">
        <v>69</v>
      </c>
      <c r="I46">
        <v>14.68</v>
      </c>
      <c r="J46">
        <v>6.7</v>
      </c>
      <c r="K46">
        <v>1</v>
      </c>
      <c r="L46">
        <v>2.0299999999999998</v>
      </c>
      <c r="M46">
        <v>1.1000000000000001</v>
      </c>
      <c r="N46">
        <v>10.83</v>
      </c>
      <c r="O46">
        <v>3.85</v>
      </c>
      <c r="P46">
        <v>18.11</v>
      </c>
      <c r="Q46" s="4">
        <v>0.26249</v>
      </c>
      <c r="R46" t="s">
        <v>177</v>
      </c>
    </row>
    <row r="47" spans="1:18">
      <c r="A47" t="s">
        <v>178</v>
      </c>
      <c r="B47" t="s">
        <v>132</v>
      </c>
      <c r="C47" t="s">
        <v>48</v>
      </c>
      <c r="D47" t="s">
        <v>49</v>
      </c>
      <c r="E47" t="s">
        <v>82</v>
      </c>
      <c r="F47" t="s">
        <v>102</v>
      </c>
      <c r="G47">
        <v>1</v>
      </c>
      <c r="H47">
        <v>47</v>
      </c>
      <c r="I47">
        <v>10</v>
      </c>
      <c r="J47">
        <v>3.35</v>
      </c>
      <c r="K47">
        <v>1</v>
      </c>
      <c r="L47">
        <v>1.45</v>
      </c>
      <c r="M47">
        <v>0.75</v>
      </c>
      <c r="N47">
        <v>6.55</v>
      </c>
      <c r="O47">
        <v>3.45</v>
      </c>
      <c r="P47">
        <v>16.21</v>
      </c>
      <c r="Q47" s="4">
        <v>0.34486</v>
      </c>
      <c r="R47" t="s">
        <v>179</v>
      </c>
    </row>
    <row r="48" spans="1:18">
      <c r="A48" t="s">
        <v>180</v>
      </c>
      <c r="B48" t="s">
        <v>132</v>
      </c>
      <c r="C48" t="s">
        <v>48</v>
      </c>
      <c r="D48" t="s">
        <v>49</v>
      </c>
      <c r="E48" t="s">
        <v>82</v>
      </c>
      <c r="F48" t="s">
        <v>102</v>
      </c>
      <c r="G48">
        <v>1</v>
      </c>
      <c r="H48">
        <v>43.24</v>
      </c>
      <c r="I48">
        <v>9.1999999999999993</v>
      </c>
      <c r="J48">
        <v>3.35</v>
      </c>
      <c r="K48">
        <v>1</v>
      </c>
      <c r="L48">
        <v>1.35</v>
      </c>
      <c r="M48">
        <v>0.69</v>
      </c>
      <c r="N48">
        <v>6.39</v>
      </c>
      <c r="O48">
        <v>2.81</v>
      </c>
      <c r="P48">
        <v>13.19</v>
      </c>
      <c r="Q48" s="4">
        <v>0.30508999999999997</v>
      </c>
      <c r="R48" t="s">
        <v>181</v>
      </c>
    </row>
    <row r="49" spans="1:18">
      <c r="A49" t="s">
        <v>182</v>
      </c>
      <c r="B49" t="s">
        <v>132</v>
      </c>
      <c r="C49" t="s">
        <v>48</v>
      </c>
      <c r="D49" t="s">
        <v>49</v>
      </c>
      <c r="E49" t="s">
        <v>82</v>
      </c>
      <c r="F49" t="s">
        <v>102</v>
      </c>
      <c r="G49">
        <v>1</v>
      </c>
      <c r="H49">
        <v>48</v>
      </c>
      <c r="I49">
        <v>10.210000000000001</v>
      </c>
      <c r="J49">
        <v>3.35</v>
      </c>
      <c r="K49">
        <v>1</v>
      </c>
      <c r="L49">
        <v>1.48</v>
      </c>
      <c r="M49">
        <v>0.76</v>
      </c>
      <c r="N49">
        <v>6.59</v>
      </c>
      <c r="O49">
        <v>3.62</v>
      </c>
      <c r="P49">
        <v>17.010000000000002</v>
      </c>
      <c r="Q49" s="4">
        <v>0.35438999999999998</v>
      </c>
      <c r="R49" t="s">
        <v>183</v>
      </c>
    </row>
    <row r="50" spans="1:18">
      <c r="A50" t="s">
        <v>184</v>
      </c>
      <c r="B50" t="s">
        <v>107</v>
      </c>
      <c r="C50" t="s">
        <v>45</v>
      </c>
      <c r="D50" t="s">
        <v>46</v>
      </c>
      <c r="E50" t="s">
        <v>82</v>
      </c>
      <c r="F50" t="s">
        <v>97</v>
      </c>
      <c r="G50">
        <v>1</v>
      </c>
      <c r="H50">
        <v>167</v>
      </c>
      <c r="I50">
        <v>35.53</v>
      </c>
      <c r="J50">
        <v>20.100000000000001</v>
      </c>
      <c r="K50">
        <v>1</v>
      </c>
      <c r="L50">
        <v>4.59</v>
      </c>
      <c r="M50">
        <v>2.66</v>
      </c>
      <c r="N50">
        <v>28.35</v>
      </c>
      <c r="O50">
        <v>7.18</v>
      </c>
      <c r="P50">
        <v>33.75</v>
      </c>
      <c r="Q50" s="4">
        <v>0.20208000000000001</v>
      </c>
      <c r="R50" t="s">
        <v>185</v>
      </c>
    </row>
    <row r="51" spans="1:18">
      <c r="A51" t="s">
        <v>186</v>
      </c>
      <c r="B51" t="s">
        <v>132</v>
      </c>
      <c r="C51" t="s">
        <v>41</v>
      </c>
      <c r="D51" t="s">
        <v>42</v>
      </c>
      <c r="E51" t="s">
        <v>122</v>
      </c>
      <c r="F51" t="s">
        <v>123</v>
      </c>
      <c r="G51">
        <v>2</v>
      </c>
      <c r="H51">
        <v>205</v>
      </c>
      <c r="I51">
        <v>43.62</v>
      </c>
      <c r="J51">
        <v>21.45</v>
      </c>
      <c r="K51">
        <v>1</v>
      </c>
      <c r="L51">
        <v>5.58</v>
      </c>
      <c r="M51">
        <v>3.27</v>
      </c>
      <c r="N51">
        <v>31.3</v>
      </c>
      <c r="O51">
        <v>12.31</v>
      </c>
      <c r="P51">
        <v>57.87</v>
      </c>
      <c r="Q51" s="4">
        <v>0.2823</v>
      </c>
      <c r="R51" t="s">
        <v>187</v>
      </c>
    </row>
    <row r="52" spans="1:18">
      <c r="A52" t="s">
        <v>188</v>
      </c>
      <c r="B52" t="s">
        <v>132</v>
      </c>
      <c r="C52" t="s">
        <v>41</v>
      </c>
      <c r="D52" t="s">
        <v>42</v>
      </c>
      <c r="E52" t="s">
        <v>122</v>
      </c>
      <c r="F52" t="s">
        <v>123</v>
      </c>
      <c r="G52">
        <v>1</v>
      </c>
      <c r="H52">
        <v>60</v>
      </c>
      <c r="I52">
        <v>12.77</v>
      </c>
      <c r="J52">
        <v>10.73</v>
      </c>
      <c r="K52">
        <v>1</v>
      </c>
      <c r="L52">
        <v>1.79</v>
      </c>
      <c r="M52">
        <v>0.96</v>
      </c>
      <c r="N52">
        <v>14.48</v>
      </c>
      <c r="O52">
        <v>-1.71</v>
      </c>
      <c r="P52">
        <v>-8.0299999999999994</v>
      </c>
      <c r="Q52" s="4">
        <v>-0.13389000000000001</v>
      </c>
      <c r="R52" t="s">
        <v>189</v>
      </c>
    </row>
    <row r="53" spans="1:18">
      <c r="A53" t="s">
        <v>190</v>
      </c>
      <c r="B53" t="s">
        <v>132</v>
      </c>
      <c r="C53" t="s">
        <v>54</v>
      </c>
      <c r="D53" t="s">
        <v>44</v>
      </c>
      <c r="E53" t="s">
        <v>82</v>
      </c>
      <c r="F53" t="s">
        <v>164</v>
      </c>
      <c r="G53">
        <v>1</v>
      </c>
      <c r="H53">
        <v>125</v>
      </c>
      <c r="I53">
        <v>26.6</v>
      </c>
      <c r="J53">
        <v>13.4</v>
      </c>
      <c r="K53">
        <v>1</v>
      </c>
      <c r="L53">
        <v>3.49</v>
      </c>
      <c r="M53">
        <v>1.99</v>
      </c>
      <c r="N53">
        <v>19.88</v>
      </c>
      <c r="O53">
        <v>6.71</v>
      </c>
      <c r="P53">
        <v>31.55</v>
      </c>
      <c r="Q53" s="4">
        <v>0.25235999999999997</v>
      </c>
      <c r="R53" t="s">
        <v>191</v>
      </c>
    </row>
    <row r="54" spans="1:18">
      <c r="A54" t="s">
        <v>192</v>
      </c>
      <c r="B54" t="s">
        <v>132</v>
      </c>
      <c r="C54" t="s">
        <v>41</v>
      </c>
      <c r="D54" t="s">
        <v>42</v>
      </c>
      <c r="E54" t="s">
        <v>122</v>
      </c>
      <c r="F54" t="s">
        <v>123</v>
      </c>
      <c r="G54">
        <v>1</v>
      </c>
      <c r="H54">
        <v>84</v>
      </c>
      <c r="I54">
        <v>17.87</v>
      </c>
      <c r="J54">
        <v>10.73</v>
      </c>
      <c r="K54">
        <v>1</v>
      </c>
      <c r="L54">
        <v>2.42</v>
      </c>
      <c r="M54">
        <v>1.34</v>
      </c>
      <c r="N54">
        <v>15.49</v>
      </c>
      <c r="O54">
        <v>2.39</v>
      </c>
      <c r="P54">
        <v>11.22</v>
      </c>
      <c r="Q54" s="4">
        <v>0.13356999999999999</v>
      </c>
      <c r="R54" t="s">
        <v>193</v>
      </c>
    </row>
    <row r="55" spans="1:18">
      <c r="A55" t="s">
        <v>194</v>
      </c>
      <c r="B55" t="s">
        <v>132</v>
      </c>
      <c r="C55" t="s">
        <v>52</v>
      </c>
      <c r="D55" t="s">
        <v>53</v>
      </c>
      <c r="E55" t="s">
        <v>133</v>
      </c>
      <c r="F55" t="s">
        <v>145</v>
      </c>
      <c r="G55">
        <v>1</v>
      </c>
      <c r="H55">
        <v>360</v>
      </c>
      <c r="I55">
        <v>76.599999999999994</v>
      </c>
      <c r="J55">
        <v>45.5</v>
      </c>
      <c r="K55">
        <v>2</v>
      </c>
      <c r="L55">
        <v>9.64</v>
      </c>
      <c r="M55">
        <v>5.74</v>
      </c>
      <c r="N55">
        <v>62.87</v>
      </c>
      <c r="O55">
        <v>13.72</v>
      </c>
      <c r="P55">
        <v>64.5</v>
      </c>
      <c r="Q55" s="4">
        <v>0.17916000000000001</v>
      </c>
      <c r="R55" t="s">
        <v>195</v>
      </c>
    </row>
    <row r="56" spans="1:18">
      <c r="A56" t="s">
        <v>196</v>
      </c>
      <c r="B56" t="s">
        <v>132</v>
      </c>
      <c r="C56" t="s">
        <v>39</v>
      </c>
      <c r="D56" t="s">
        <v>40</v>
      </c>
      <c r="E56" t="s">
        <v>82</v>
      </c>
      <c r="F56" t="s">
        <v>83</v>
      </c>
      <c r="G56">
        <v>1</v>
      </c>
      <c r="H56">
        <v>68.900000000000006</v>
      </c>
      <c r="I56">
        <v>14.66</v>
      </c>
      <c r="J56">
        <v>6.7</v>
      </c>
      <c r="K56">
        <v>1</v>
      </c>
      <c r="L56">
        <v>2.0299999999999998</v>
      </c>
      <c r="M56">
        <v>1.1000000000000001</v>
      </c>
      <c r="N56">
        <v>10.82</v>
      </c>
      <c r="O56">
        <v>3.84</v>
      </c>
      <c r="P56">
        <v>18.03</v>
      </c>
      <c r="Q56" s="4">
        <v>0.26171</v>
      </c>
      <c r="R56" t="s">
        <v>197</v>
      </c>
    </row>
    <row r="57" spans="1:18">
      <c r="A57" t="s">
        <v>198</v>
      </c>
      <c r="B57" t="s">
        <v>132</v>
      </c>
      <c r="C57" t="s">
        <v>39</v>
      </c>
      <c r="D57" t="s">
        <v>40</v>
      </c>
      <c r="E57" t="s">
        <v>82</v>
      </c>
      <c r="F57" t="s">
        <v>83</v>
      </c>
      <c r="G57">
        <v>1</v>
      </c>
      <c r="H57">
        <v>133</v>
      </c>
      <c r="I57">
        <v>28.3</v>
      </c>
      <c r="J57">
        <v>6.7</v>
      </c>
      <c r="K57">
        <v>1</v>
      </c>
      <c r="L57">
        <v>3.7</v>
      </c>
      <c r="M57">
        <v>2.12</v>
      </c>
      <c r="N57">
        <v>13.52</v>
      </c>
      <c r="O57">
        <v>14.78</v>
      </c>
      <c r="P57">
        <v>69.45</v>
      </c>
      <c r="Q57" s="4">
        <v>0.5222</v>
      </c>
      <c r="R57" t="s">
        <v>199</v>
      </c>
    </row>
    <row r="58" spans="1:18">
      <c r="A58" t="s">
        <v>198</v>
      </c>
      <c r="B58" t="s">
        <v>132</v>
      </c>
      <c r="C58" t="s">
        <v>47</v>
      </c>
      <c r="D58" t="s">
        <v>40</v>
      </c>
      <c r="E58" t="s">
        <v>82</v>
      </c>
      <c r="F58" t="s">
        <v>90</v>
      </c>
      <c r="G58">
        <v>1</v>
      </c>
      <c r="H58">
        <v>133</v>
      </c>
      <c r="I58">
        <v>28.3</v>
      </c>
      <c r="J58">
        <v>6.7</v>
      </c>
      <c r="K58">
        <v>1</v>
      </c>
      <c r="L58">
        <v>3.7</v>
      </c>
      <c r="M58">
        <v>2.12</v>
      </c>
      <c r="N58">
        <v>13.52</v>
      </c>
      <c r="O58">
        <v>14.78</v>
      </c>
      <c r="P58">
        <v>69.45</v>
      </c>
      <c r="Q58" s="4">
        <v>0.5222</v>
      </c>
      <c r="R58" t="s">
        <v>199</v>
      </c>
    </row>
    <row r="59" spans="1:18">
      <c r="A59" t="s">
        <v>200</v>
      </c>
      <c r="B59" t="s">
        <v>132</v>
      </c>
      <c r="C59" t="s">
        <v>52</v>
      </c>
      <c r="D59" t="s">
        <v>53</v>
      </c>
      <c r="E59" t="s">
        <v>133</v>
      </c>
      <c r="F59" t="s">
        <v>145</v>
      </c>
      <c r="G59">
        <v>1</v>
      </c>
      <c r="H59">
        <v>319.5</v>
      </c>
      <c r="I59">
        <v>67.98</v>
      </c>
      <c r="J59">
        <v>45.5</v>
      </c>
      <c r="K59">
        <v>2</v>
      </c>
      <c r="L59">
        <v>8.58</v>
      </c>
      <c r="M59">
        <v>5.09</v>
      </c>
      <c r="N59">
        <v>61.17</v>
      </c>
      <c r="O59">
        <v>6.81</v>
      </c>
      <c r="P59">
        <v>32.01</v>
      </c>
      <c r="Q59" s="4">
        <v>0.10018000000000001</v>
      </c>
      <c r="R59" t="s">
        <v>201</v>
      </c>
    </row>
    <row r="60" spans="1:18">
      <c r="A60" t="s">
        <v>202</v>
      </c>
      <c r="B60" t="s">
        <v>132</v>
      </c>
      <c r="C60" t="s">
        <v>39</v>
      </c>
      <c r="D60" t="s">
        <v>40</v>
      </c>
      <c r="E60" t="s">
        <v>82</v>
      </c>
      <c r="F60" t="s">
        <v>83</v>
      </c>
      <c r="G60">
        <v>2</v>
      </c>
      <c r="H60">
        <v>133</v>
      </c>
      <c r="I60">
        <v>28.3</v>
      </c>
      <c r="J60">
        <v>13.4</v>
      </c>
      <c r="K60">
        <v>1</v>
      </c>
      <c r="L60">
        <v>3.7</v>
      </c>
      <c r="M60">
        <v>2.12</v>
      </c>
      <c r="N60">
        <v>20.22</v>
      </c>
      <c r="O60">
        <v>8.08</v>
      </c>
      <c r="P60">
        <v>37.96</v>
      </c>
      <c r="Q60" s="4">
        <v>0.28543000000000002</v>
      </c>
      <c r="R60" t="s">
        <v>203</v>
      </c>
    </row>
    <row r="61" spans="1:18">
      <c r="A61" t="s">
        <v>204</v>
      </c>
      <c r="B61" t="s">
        <v>132</v>
      </c>
      <c r="C61" t="s">
        <v>52</v>
      </c>
      <c r="D61" t="s">
        <v>53</v>
      </c>
      <c r="E61" t="s">
        <v>133</v>
      </c>
      <c r="F61" t="s">
        <v>145</v>
      </c>
      <c r="G61">
        <v>1</v>
      </c>
      <c r="H61">
        <v>355</v>
      </c>
      <c r="I61">
        <v>75.53</v>
      </c>
      <c r="J61">
        <v>45.5</v>
      </c>
      <c r="K61">
        <v>2</v>
      </c>
      <c r="L61">
        <v>9.51</v>
      </c>
      <c r="M61">
        <v>5.66</v>
      </c>
      <c r="N61">
        <v>62.66</v>
      </c>
      <c r="O61">
        <v>12.87</v>
      </c>
      <c r="P61">
        <v>60.49</v>
      </c>
      <c r="Q61" s="4">
        <v>0.17038</v>
      </c>
      <c r="R61" t="s">
        <v>205</v>
      </c>
    </row>
    <row r="62" spans="1:18">
      <c r="A62" t="s">
        <v>206</v>
      </c>
      <c r="B62" t="s">
        <v>132</v>
      </c>
      <c r="C62" t="s">
        <v>52</v>
      </c>
      <c r="D62" t="s">
        <v>53</v>
      </c>
      <c r="E62" t="s">
        <v>133</v>
      </c>
      <c r="F62" t="s">
        <v>145</v>
      </c>
      <c r="G62">
        <v>1</v>
      </c>
      <c r="H62">
        <v>715</v>
      </c>
      <c r="I62">
        <v>152.13</v>
      </c>
      <c r="J62">
        <v>45.5</v>
      </c>
      <c r="K62">
        <v>2</v>
      </c>
      <c r="L62">
        <v>18.920000000000002</v>
      </c>
      <c r="M62">
        <v>11.39</v>
      </c>
      <c r="N62">
        <v>77.81</v>
      </c>
      <c r="O62">
        <v>74.31</v>
      </c>
      <c r="P62">
        <v>349.28</v>
      </c>
      <c r="Q62" s="4">
        <v>0.48849999999999999</v>
      </c>
      <c r="R62" t="s">
        <v>207</v>
      </c>
    </row>
    <row r="63" spans="1:18">
      <c r="A63" t="s">
        <v>206</v>
      </c>
      <c r="B63" t="s">
        <v>132</v>
      </c>
      <c r="C63" t="s">
        <v>56</v>
      </c>
      <c r="D63" t="s">
        <v>57</v>
      </c>
      <c r="E63" t="s">
        <v>133</v>
      </c>
      <c r="F63" t="s">
        <v>134</v>
      </c>
      <c r="G63">
        <v>1</v>
      </c>
      <c r="H63">
        <v>715</v>
      </c>
      <c r="I63">
        <v>152.13</v>
      </c>
      <c r="J63">
        <v>40.25</v>
      </c>
      <c r="K63">
        <v>2</v>
      </c>
      <c r="L63">
        <v>18.920000000000002</v>
      </c>
      <c r="M63">
        <v>11.39</v>
      </c>
      <c r="N63">
        <v>72.569999999999993</v>
      </c>
      <c r="O63">
        <v>79.56</v>
      </c>
      <c r="P63">
        <v>373.93</v>
      </c>
      <c r="Q63" s="4">
        <v>0.52298</v>
      </c>
      <c r="R63" t="s">
        <v>207</v>
      </c>
    </row>
    <row r="64" spans="1:18">
      <c r="A64" t="s">
        <v>208</v>
      </c>
      <c r="B64" t="s">
        <v>132</v>
      </c>
      <c r="C64" t="s">
        <v>56</v>
      </c>
      <c r="D64" t="s">
        <v>57</v>
      </c>
      <c r="E64" t="s">
        <v>133</v>
      </c>
      <c r="F64" t="s">
        <v>134</v>
      </c>
      <c r="G64">
        <v>1</v>
      </c>
      <c r="H64">
        <v>360</v>
      </c>
      <c r="I64">
        <v>76.599999999999994</v>
      </c>
      <c r="J64">
        <v>40.25</v>
      </c>
      <c r="K64">
        <v>2</v>
      </c>
      <c r="L64">
        <v>9.64</v>
      </c>
      <c r="M64">
        <v>5.74</v>
      </c>
      <c r="N64">
        <v>57.63</v>
      </c>
      <c r="O64">
        <v>18.97</v>
      </c>
      <c r="P64">
        <v>89.15</v>
      </c>
      <c r="Q64" s="4">
        <v>0.24764</v>
      </c>
      <c r="R64" t="s">
        <v>209</v>
      </c>
    </row>
    <row r="65" spans="1:18">
      <c r="A65" t="s">
        <v>210</v>
      </c>
      <c r="B65" t="s">
        <v>132</v>
      </c>
      <c r="C65" t="s">
        <v>52</v>
      </c>
      <c r="D65" t="s">
        <v>53</v>
      </c>
      <c r="E65" t="s">
        <v>133</v>
      </c>
      <c r="F65" t="s">
        <v>145</v>
      </c>
      <c r="G65">
        <v>1</v>
      </c>
      <c r="H65">
        <v>355</v>
      </c>
      <c r="I65">
        <v>75.53</v>
      </c>
      <c r="J65">
        <v>45.5</v>
      </c>
      <c r="K65">
        <v>2</v>
      </c>
      <c r="L65">
        <v>9.51</v>
      </c>
      <c r="M65">
        <v>5.66</v>
      </c>
      <c r="N65">
        <v>62.66</v>
      </c>
      <c r="O65">
        <v>12.87</v>
      </c>
      <c r="P65">
        <v>60.49</v>
      </c>
      <c r="Q65" s="4">
        <v>0.17038</v>
      </c>
      <c r="R65" t="s">
        <v>211</v>
      </c>
    </row>
    <row r="66" spans="1:18">
      <c r="A66" t="s">
        <v>212</v>
      </c>
      <c r="B66" t="s">
        <v>132</v>
      </c>
      <c r="C66" t="s">
        <v>39</v>
      </c>
      <c r="D66" t="s">
        <v>40</v>
      </c>
      <c r="E66" t="s">
        <v>82</v>
      </c>
      <c r="F66" t="s">
        <v>83</v>
      </c>
      <c r="G66">
        <v>1</v>
      </c>
      <c r="H66">
        <v>69</v>
      </c>
      <c r="I66">
        <v>14.68</v>
      </c>
      <c r="J66">
        <v>6.7</v>
      </c>
      <c r="K66">
        <v>1</v>
      </c>
      <c r="L66">
        <v>2.0299999999999998</v>
      </c>
      <c r="M66">
        <v>1.1000000000000001</v>
      </c>
      <c r="N66">
        <v>10.83</v>
      </c>
      <c r="O66">
        <v>3.85</v>
      </c>
      <c r="P66">
        <v>18.11</v>
      </c>
      <c r="Q66" s="4">
        <v>0.26249</v>
      </c>
      <c r="R66" t="s">
        <v>213</v>
      </c>
    </row>
    <row r="67" spans="1:18">
      <c r="A67" t="s">
        <v>214</v>
      </c>
      <c r="B67" t="s">
        <v>132</v>
      </c>
      <c r="C67" t="s">
        <v>45</v>
      </c>
      <c r="D67" t="s">
        <v>46</v>
      </c>
      <c r="E67" t="s">
        <v>82</v>
      </c>
      <c r="F67" t="s">
        <v>97</v>
      </c>
      <c r="G67">
        <v>1</v>
      </c>
      <c r="H67">
        <v>172</v>
      </c>
      <c r="I67">
        <v>36.6</v>
      </c>
      <c r="J67">
        <v>20.100000000000001</v>
      </c>
      <c r="K67">
        <v>1</v>
      </c>
      <c r="L67">
        <v>4.72</v>
      </c>
      <c r="M67">
        <v>2.74</v>
      </c>
      <c r="N67">
        <v>28.56</v>
      </c>
      <c r="O67">
        <v>8.0299999999999994</v>
      </c>
      <c r="P67">
        <v>37.76</v>
      </c>
      <c r="Q67" s="4">
        <v>0.21953</v>
      </c>
      <c r="R67" t="s">
        <v>215</v>
      </c>
    </row>
    <row r="68" spans="1:18">
      <c r="A68" t="s">
        <v>216</v>
      </c>
      <c r="B68" t="s">
        <v>107</v>
      </c>
      <c r="C68" t="s">
        <v>45</v>
      </c>
      <c r="D68" t="s">
        <v>46</v>
      </c>
      <c r="E68" t="s">
        <v>137</v>
      </c>
      <c r="F68" t="s">
        <v>138</v>
      </c>
      <c r="G68">
        <v>1</v>
      </c>
      <c r="H68">
        <v>179</v>
      </c>
      <c r="I68">
        <v>38.090000000000003</v>
      </c>
      <c r="J68">
        <v>20.100000000000001</v>
      </c>
      <c r="K68">
        <v>1</v>
      </c>
      <c r="L68">
        <v>4.9000000000000004</v>
      </c>
      <c r="M68">
        <v>2.85</v>
      </c>
      <c r="N68">
        <v>28.86</v>
      </c>
      <c r="O68">
        <v>9.23</v>
      </c>
      <c r="P68">
        <v>43.37</v>
      </c>
      <c r="Q68" s="4">
        <v>0.24231</v>
      </c>
      <c r="R68" t="s">
        <v>217</v>
      </c>
    </row>
    <row r="69" spans="1:18">
      <c r="A69" t="s">
        <v>218</v>
      </c>
      <c r="B69" t="s">
        <v>132</v>
      </c>
      <c r="C69" t="s">
        <v>41</v>
      </c>
      <c r="D69" t="s">
        <v>42</v>
      </c>
      <c r="E69" t="s">
        <v>122</v>
      </c>
      <c r="F69" t="s">
        <v>123</v>
      </c>
      <c r="G69">
        <v>1</v>
      </c>
      <c r="H69">
        <v>55</v>
      </c>
      <c r="I69">
        <v>11.7</v>
      </c>
      <c r="J69">
        <v>10.73</v>
      </c>
      <c r="K69">
        <v>1</v>
      </c>
      <c r="L69">
        <v>1.66</v>
      </c>
      <c r="M69">
        <v>0.88</v>
      </c>
      <c r="N69">
        <v>14.26</v>
      </c>
      <c r="O69">
        <v>-2.56</v>
      </c>
      <c r="P69">
        <v>-12.04</v>
      </c>
      <c r="Q69" s="4">
        <v>-0.21898999999999999</v>
      </c>
      <c r="R69" t="s">
        <v>219</v>
      </c>
    </row>
    <row r="70" spans="1:18">
      <c r="A70" t="s">
        <v>220</v>
      </c>
      <c r="B70" t="s">
        <v>132</v>
      </c>
      <c r="C70" t="s">
        <v>43</v>
      </c>
      <c r="D70" t="s">
        <v>44</v>
      </c>
      <c r="E70" t="s">
        <v>82</v>
      </c>
      <c r="F70" t="s">
        <v>86</v>
      </c>
      <c r="G70">
        <v>1</v>
      </c>
      <c r="H70">
        <v>225</v>
      </c>
      <c r="I70">
        <v>47.87</v>
      </c>
      <c r="J70">
        <v>13.4</v>
      </c>
      <c r="K70">
        <v>1</v>
      </c>
      <c r="L70">
        <v>6.11</v>
      </c>
      <c r="M70">
        <v>3.59</v>
      </c>
      <c r="N70">
        <v>24.09</v>
      </c>
      <c r="O70">
        <v>23.78</v>
      </c>
      <c r="P70">
        <v>111.77</v>
      </c>
      <c r="Q70" s="4">
        <v>0.49673</v>
      </c>
      <c r="R70" t="s">
        <v>221</v>
      </c>
    </row>
    <row r="71" spans="1:18">
      <c r="A71" t="s">
        <v>220</v>
      </c>
      <c r="B71" t="s">
        <v>132</v>
      </c>
      <c r="C71" t="s">
        <v>54</v>
      </c>
      <c r="D71" t="s">
        <v>44</v>
      </c>
      <c r="E71" t="s">
        <v>82</v>
      </c>
      <c r="F71" t="s">
        <v>164</v>
      </c>
      <c r="G71">
        <v>1</v>
      </c>
      <c r="H71">
        <v>225</v>
      </c>
      <c r="I71">
        <v>47.87</v>
      </c>
      <c r="J71">
        <v>13.4</v>
      </c>
      <c r="K71">
        <v>1</v>
      </c>
      <c r="L71">
        <v>6.11</v>
      </c>
      <c r="M71">
        <v>3.59</v>
      </c>
      <c r="N71">
        <v>24.09</v>
      </c>
      <c r="O71">
        <v>23.78</v>
      </c>
      <c r="P71">
        <v>111.77</v>
      </c>
      <c r="Q71" s="4">
        <v>0.49673</v>
      </c>
      <c r="R71" t="s">
        <v>221</v>
      </c>
    </row>
    <row r="72" spans="1:18">
      <c r="A72" t="s">
        <v>222</v>
      </c>
      <c r="B72" t="s">
        <v>132</v>
      </c>
      <c r="C72" t="s">
        <v>39</v>
      </c>
      <c r="D72" t="s">
        <v>40</v>
      </c>
      <c r="E72" t="s">
        <v>82</v>
      </c>
      <c r="F72" t="s">
        <v>83</v>
      </c>
      <c r="G72">
        <v>1</v>
      </c>
      <c r="H72">
        <v>69</v>
      </c>
      <c r="I72">
        <v>14.68</v>
      </c>
      <c r="J72">
        <v>6.7</v>
      </c>
      <c r="K72">
        <v>1</v>
      </c>
      <c r="L72">
        <v>2.0299999999999998</v>
      </c>
      <c r="M72">
        <v>1.1000000000000001</v>
      </c>
      <c r="N72">
        <v>10.83</v>
      </c>
      <c r="O72">
        <v>3.85</v>
      </c>
      <c r="P72">
        <v>18.11</v>
      </c>
      <c r="Q72" s="4">
        <v>0.26249</v>
      </c>
      <c r="R72" t="s">
        <v>223</v>
      </c>
    </row>
    <row r="73" spans="1:18">
      <c r="A73" t="s">
        <v>224</v>
      </c>
      <c r="B73" t="s">
        <v>132</v>
      </c>
      <c r="C73" t="s">
        <v>48</v>
      </c>
      <c r="D73" t="s">
        <v>49</v>
      </c>
      <c r="E73" t="s">
        <v>82</v>
      </c>
      <c r="F73" t="s">
        <v>102</v>
      </c>
      <c r="G73">
        <v>1</v>
      </c>
      <c r="H73">
        <v>47</v>
      </c>
      <c r="I73">
        <v>10</v>
      </c>
      <c r="J73">
        <v>3.35</v>
      </c>
      <c r="K73">
        <v>1</v>
      </c>
      <c r="L73">
        <v>1.45</v>
      </c>
      <c r="M73">
        <v>0.75</v>
      </c>
      <c r="N73">
        <v>6.55</v>
      </c>
      <c r="O73">
        <v>3.45</v>
      </c>
      <c r="P73">
        <v>16.21</v>
      </c>
      <c r="Q73" s="4">
        <v>0.34486</v>
      </c>
      <c r="R73" t="s">
        <v>225</v>
      </c>
    </row>
    <row r="74" spans="1:18">
      <c r="A74" t="s">
        <v>226</v>
      </c>
      <c r="B74" t="s">
        <v>132</v>
      </c>
      <c r="C74" t="s">
        <v>41</v>
      </c>
      <c r="D74" t="s">
        <v>42</v>
      </c>
      <c r="E74" t="s">
        <v>122</v>
      </c>
      <c r="F74" t="s">
        <v>123</v>
      </c>
      <c r="G74">
        <v>1</v>
      </c>
      <c r="H74">
        <v>105</v>
      </c>
      <c r="I74">
        <v>22.34</v>
      </c>
      <c r="J74">
        <v>10.73</v>
      </c>
      <c r="K74">
        <v>1</v>
      </c>
      <c r="L74">
        <v>2.97</v>
      </c>
      <c r="M74">
        <v>1.67</v>
      </c>
      <c r="N74">
        <v>16.37</v>
      </c>
      <c r="O74">
        <v>5.97</v>
      </c>
      <c r="P74">
        <v>28.07</v>
      </c>
      <c r="Q74" s="4">
        <v>0.26729000000000003</v>
      </c>
      <c r="R74" t="s">
        <v>227</v>
      </c>
    </row>
    <row r="75" spans="1:18">
      <c r="A75" t="s">
        <v>228</v>
      </c>
      <c r="B75" t="s">
        <v>132</v>
      </c>
      <c r="C75" t="s">
        <v>47</v>
      </c>
      <c r="D75" t="s">
        <v>40</v>
      </c>
      <c r="E75" t="s">
        <v>82</v>
      </c>
      <c r="F75" t="s">
        <v>90</v>
      </c>
      <c r="G75">
        <v>1</v>
      </c>
      <c r="H75">
        <v>69</v>
      </c>
      <c r="I75">
        <v>14.68</v>
      </c>
      <c r="J75">
        <v>6.7</v>
      </c>
      <c r="K75">
        <v>1</v>
      </c>
      <c r="L75">
        <v>2.0299999999999998</v>
      </c>
      <c r="M75">
        <v>1.1000000000000001</v>
      </c>
      <c r="N75">
        <v>10.83</v>
      </c>
      <c r="O75">
        <v>3.85</v>
      </c>
      <c r="P75">
        <v>18.11</v>
      </c>
      <c r="Q75" s="4">
        <v>0.26249</v>
      </c>
      <c r="R75" t="s">
        <v>229</v>
      </c>
    </row>
    <row r="76" spans="1:18">
      <c r="A76" t="s">
        <v>230</v>
      </c>
      <c r="B76" t="s">
        <v>132</v>
      </c>
      <c r="C76" t="s">
        <v>39</v>
      </c>
      <c r="D76" t="s">
        <v>40</v>
      </c>
      <c r="E76" t="s">
        <v>82</v>
      </c>
      <c r="F76" t="s">
        <v>83</v>
      </c>
      <c r="G76">
        <v>1</v>
      </c>
      <c r="H76">
        <v>88</v>
      </c>
      <c r="I76">
        <v>18.72</v>
      </c>
      <c r="J76">
        <v>6.7</v>
      </c>
      <c r="K76">
        <v>1</v>
      </c>
      <c r="L76">
        <v>2.52</v>
      </c>
      <c r="M76">
        <v>1.4</v>
      </c>
      <c r="N76">
        <v>11.63</v>
      </c>
      <c r="O76">
        <v>7.1</v>
      </c>
      <c r="P76">
        <v>33.35</v>
      </c>
      <c r="Q76" s="4">
        <v>0.37902000000000002</v>
      </c>
      <c r="R76" t="s">
        <v>231</v>
      </c>
    </row>
    <row r="77" spans="1:18">
      <c r="A77" t="s">
        <v>232</v>
      </c>
      <c r="B77" t="s">
        <v>132</v>
      </c>
      <c r="C77" t="s">
        <v>48</v>
      </c>
      <c r="D77" t="s">
        <v>49</v>
      </c>
      <c r="E77" t="s">
        <v>82</v>
      </c>
      <c r="F77" t="s">
        <v>102</v>
      </c>
      <c r="G77">
        <v>1</v>
      </c>
      <c r="H77">
        <v>47</v>
      </c>
      <c r="I77">
        <v>10</v>
      </c>
      <c r="J77">
        <v>3.35</v>
      </c>
      <c r="K77">
        <v>1</v>
      </c>
      <c r="L77">
        <v>1.45</v>
      </c>
      <c r="M77">
        <v>0.75</v>
      </c>
      <c r="N77">
        <v>6.55</v>
      </c>
      <c r="O77">
        <v>3.45</v>
      </c>
      <c r="P77">
        <v>16.21</v>
      </c>
      <c r="Q77" s="4">
        <v>0.34486</v>
      </c>
      <c r="R77" t="s">
        <v>233</v>
      </c>
    </row>
    <row r="78" spans="1:18">
      <c r="A78" t="s">
        <v>234</v>
      </c>
      <c r="B78" t="s">
        <v>132</v>
      </c>
      <c r="C78" t="s">
        <v>43</v>
      </c>
      <c r="D78" t="s">
        <v>44</v>
      </c>
      <c r="E78" t="s">
        <v>82</v>
      </c>
      <c r="F78" t="s">
        <v>86</v>
      </c>
      <c r="G78">
        <v>1</v>
      </c>
      <c r="H78">
        <v>155</v>
      </c>
      <c r="I78">
        <v>32.979999999999997</v>
      </c>
      <c r="J78">
        <v>13.4</v>
      </c>
      <c r="K78">
        <v>1</v>
      </c>
      <c r="L78">
        <v>4.28</v>
      </c>
      <c r="M78">
        <v>2.4700000000000002</v>
      </c>
      <c r="N78">
        <v>21.15</v>
      </c>
      <c r="O78">
        <v>11.83</v>
      </c>
      <c r="P78">
        <v>55.61</v>
      </c>
      <c r="Q78" s="4">
        <v>0.35877999999999999</v>
      </c>
      <c r="R78" t="s">
        <v>235</v>
      </c>
    </row>
    <row r="79" spans="1:18">
      <c r="A79" t="s">
        <v>236</v>
      </c>
      <c r="B79" t="s">
        <v>107</v>
      </c>
      <c r="C79" t="s">
        <v>39</v>
      </c>
      <c r="D79" t="s">
        <v>40</v>
      </c>
      <c r="E79" t="s">
        <v>82</v>
      </c>
      <c r="F79" t="s">
        <v>83</v>
      </c>
      <c r="G79">
        <v>1</v>
      </c>
      <c r="H79">
        <v>69</v>
      </c>
      <c r="I79">
        <v>14.68</v>
      </c>
      <c r="J79">
        <v>6.7</v>
      </c>
      <c r="K79">
        <v>1</v>
      </c>
      <c r="L79">
        <v>2.0299999999999998</v>
      </c>
      <c r="M79">
        <v>1.1000000000000001</v>
      </c>
      <c r="N79">
        <v>10.83</v>
      </c>
      <c r="O79">
        <v>3.85</v>
      </c>
      <c r="P79">
        <v>18.11</v>
      </c>
      <c r="Q79" s="4">
        <v>0.26249</v>
      </c>
      <c r="R79" t="s">
        <v>237</v>
      </c>
    </row>
    <row r="80" spans="1:18">
      <c r="A80" t="s">
        <v>238</v>
      </c>
      <c r="B80" t="s">
        <v>107</v>
      </c>
      <c r="C80" t="s">
        <v>39</v>
      </c>
      <c r="D80" t="s">
        <v>40</v>
      </c>
      <c r="E80" t="s">
        <v>82</v>
      </c>
      <c r="F80" t="s">
        <v>83</v>
      </c>
      <c r="G80">
        <v>1</v>
      </c>
      <c r="H80">
        <v>127.73</v>
      </c>
      <c r="I80">
        <v>27.18</v>
      </c>
      <c r="J80">
        <v>6.7</v>
      </c>
      <c r="K80">
        <v>1</v>
      </c>
      <c r="L80">
        <v>3.56</v>
      </c>
      <c r="M80">
        <v>2.04</v>
      </c>
      <c r="N80">
        <v>13.3</v>
      </c>
      <c r="O80">
        <v>13.88</v>
      </c>
      <c r="P80">
        <v>65.23</v>
      </c>
      <c r="Q80" s="4">
        <v>0.51065000000000005</v>
      </c>
      <c r="R80" t="s">
        <v>239</v>
      </c>
    </row>
    <row r="81" spans="1:18">
      <c r="A81" t="s">
        <v>238</v>
      </c>
      <c r="B81" t="s">
        <v>107</v>
      </c>
      <c r="C81" t="s">
        <v>47</v>
      </c>
      <c r="D81" t="s">
        <v>40</v>
      </c>
      <c r="E81" t="s">
        <v>82</v>
      </c>
      <c r="F81" t="s">
        <v>90</v>
      </c>
      <c r="G81">
        <v>1</v>
      </c>
      <c r="H81">
        <v>127.73</v>
      </c>
      <c r="I81">
        <v>27.18</v>
      </c>
      <c r="J81">
        <v>6.7</v>
      </c>
      <c r="K81">
        <v>1</v>
      </c>
      <c r="L81">
        <v>3.56</v>
      </c>
      <c r="M81">
        <v>2.04</v>
      </c>
      <c r="N81">
        <v>13.3</v>
      </c>
      <c r="O81">
        <v>13.88</v>
      </c>
      <c r="P81">
        <v>65.23</v>
      </c>
      <c r="Q81" s="4">
        <v>0.51065000000000005</v>
      </c>
      <c r="R81" t="s">
        <v>239</v>
      </c>
    </row>
    <row r="82" spans="1:18">
      <c r="A82" t="s">
        <v>240</v>
      </c>
      <c r="B82" t="s">
        <v>132</v>
      </c>
      <c r="C82" t="s">
        <v>39</v>
      </c>
      <c r="D82" t="s">
        <v>40</v>
      </c>
      <c r="E82" t="s">
        <v>82</v>
      </c>
      <c r="F82" t="s">
        <v>83</v>
      </c>
      <c r="G82">
        <v>1</v>
      </c>
      <c r="H82">
        <v>70</v>
      </c>
      <c r="I82">
        <v>14.89</v>
      </c>
      <c r="J82">
        <v>6.7</v>
      </c>
      <c r="K82">
        <v>1</v>
      </c>
      <c r="L82">
        <v>2.0499999999999998</v>
      </c>
      <c r="M82">
        <v>1.1200000000000001</v>
      </c>
      <c r="N82">
        <v>10.87</v>
      </c>
      <c r="O82">
        <v>4.0199999999999996</v>
      </c>
      <c r="P82">
        <v>18.91</v>
      </c>
      <c r="Q82" s="4">
        <v>0.2702</v>
      </c>
      <c r="R82" t="s">
        <v>241</v>
      </c>
    </row>
    <row r="83" spans="1:18">
      <c r="A83" t="s">
        <v>242</v>
      </c>
      <c r="B83" t="s">
        <v>132</v>
      </c>
      <c r="C83" t="s">
        <v>45</v>
      </c>
      <c r="D83" t="s">
        <v>46</v>
      </c>
      <c r="E83" t="s">
        <v>82</v>
      </c>
      <c r="F83" t="s">
        <v>97</v>
      </c>
      <c r="G83">
        <v>1</v>
      </c>
      <c r="H83">
        <v>167</v>
      </c>
      <c r="I83">
        <v>35.53</v>
      </c>
      <c r="J83">
        <v>20.100000000000001</v>
      </c>
      <c r="K83">
        <v>1</v>
      </c>
      <c r="L83">
        <v>4.59</v>
      </c>
      <c r="M83">
        <v>2.66</v>
      </c>
      <c r="N83">
        <v>28.35</v>
      </c>
      <c r="O83">
        <v>7.18</v>
      </c>
      <c r="P83">
        <v>33.75</v>
      </c>
      <c r="Q83" s="4">
        <v>0.20208000000000001</v>
      </c>
      <c r="R83" t="s">
        <v>243</v>
      </c>
    </row>
    <row r="84" spans="1:18">
      <c r="A84" t="s">
        <v>244</v>
      </c>
      <c r="B84" t="s">
        <v>132</v>
      </c>
      <c r="C84" t="s">
        <v>41</v>
      </c>
      <c r="D84" t="s">
        <v>42</v>
      </c>
      <c r="E84" t="s">
        <v>122</v>
      </c>
      <c r="F84" t="s">
        <v>123</v>
      </c>
      <c r="G84">
        <v>1</v>
      </c>
      <c r="H84">
        <v>78.2</v>
      </c>
      <c r="I84">
        <v>16.64</v>
      </c>
      <c r="J84">
        <v>10.73</v>
      </c>
      <c r="K84">
        <v>1</v>
      </c>
      <c r="L84">
        <v>2.27</v>
      </c>
      <c r="M84">
        <v>1.25</v>
      </c>
      <c r="N84">
        <v>15.24</v>
      </c>
      <c r="O84">
        <v>1.4</v>
      </c>
      <c r="P84">
        <v>6.57</v>
      </c>
      <c r="Q84" s="4">
        <v>8.3970000000000003E-2</v>
      </c>
      <c r="R84" t="s">
        <v>245</v>
      </c>
    </row>
    <row r="85" spans="1:18">
      <c r="A85" t="s">
        <v>246</v>
      </c>
      <c r="B85" t="s">
        <v>132</v>
      </c>
      <c r="C85" t="s">
        <v>39</v>
      </c>
      <c r="D85" t="s">
        <v>40</v>
      </c>
      <c r="E85" t="s">
        <v>82</v>
      </c>
      <c r="F85" t="s">
        <v>83</v>
      </c>
      <c r="G85">
        <v>1</v>
      </c>
      <c r="H85">
        <v>69</v>
      </c>
      <c r="I85">
        <v>14.68</v>
      </c>
      <c r="J85">
        <v>6.7</v>
      </c>
      <c r="K85">
        <v>1</v>
      </c>
      <c r="L85">
        <v>2.0299999999999998</v>
      </c>
      <c r="M85">
        <v>1.1000000000000001</v>
      </c>
      <c r="N85">
        <v>10.83</v>
      </c>
      <c r="O85">
        <v>3.85</v>
      </c>
      <c r="P85">
        <v>18.11</v>
      </c>
      <c r="Q85" s="4">
        <v>0.26249</v>
      </c>
      <c r="R85" t="s">
        <v>247</v>
      </c>
    </row>
    <row r="86" spans="1:18">
      <c r="A86" t="s">
        <v>248</v>
      </c>
      <c r="B86" t="s">
        <v>132</v>
      </c>
      <c r="C86" t="s">
        <v>45</v>
      </c>
      <c r="D86" t="s">
        <v>46</v>
      </c>
      <c r="E86" t="s">
        <v>82</v>
      </c>
      <c r="F86" t="s">
        <v>97</v>
      </c>
      <c r="G86">
        <v>1</v>
      </c>
      <c r="H86">
        <v>516</v>
      </c>
      <c r="I86">
        <v>109.79</v>
      </c>
      <c r="J86">
        <v>20.100000000000001</v>
      </c>
      <c r="K86">
        <v>1</v>
      </c>
      <c r="L86">
        <v>13.72</v>
      </c>
      <c r="M86">
        <v>8.2200000000000006</v>
      </c>
      <c r="N86">
        <v>43.04</v>
      </c>
      <c r="O86">
        <v>66.75</v>
      </c>
      <c r="P86">
        <v>313.72000000000003</v>
      </c>
      <c r="Q86" s="4">
        <v>0.60797999999999996</v>
      </c>
      <c r="R86" t="s">
        <v>249</v>
      </c>
    </row>
    <row r="87" spans="1:18">
      <c r="A87" t="s">
        <v>248</v>
      </c>
      <c r="B87" t="s">
        <v>132</v>
      </c>
      <c r="C87" t="s">
        <v>55</v>
      </c>
      <c r="D87" t="s">
        <v>46</v>
      </c>
      <c r="E87" t="s">
        <v>82</v>
      </c>
      <c r="F87" t="s">
        <v>158</v>
      </c>
      <c r="G87">
        <v>2</v>
      </c>
      <c r="H87">
        <v>516</v>
      </c>
      <c r="I87">
        <v>109.79</v>
      </c>
      <c r="J87">
        <v>40.200000000000003</v>
      </c>
      <c r="K87">
        <v>1</v>
      </c>
      <c r="L87">
        <v>13.72</v>
      </c>
      <c r="M87">
        <v>8.2200000000000006</v>
      </c>
      <c r="N87">
        <v>63.14</v>
      </c>
      <c r="O87">
        <v>46.65</v>
      </c>
      <c r="P87">
        <v>219.25</v>
      </c>
      <c r="Q87" s="4">
        <v>0.42488999999999999</v>
      </c>
      <c r="R87" t="s">
        <v>249</v>
      </c>
    </row>
    <row r="88" spans="1:18">
      <c r="A88" t="s">
        <v>250</v>
      </c>
      <c r="B88" t="s">
        <v>132</v>
      </c>
      <c r="C88" t="s">
        <v>39</v>
      </c>
      <c r="D88" t="s">
        <v>40</v>
      </c>
      <c r="E88" t="s">
        <v>82</v>
      </c>
      <c r="F88" t="s">
        <v>83</v>
      </c>
      <c r="G88">
        <v>1</v>
      </c>
      <c r="H88">
        <v>133</v>
      </c>
      <c r="I88">
        <v>28.3</v>
      </c>
      <c r="J88">
        <v>6.7</v>
      </c>
      <c r="K88">
        <v>1</v>
      </c>
      <c r="L88">
        <v>3.7</v>
      </c>
      <c r="M88">
        <v>2.12</v>
      </c>
      <c r="N88">
        <v>13.52</v>
      </c>
      <c r="O88">
        <v>14.78</v>
      </c>
      <c r="P88">
        <v>69.45</v>
      </c>
      <c r="Q88" s="4">
        <v>0.5222</v>
      </c>
      <c r="R88" t="s">
        <v>251</v>
      </c>
    </row>
    <row r="89" spans="1:18">
      <c r="A89" t="s">
        <v>250</v>
      </c>
      <c r="B89" t="s">
        <v>132</v>
      </c>
      <c r="C89" t="s">
        <v>47</v>
      </c>
      <c r="D89" t="s">
        <v>40</v>
      </c>
      <c r="E89" t="s">
        <v>82</v>
      </c>
      <c r="F89" t="s">
        <v>90</v>
      </c>
      <c r="G89">
        <v>1</v>
      </c>
      <c r="H89">
        <v>133</v>
      </c>
      <c r="I89">
        <v>28.3</v>
      </c>
      <c r="J89">
        <v>6.7</v>
      </c>
      <c r="K89">
        <v>1</v>
      </c>
      <c r="L89">
        <v>3.7</v>
      </c>
      <c r="M89">
        <v>2.12</v>
      </c>
      <c r="N89">
        <v>13.52</v>
      </c>
      <c r="O89">
        <v>14.78</v>
      </c>
      <c r="P89">
        <v>69.45</v>
      </c>
      <c r="Q89" s="4">
        <v>0.5222</v>
      </c>
      <c r="R89" t="s">
        <v>251</v>
      </c>
    </row>
    <row r="90" spans="1:18">
      <c r="A90" t="s">
        <v>252</v>
      </c>
      <c r="B90" t="s">
        <v>132</v>
      </c>
      <c r="C90" t="s">
        <v>50</v>
      </c>
      <c r="D90" t="s">
        <v>51</v>
      </c>
      <c r="E90" t="s">
        <v>82</v>
      </c>
      <c r="F90" t="s">
        <v>92</v>
      </c>
      <c r="G90">
        <v>1</v>
      </c>
      <c r="H90">
        <v>47</v>
      </c>
      <c r="I90">
        <v>10</v>
      </c>
      <c r="J90">
        <v>3.35</v>
      </c>
      <c r="K90">
        <v>1</v>
      </c>
      <c r="L90">
        <v>1.45</v>
      </c>
      <c r="M90">
        <v>0.75</v>
      </c>
      <c r="N90">
        <v>6.55</v>
      </c>
      <c r="O90">
        <v>3.45</v>
      </c>
      <c r="P90">
        <v>16.21</v>
      </c>
      <c r="Q90" s="4">
        <v>0.34486</v>
      </c>
      <c r="R90" t="s">
        <v>253</v>
      </c>
    </row>
    <row r="91" spans="1:18">
      <c r="A91" t="s">
        <v>254</v>
      </c>
      <c r="B91" t="s">
        <v>132</v>
      </c>
      <c r="C91" t="s">
        <v>48</v>
      </c>
      <c r="D91" t="s">
        <v>49</v>
      </c>
      <c r="E91" t="s">
        <v>82</v>
      </c>
      <c r="F91" t="s">
        <v>102</v>
      </c>
      <c r="G91">
        <v>1</v>
      </c>
      <c r="H91">
        <v>47</v>
      </c>
      <c r="I91">
        <v>10</v>
      </c>
      <c r="J91">
        <v>3.35</v>
      </c>
      <c r="K91">
        <v>1</v>
      </c>
      <c r="L91">
        <v>1.45</v>
      </c>
      <c r="M91">
        <v>0.75</v>
      </c>
      <c r="N91">
        <v>6.55</v>
      </c>
      <c r="O91">
        <v>3.45</v>
      </c>
      <c r="P91">
        <v>16.21</v>
      </c>
      <c r="Q91" s="4">
        <v>0.34486</v>
      </c>
      <c r="R91" t="s">
        <v>255</v>
      </c>
    </row>
    <row r="92" spans="1:18">
      <c r="A92" t="s">
        <v>256</v>
      </c>
      <c r="B92" t="s">
        <v>132</v>
      </c>
      <c r="C92" t="s">
        <v>41</v>
      </c>
      <c r="D92" t="s">
        <v>42</v>
      </c>
      <c r="E92" t="s">
        <v>122</v>
      </c>
      <c r="F92" t="s">
        <v>123</v>
      </c>
      <c r="G92">
        <v>1</v>
      </c>
      <c r="H92">
        <v>80</v>
      </c>
      <c r="I92">
        <v>17.02</v>
      </c>
      <c r="J92">
        <v>10.73</v>
      </c>
      <c r="K92">
        <v>1</v>
      </c>
      <c r="L92">
        <v>2.3199999999999998</v>
      </c>
      <c r="M92">
        <v>1.27</v>
      </c>
      <c r="N92">
        <v>15.32</v>
      </c>
      <c r="O92">
        <v>1.7</v>
      </c>
      <c r="P92">
        <v>8.01</v>
      </c>
      <c r="Q92" s="4">
        <v>0.10013</v>
      </c>
      <c r="R92" t="s">
        <v>257</v>
      </c>
    </row>
    <row r="93" spans="1:18">
      <c r="A93" t="s">
        <v>258</v>
      </c>
      <c r="B93" t="s">
        <v>107</v>
      </c>
      <c r="C93" t="s">
        <v>39</v>
      </c>
      <c r="D93" t="s">
        <v>40</v>
      </c>
      <c r="E93" t="s">
        <v>82</v>
      </c>
      <c r="F93" t="s">
        <v>83</v>
      </c>
      <c r="G93">
        <v>1</v>
      </c>
      <c r="H93">
        <v>69</v>
      </c>
      <c r="I93">
        <v>14.68</v>
      </c>
      <c r="J93">
        <v>6.7</v>
      </c>
      <c r="K93">
        <v>1</v>
      </c>
      <c r="L93">
        <v>2.0299999999999998</v>
      </c>
      <c r="M93">
        <v>1.1000000000000001</v>
      </c>
      <c r="N93">
        <v>10.83</v>
      </c>
      <c r="O93">
        <v>3.85</v>
      </c>
      <c r="P93">
        <v>18.11</v>
      </c>
      <c r="Q93" s="4">
        <v>0.26249</v>
      </c>
      <c r="R93" t="s">
        <v>259</v>
      </c>
    </row>
    <row r="94" spans="1:18">
      <c r="A94" t="s">
        <v>260</v>
      </c>
      <c r="B94" t="s">
        <v>132</v>
      </c>
      <c r="C94" t="s">
        <v>41</v>
      </c>
      <c r="D94" t="s">
        <v>42</v>
      </c>
      <c r="E94" t="s">
        <v>122</v>
      </c>
      <c r="F94" t="s">
        <v>123</v>
      </c>
      <c r="G94">
        <v>1</v>
      </c>
      <c r="H94">
        <v>85</v>
      </c>
      <c r="I94">
        <v>18.09</v>
      </c>
      <c r="J94">
        <v>10.73</v>
      </c>
      <c r="K94">
        <v>1</v>
      </c>
      <c r="L94">
        <v>2.4500000000000002</v>
      </c>
      <c r="M94">
        <v>1.35</v>
      </c>
      <c r="N94">
        <v>15.53</v>
      </c>
      <c r="O94">
        <v>2.56</v>
      </c>
      <c r="P94">
        <v>12.02</v>
      </c>
      <c r="Q94" s="4">
        <v>0.14143</v>
      </c>
      <c r="R94" t="s">
        <v>261</v>
      </c>
    </row>
    <row r="95" spans="1:18">
      <c r="A95" t="s">
        <v>262</v>
      </c>
      <c r="B95" t="s">
        <v>132</v>
      </c>
      <c r="C95" t="s">
        <v>41</v>
      </c>
      <c r="D95" t="s">
        <v>42</v>
      </c>
      <c r="E95" t="s">
        <v>122</v>
      </c>
      <c r="F95" t="s">
        <v>123</v>
      </c>
      <c r="G95">
        <v>1</v>
      </c>
      <c r="H95">
        <v>65</v>
      </c>
      <c r="I95">
        <v>13.83</v>
      </c>
      <c r="J95">
        <v>10.73</v>
      </c>
      <c r="K95">
        <v>1</v>
      </c>
      <c r="L95">
        <v>1.92</v>
      </c>
      <c r="M95">
        <v>1.04</v>
      </c>
      <c r="N95">
        <v>14.69</v>
      </c>
      <c r="O95">
        <v>-0.86</v>
      </c>
      <c r="P95">
        <v>-4.0199999999999996</v>
      </c>
      <c r="Q95" s="4">
        <v>-6.1879999999999998E-2</v>
      </c>
      <c r="R95" t="s">
        <v>263</v>
      </c>
    </row>
    <row r="96" spans="1:18">
      <c r="A96" t="s">
        <v>264</v>
      </c>
      <c r="B96" t="s">
        <v>132</v>
      </c>
      <c r="C96" t="s">
        <v>43</v>
      </c>
      <c r="D96" t="s">
        <v>44</v>
      </c>
      <c r="E96" t="s">
        <v>82</v>
      </c>
      <c r="F96" t="s">
        <v>86</v>
      </c>
      <c r="G96">
        <v>1</v>
      </c>
      <c r="H96">
        <v>149</v>
      </c>
      <c r="I96">
        <v>31.7</v>
      </c>
      <c r="J96">
        <v>13.4</v>
      </c>
      <c r="K96">
        <v>1</v>
      </c>
      <c r="L96">
        <v>4.12</v>
      </c>
      <c r="M96">
        <v>2.37</v>
      </c>
      <c r="N96">
        <v>20.89</v>
      </c>
      <c r="O96">
        <v>10.81</v>
      </c>
      <c r="P96">
        <v>50.8</v>
      </c>
      <c r="Q96" s="4">
        <v>0.34092</v>
      </c>
      <c r="R96" t="s">
        <v>265</v>
      </c>
    </row>
    <row r="97" spans="1:18">
      <c r="A97" t="s">
        <v>266</v>
      </c>
      <c r="B97" t="s">
        <v>132</v>
      </c>
      <c r="C97" t="s">
        <v>54</v>
      </c>
      <c r="D97" t="s">
        <v>44</v>
      </c>
      <c r="E97" t="s">
        <v>137</v>
      </c>
      <c r="F97" t="s">
        <v>267</v>
      </c>
      <c r="G97">
        <v>1</v>
      </c>
      <c r="H97">
        <v>166</v>
      </c>
      <c r="I97">
        <v>35.32</v>
      </c>
      <c r="J97">
        <v>13.4</v>
      </c>
      <c r="K97">
        <v>1</v>
      </c>
      <c r="L97">
        <v>4.5599999999999996</v>
      </c>
      <c r="M97">
        <v>2.65</v>
      </c>
      <c r="N97">
        <v>21.61</v>
      </c>
      <c r="O97">
        <v>13.71</v>
      </c>
      <c r="P97">
        <v>64.44</v>
      </c>
      <c r="Q97" s="4">
        <v>0.38816000000000001</v>
      </c>
      <c r="R97" t="s">
        <v>268</v>
      </c>
    </row>
    <row r="98" spans="1:18">
      <c r="A98" t="s">
        <v>269</v>
      </c>
      <c r="B98" t="s">
        <v>132</v>
      </c>
      <c r="C98" t="s">
        <v>39</v>
      </c>
      <c r="D98" t="s">
        <v>40</v>
      </c>
      <c r="E98" t="s">
        <v>82</v>
      </c>
      <c r="F98" t="s">
        <v>83</v>
      </c>
      <c r="G98">
        <v>1</v>
      </c>
      <c r="H98">
        <v>60.72</v>
      </c>
      <c r="I98">
        <v>12.92</v>
      </c>
      <c r="J98">
        <v>6.7</v>
      </c>
      <c r="K98">
        <v>1</v>
      </c>
      <c r="L98">
        <v>1.81</v>
      </c>
      <c r="M98">
        <v>0.97</v>
      </c>
      <c r="N98">
        <v>10.48</v>
      </c>
      <c r="O98">
        <v>2.44</v>
      </c>
      <c r="P98">
        <v>11.47</v>
      </c>
      <c r="Q98" s="4">
        <v>0.18889</v>
      </c>
      <c r="R98" t="s">
        <v>270</v>
      </c>
    </row>
    <row r="99" spans="1:18">
      <c r="A99" t="s">
        <v>271</v>
      </c>
      <c r="B99" t="s">
        <v>132</v>
      </c>
      <c r="C99" t="s">
        <v>45</v>
      </c>
      <c r="D99" t="s">
        <v>46</v>
      </c>
      <c r="E99" t="s">
        <v>82</v>
      </c>
      <c r="F99" t="s">
        <v>97</v>
      </c>
      <c r="G99">
        <v>1</v>
      </c>
      <c r="H99">
        <v>172</v>
      </c>
      <c r="I99">
        <v>36.6</v>
      </c>
      <c r="J99">
        <v>20.100000000000001</v>
      </c>
      <c r="K99">
        <v>1</v>
      </c>
      <c r="L99">
        <v>4.72</v>
      </c>
      <c r="M99">
        <v>2.74</v>
      </c>
      <c r="N99">
        <v>28.56</v>
      </c>
      <c r="O99">
        <v>8.0299999999999994</v>
      </c>
      <c r="P99">
        <v>37.76</v>
      </c>
      <c r="Q99" s="4">
        <v>0.21953</v>
      </c>
      <c r="R99" t="s">
        <v>272</v>
      </c>
    </row>
    <row r="100" spans="1:18">
      <c r="A100" t="s">
        <v>273</v>
      </c>
      <c r="B100" t="s">
        <v>107</v>
      </c>
      <c r="C100" t="s">
        <v>45</v>
      </c>
      <c r="D100" t="s">
        <v>46</v>
      </c>
      <c r="E100" t="s">
        <v>82</v>
      </c>
      <c r="F100" t="s">
        <v>97</v>
      </c>
      <c r="G100">
        <v>1</v>
      </c>
      <c r="H100">
        <v>167</v>
      </c>
      <c r="I100">
        <v>35.53</v>
      </c>
      <c r="J100">
        <v>20.100000000000001</v>
      </c>
      <c r="K100">
        <v>1</v>
      </c>
      <c r="L100">
        <v>4.59</v>
      </c>
      <c r="M100">
        <v>2.66</v>
      </c>
      <c r="N100">
        <v>28.35</v>
      </c>
      <c r="O100">
        <v>7.18</v>
      </c>
      <c r="P100">
        <v>33.75</v>
      </c>
      <c r="Q100" s="4">
        <v>0.20208000000000001</v>
      </c>
      <c r="R100" t="s">
        <v>274</v>
      </c>
    </row>
    <row r="101" spans="1:18">
      <c r="A101" t="s">
        <v>275</v>
      </c>
      <c r="B101" t="s">
        <v>132</v>
      </c>
      <c r="C101" t="s">
        <v>41</v>
      </c>
      <c r="D101" t="s">
        <v>42</v>
      </c>
      <c r="E101" t="s">
        <v>122</v>
      </c>
      <c r="F101" t="s">
        <v>123</v>
      </c>
      <c r="G101">
        <v>2</v>
      </c>
      <c r="H101">
        <v>180</v>
      </c>
      <c r="I101">
        <v>38.299999999999997</v>
      </c>
      <c r="J101">
        <v>21.45</v>
      </c>
      <c r="K101">
        <v>1</v>
      </c>
      <c r="L101">
        <v>4.93</v>
      </c>
      <c r="M101">
        <v>2.87</v>
      </c>
      <c r="N101">
        <v>30.25</v>
      </c>
      <c r="O101">
        <v>8.0500000000000007</v>
      </c>
      <c r="P101">
        <v>37.82</v>
      </c>
      <c r="Q101" s="4">
        <v>0.21009</v>
      </c>
      <c r="R101" t="s">
        <v>276</v>
      </c>
    </row>
    <row r="102" spans="1:18">
      <c r="A102" t="s">
        <v>277</v>
      </c>
      <c r="B102" t="s">
        <v>132</v>
      </c>
      <c r="C102" t="s">
        <v>50</v>
      </c>
      <c r="D102" t="s">
        <v>51</v>
      </c>
      <c r="E102" t="s">
        <v>82</v>
      </c>
      <c r="F102" t="s">
        <v>92</v>
      </c>
      <c r="G102">
        <v>1</v>
      </c>
      <c r="H102">
        <v>181.9</v>
      </c>
      <c r="I102">
        <v>38.700000000000003</v>
      </c>
      <c r="J102">
        <v>3.35</v>
      </c>
      <c r="K102">
        <v>1</v>
      </c>
      <c r="L102">
        <v>4.9800000000000004</v>
      </c>
      <c r="M102">
        <v>2.9</v>
      </c>
      <c r="N102">
        <v>12.23</v>
      </c>
      <c r="O102">
        <v>26.47</v>
      </c>
      <c r="P102">
        <v>124.43</v>
      </c>
      <c r="Q102" s="4">
        <v>0.68403000000000003</v>
      </c>
      <c r="R102" t="s">
        <v>278</v>
      </c>
    </row>
    <row r="103" spans="1:18">
      <c r="A103" t="s">
        <v>277</v>
      </c>
      <c r="B103" t="s">
        <v>132</v>
      </c>
      <c r="C103" t="s">
        <v>45</v>
      </c>
      <c r="D103" t="s">
        <v>46</v>
      </c>
      <c r="E103" t="s">
        <v>82</v>
      </c>
      <c r="F103" t="s">
        <v>97</v>
      </c>
      <c r="G103">
        <v>1</v>
      </c>
      <c r="H103">
        <v>181.9</v>
      </c>
      <c r="I103">
        <v>38.700000000000003</v>
      </c>
      <c r="J103">
        <v>20.100000000000001</v>
      </c>
      <c r="K103">
        <v>1</v>
      </c>
      <c r="L103">
        <v>4.9800000000000004</v>
      </c>
      <c r="M103">
        <v>2.9</v>
      </c>
      <c r="N103">
        <v>28.98</v>
      </c>
      <c r="O103">
        <v>9.7200000000000006</v>
      </c>
      <c r="P103">
        <v>45.7</v>
      </c>
      <c r="Q103" s="4">
        <v>0.25124000000000002</v>
      </c>
      <c r="R103" t="s">
        <v>278</v>
      </c>
    </row>
    <row r="104" spans="1:18">
      <c r="A104" t="s">
        <v>279</v>
      </c>
      <c r="B104" t="s">
        <v>107</v>
      </c>
      <c r="C104" t="s">
        <v>39</v>
      </c>
      <c r="D104" t="s">
        <v>40</v>
      </c>
      <c r="E104" t="s">
        <v>82</v>
      </c>
      <c r="F104" t="s">
        <v>83</v>
      </c>
      <c r="G104">
        <v>1</v>
      </c>
      <c r="H104">
        <v>69</v>
      </c>
      <c r="I104">
        <v>14.68</v>
      </c>
      <c r="J104">
        <v>6.7</v>
      </c>
      <c r="K104">
        <v>1</v>
      </c>
      <c r="L104">
        <v>2.0299999999999998</v>
      </c>
      <c r="M104">
        <v>1.1000000000000001</v>
      </c>
      <c r="N104">
        <v>10.83</v>
      </c>
      <c r="O104">
        <v>3.85</v>
      </c>
      <c r="P104">
        <v>18.11</v>
      </c>
      <c r="Q104" s="4">
        <v>0.26249</v>
      </c>
      <c r="R104" t="s">
        <v>280</v>
      </c>
    </row>
    <row r="105" spans="1:18">
      <c r="A105" t="s">
        <v>281</v>
      </c>
      <c r="B105" t="s">
        <v>132</v>
      </c>
      <c r="C105" t="s">
        <v>41</v>
      </c>
      <c r="D105" t="s">
        <v>42</v>
      </c>
      <c r="E105" t="s">
        <v>122</v>
      </c>
      <c r="F105" t="s">
        <v>123</v>
      </c>
      <c r="G105">
        <v>2</v>
      </c>
      <c r="H105">
        <v>194.75</v>
      </c>
      <c r="I105">
        <v>41.44</v>
      </c>
      <c r="J105">
        <v>21.45</v>
      </c>
      <c r="K105">
        <v>1</v>
      </c>
      <c r="L105">
        <v>5.32</v>
      </c>
      <c r="M105">
        <v>3.1</v>
      </c>
      <c r="N105">
        <v>30.87</v>
      </c>
      <c r="O105">
        <v>10.56</v>
      </c>
      <c r="P105">
        <v>49.65</v>
      </c>
      <c r="Q105" s="4">
        <v>0.25492999999999999</v>
      </c>
      <c r="R105" t="s">
        <v>282</v>
      </c>
    </row>
    <row r="106" spans="1:18">
      <c r="A106" t="s">
        <v>283</v>
      </c>
      <c r="B106" t="s">
        <v>132</v>
      </c>
      <c r="C106" t="s">
        <v>41</v>
      </c>
      <c r="D106" t="s">
        <v>42</v>
      </c>
      <c r="E106" t="s">
        <v>122</v>
      </c>
      <c r="F106" t="s">
        <v>123</v>
      </c>
      <c r="G106">
        <v>1</v>
      </c>
      <c r="H106">
        <v>95</v>
      </c>
      <c r="I106">
        <v>20.21</v>
      </c>
      <c r="J106">
        <v>10.73</v>
      </c>
      <c r="K106">
        <v>1</v>
      </c>
      <c r="L106">
        <v>2.71</v>
      </c>
      <c r="M106">
        <v>1.51</v>
      </c>
      <c r="N106">
        <v>15.95</v>
      </c>
      <c r="O106">
        <v>4.26</v>
      </c>
      <c r="P106">
        <v>20.04</v>
      </c>
      <c r="Q106" s="4">
        <v>0.21099000000000001</v>
      </c>
      <c r="R106" t="s">
        <v>284</v>
      </c>
    </row>
    <row r="107" spans="1:18">
      <c r="A107" t="s">
        <v>285</v>
      </c>
      <c r="B107" t="s">
        <v>132</v>
      </c>
      <c r="C107" t="s">
        <v>45</v>
      </c>
      <c r="D107" t="s">
        <v>46</v>
      </c>
      <c r="E107" t="s">
        <v>82</v>
      </c>
      <c r="F107" t="s">
        <v>97</v>
      </c>
      <c r="G107">
        <v>1</v>
      </c>
      <c r="H107">
        <v>167</v>
      </c>
      <c r="I107">
        <v>35.53</v>
      </c>
      <c r="J107">
        <v>20.100000000000001</v>
      </c>
      <c r="K107">
        <v>1</v>
      </c>
      <c r="L107">
        <v>4.59</v>
      </c>
      <c r="M107">
        <v>2.66</v>
      </c>
      <c r="N107">
        <v>28.35</v>
      </c>
      <c r="O107">
        <v>7.18</v>
      </c>
      <c r="P107">
        <v>33.75</v>
      </c>
      <c r="Q107" s="4">
        <v>0.20208000000000001</v>
      </c>
      <c r="R107" t="s">
        <v>286</v>
      </c>
    </row>
    <row r="108" spans="1:18">
      <c r="A108" t="s">
        <v>287</v>
      </c>
      <c r="B108" t="s">
        <v>132</v>
      </c>
      <c r="C108" t="s">
        <v>41</v>
      </c>
      <c r="D108" t="s">
        <v>42</v>
      </c>
      <c r="E108" t="s">
        <v>122</v>
      </c>
      <c r="F108" t="s">
        <v>123</v>
      </c>
      <c r="G108">
        <v>1</v>
      </c>
      <c r="H108">
        <v>85</v>
      </c>
      <c r="I108">
        <v>18.09</v>
      </c>
      <c r="J108">
        <v>10.73</v>
      </c>
      <c r="K108">
        <v>1</v>
      </c>
      <c r="L108">
        <v>2.4500000000000002</v>
      </c>
      <c r="M108">
        <v>1.35</v>
      </c>
      <c r="N108">
        <v>15.53</v>
      </c>
      <c r="O108">
        <v>2.56</v>
      </c>
      <c r="P108">
        <v>12.02</v>
      </c>
      <c r="Q108" s="4">
        <v>0.14143</v>
      </c>
      <c r="R108" t="s">
        <v>288</v>
      </c>
    </row>
    <row r="109" spans="1:18">
      <c r="A109" t="s">
        <v>289</v>
      </c>
      <c r="B109" t="s">
        <v>132</v>
      </c>
      <c r="C109" t="s">
        <v>39</v>
      </c>
      <c r="D109" t="s">
        <v>40</v>
      </c>
      <c r="E109" t="s">
        <v>82</v>
      </c>
      <c r="F109" t="s">
        <v>83</v>
      </c>
      <c r="G109">
        <v>1</v>
      </c>
      <c r="H109">
        <v>88</v>
      </c>
      <c r="I109">
        <v>18.72</v>
      </c>
      <c r="J109">
        <v>6.7</v>
      </c>
      <c r="K109">
        <v>1</v>
      </c>
      <c r="L109">
        <v>2.52</v>
      </c>
      <c r="M109">
        <v>1.4</v>
      </c>
      <c r="N109">
        <v>11.63</v>
      </c>
      <c r="O109">
        <v>7.1</v>
      </c>
      <c r="P109">
        <v>33.35</v>
      </c>
      <c r="Q109" s="4">
        <v>0.37902000000000002</v>
      </c>
      <c r="R109" t="s">
        <v>290</v>
      </c>
    </row>
    <row r="110" spans="1:18">
      <c r="A110" t="s">
        <v>291</v>
      </c>
      <c r="B110" t="s">
        <v>132</v>
      </c>
      <c r="C110" t="s">
        <v>45</v>
      </c>
      <c r="D110" t="s">
        <v>46</v>
      </c>
      <c r="E110" t="s">
        <v>82</v>
      </c>
      <c r="F110" t="s">
        <v>97</v>
      </c>
      <c r="G110">
        <v>1</v>
      </c>
      <c r="H110">
        <v>172</v>
      </c>
      <c r="I110">
        <v>36.6</v>
      </c>
      <c r="J110">
        <v>20.100000000000001</v>
      </c>
      <c r="K110">
        <v>1</v>
      </c>
      <c r="L110">
        <v>4.72</v>
      </c>
      <c r="M110">
        <v>2.74</v>
      </c>
      <c r="N110">
        <v>28.56</v>
      </c>
      <c r="O110">
        <v>8.0299999999999994</v>
      </c>
      <c r="P110">
        <v>37.76</v>
      </c>
      <c r="Q110" s="4">
        <v>0.21953</v>
      </c>
      <c r="R110" t="s">
        <v>292</v>
      </c>
    </row>
    <row r="111" spans="1:18">
      <c r="A111" t="s">
        <v>293</v>
      </c>
      <c r="B111" t="s">
        <v>107</v>
      </c>
      <c r="C111" t="s">
        <v>43</v>
      </c>
      <c r="D111" t="s">
        <v>44</v>
      </c>
      <c r="E111" t="s">
        <v>82</v>
      </c>
      <c r="F111" t="s">
        <v>86</v>
      </c>
      <c r="G111">
        <v>1</v>
      </c>
      <c r="H111">
        <v>120</v>
      </c>
      <c r="I111">
        <v>25.53</v>
      </c>
      <c r="J111">
        <v>13.4</v>
      </c>
      <c r="K111">
        <v>1</v>
      </c>
      <c r="L111">
        <v>3.36</v>
      </c>
      <c r="M111">
        <v>1.91</v>
      </c>
      <c r="N111">
        <v>19.670000000000002</v>
      </c>
      <c r="O111">
        <v>5.86</v>
      </c>
      <c r="P111">
        <v>27.53</v>
      </c>
      <c r="Q111" s="4">
        <v>0.22944999999999999</v>
      </c>
      <c r="R111" t="s">
        <v>294</v>
      </c>
    </row>
    <row r="112" spans="1:18">
      <c r="A112" t="s">
        <v>295</v>
      </c>
      <c r="B112" t="s">
        <v>132</v>
      </c>
      <c r="C112" t="s">
        <v>39</v>
      </c>
      <c r="D112" t="s">
        <v>40</v>
      </c>
      <c r="E112" t="s">
        <v>82</v>
      </c>
      <c r="F112" t="s">
        <v>83</v>
      </c>
      <c r="G112">
        <v>1</v>
      </c>
      <c r="H112">
        <v>66</v>
      </c>
      <c r="I112">
        <v>14.04</v>
      </c>
      <c r="J112">
        <v>6.7</v>
      </c>
      <c r="K112">
        <v>1</v>
      </c>
      <c r="L112">
        <v>1.95</v>
      </c>
      <c r="M112">
        <v>1.05</v>
      </c>
      <c r="N112">
        <v>10.7</v>
      </c>
      <c r="O112">
        <v>3.34</v>
      </c>
      <c r="P112">
        <v>15.71</v>
      </c>
      <c r="Q112" s="4">
        <v>0.23796</v>
      </c>
      <c r="R112" t="s">
        <v>296</v>
      </c>
    </row>
    <row r="113" spans="1:18">
      <c r="A113" t="s">
        <v>297</v>
      </c>
      <c r="B113" t="s">
        <v>132</v>
      </c>
      <c r="C113" t="s">
        <v>39</v>
      </c>
      <c r="D113" t="s">
        <v>40</v>
      </c>
      <c r="E113" t="s">
        <v>82</v>
      </c>
      <c r="F113" t="s">
        <v>83</v>
      </c>
      <c r="G113">
        <v>1</v>
      </c>
      <c r="H113">
        <v>69</v>
      </c>
      <c r="I113">
        <v>14.68</v>
      </c>
      <c r="J113">
        <v>6.7</v>
      </c>
      <c r="K113">
        <v>1</v>
      </c>
      <c r="L113">
        <v>2.0299999999999998</v>
      </c>
      <c r="M113">
        <v>1.1000000000000001</v>
      </c>
      <c r="N113">
        <v>10.83</v>
      </c>
      <c r="O113">
        <v>3.85</v>
      </c>
      <c r="P113">
        <v>18.11</v>
      </c>
      <c r="Q113" s="4">
        <v>0.26249</v>
      </c>
      <c r="R113" t="s">
        <v>298</v>
      </c>
    </row>
    <row r="114" spans="1:18">
      <c r="A114" t="s">
        <v>299</v>
      </c>
      <c r="B114" t="s">
        <v>132</v>
      </c>
      <c r="C114" t="s">
        <v>55</v>
      </c>
      <c r="D114" t="s">
        <v>46</v>
      </c>
      <c r="E114" t="s">
        <v>82</v>
      </c>
      <c r="F114" t="s">
        <v>158</v>
      </c>
      <c r="G114">
        <v>1</v>
      </c>
      <c r="H114">
        <v>117.01</v>
      </c>
      <c r="I114">
        <v>24.9</v>
      </c>
      <c r="J114">
        <v>20.100000000000001</v>
      </c>
      <c r="K114">
        <v>1</v>
      </c>
      <c r="L114">
        <v>3.28</v>
      </c>
      <c r="M114">
        <v>1.86</v>
      </c>
      <c r="N114">
        <v>26.25</v>
      </c>
      <c r="O114">
        <v>-1.35</v>
      </c>
      <c r="P114">
        <v>-6.35</v>
      </c>
      <c r="Q114" s="4">
        <v>-5.4309999999999997E-2</v>
      </c>
      <c r="R114" t="s">
        <v>300</v>
      </c>
    </row>
    <row r="115" spans="1:18">
      <c r="A115" t="s">
        <v>301</v>
      </c>
      <c r="B115" t="s">
        <v>132</v>
      </c>
      <c r="C115" t="s">
        <v>39</v>
      </c>
      <c r="D115" t="s">
        <v>40</v>
      </c>
      <c r="E115" t="s">
        <v>82</v>
      </c>
      <c r="F115" t="s">
        <v>83</v>
      </c>
      <c r="G115">
        <v>1</v>
      </c>
      <c r="H115">
        <v>69</v>
      </c>
      <c r="I115">
        <v>14.68</v>
      </c>
      <c r="J115">
        <v>6.7</v>
      </c>
      <c r="K115">
        <v>1</v>
      </c>
      <c r="L115">
        <v>2.0299999999999998</v>
      </c>
      <c r="M115">
        <v>1.1000000000000001</v>
      </c>
      <c r="N115">
        <v>10.83</v>
      </c>
      <c r="O115">
        <v>3.85</v>
      </c>
      <c r="P115">
        <v>18.11</v>
      </c>
      <c r="Q115" s="4">
        <v>0.26249</v>
      </c>
      <c r="R115" t="s">
        <v>302</v>
      </c>
    </row>
    <row r="116" spans="1:18">
      <c r="A116" t="s">
        <v>303</v>
      </c>
      <c r="B116" t="s">
        <v>132</v>
      </c>
      <c r="C116" t="s">
        <v>43</v>
      </c>
      <c r="D116" t="s">
        <v>44</v>
      </c>
      <c r="E116" t="s">
        <v>82</v>
      </c>
      <c r="F116" t="s">
        <v>86</v>
      </c>
      <c r="G116">
        <v>1</v>
      </c>
      <c r="H116">
        <v>245</v>
      </c>
      <c r="I116">
        <v>52.13</v>
      </c>
      <c r="J116">
        <v>13.4</v>
      </c>
      <c r="K116">
        <v>1</v>
      </c>
      <c r="L116">
        <v>6.63</v>
      </c>
      <c r="M116">
        <v>3.9</v>
      </c>
      <c r="N116">
        <v>24.93</v>
      </c>
      <c r="O116">
        <v>27.19</v>
      </c>
      <c r="P116">
        <v>127.81</v>
      </c>
      <c r="Q116" s="4">
        <v>0.52166999999999997</v>
      </c>
      <c r="R116" t="s">
        <v>304</v>
      </c>
    </row>
    <row r="117" spans="1:18">
      <c r="A117" t="s">
        <v>303</v>
      </c>
      <c r="B117" t="s">
        <v>132</v>
      </c>
      <c r="C117" t="s">
        <v>54</v>
      </c>
      <c r="D117" t="s">
        <v>44</v>
      </c>
      <c r="E117" t="s">
        <v>82</v>
      </c>
      <c r="F117" t="s">
        <v>164</v>
      </c>
      <c r="G117">
        <v>1</v>
      </c>
      <c r="H117">
        <v>245</v>
      </c>
      <c r="I117">
        <v>52.13</v>
      </c>
      <c r="J117">
        <v>13.4</v>
      </c>
      <c r="K117">
        <v>1</v>
      </c>
      <c r="L117">
        <v>6.63</v>
      </c>
      <c r="M117">
        <v>3.9</v>
      </c>
      <c r="N117">
        <v>24.93</v>
      </c>
      <c r="O117">
        <v>27.19</v>
      </c>
      <c r="P117">
        <v>127.81</v>
      </c>
      <c r="Q117" s="4">
        <v>0.52166999999999997</v>
      </c>
      <c r="R117" t="s">
        <v>304</v>
      </c>
    </row>
    <row r="118" spans="1:18">
      <c r="A118" t="s">
        <v>305</v>
      </c>
      <c r="B118" t="s">
        <v>132</v>
      </c>
      <c r="C118" t="s">
        <v>45</v>
      </c>
      <c r="D118" t="s">
        <v>46</v>
      </c>
      <c r="E118" t="s">
        <v>82</v>
      </c>
      <c r="F118" t="s">
        <v>97</v>
      </c>
      <c r="G118">
        <v>1</v>
      </c>
      <c r="H118">
        <v>344</v>
      </c>
      <c r="I118">
        <v>73.19</v>
      </c>
      <c r="J118">
        <v>20.100000000000001</v>
      </c>
      <c r="K118">
        <v>1</v>
      </c>
      <c r="L118">
        <v>9.2200000000000006</v>
      </c>
      <c r="M118">
        <v>5.48</v>
      </c>
      <c r="N118">
        <v>35.799999999999997</v>
      </c>
      <c r="O118">
        <v>37.39</v>
      </c>
      <c r="P118">
        <v>175.74</v>
      </c>
      <c r="Q118" s="4">
        <v>0.51085999999999998</v>
      </c>
      <c r="R118" t="s">
        <v>306</v>
      </c>
    </row>
    <row r="119" spans="1:18">
      <c r="A119" t="s">
        <v>305</v>
      </c>
      <c r="B119" t="s">
        <v>132</v>
      </c>
      <c r="C119" t="s">
        <v>55</v>
      </c>
      <c r="D119" t="s">
        <v>46</v>
      </c>
      <c r="E119" t="s">
        <v>82</v>
      </c>
      <c r="F119" t="s">
        <v>158</v>
      </c>
      <c r="G119">
        <v>1</v>
      </c>
      <c r="H119">
        <v>344</v>
      </c>
      <c r="I119">
        <v>73.19</v>
      </c>
      <c r="J119">
        <v>20.100000000000001</v>
      </c>
      <c r="K119">
        <v>1</v>
      </c>
      <c r="L119">
        <v>9.2200000000000006</v>
      </c>
      <c r="M119">
        <v>5.48</v>
      </c>
      <c r="N119">
        <v>35.799999999999997</v>
      </c>
      <c r="O119">
        <v>37.39</v>
      </c>
      <c r="P119">
        <v>175.74</v>
      </c>
      <c r="Q119" s="4">
        <v>0.51085999999999998</v>
      </c>
      <c r="R119" t="s">
        <v>306</v>
      </c>
    </row>
    <row r="120" spans="1:18">
      <c r="A120" t="s">
        <v>307</v>
      </c>
      <c r="B120" t="s">
        <v>132</v>
      </c>
      <c r="C120" t="s">
        <v>39</v>
      </c>
      <c r="D120" t="s">
        <v>40</v>
      </c>
      <c r="E120" t="s">
        <v>82</v>
      </c>
      <c r="F120" t="s">
        <v>83</v>
      </c>
      <c r="G120">
        <v>1</v>
      </c>
      <c r="H120">
        <v>69</v>
      </c>
      <c r="I120">
        <v>14.68</v>
      </c>
      <c r="J120">
        <v>6.7</v>
      </c>
      <c r="K120">
        <v>1</v>
      </c>
      <c r="L120">
        <v>2.0299999999999998</v>
      </c>
      <c r="M120">
        <v>1.1000000000000001</v>
      </c>
      <c r="N120">
        <v>10.83</v>
      </c>
      <c r="O120">
        <v>3.85</v>
      </c>
      <c r="P120">
        <v>18.11</v>
      </c>
      <c r="Q120" s="4">
        <v>0.26249</v>
      </c>
      <c r="R120" t="s">
        <v>308</v>
      </c>
    </row>
    <row r="121" spans="1:18">
      <c r="A121" t="s">
        <v>309</v>
      </c>
      <c r="B121" t="s">
        <v>132</v>
      </c>
      <c r="C121" t="s">
        <v>39</v>
      </c>
      <c r="D121" t="s">
        <v>40</v>
      </c>
      <c r="E121" t="s">
        <v>82</v>
      </c>
      <c r="F121" t="s">
        <v>83</v>
      </c>
      <c r="G121">
        <v>1</v>
      </c>
      <c r="H121">
        <v>69</v>
      </c>
      <c r="I121">
        <v>14.68</v>
      </c>
      <c r="J121">
        <v>6.7</v>
      </c>
      <c r="K121">
        <v>1</v>
      </c>
      <c r="L121">
        <v>2.0299999999999998</v>
      </c>
      <c r="M121">
        <v>1.1000000000000001</v>
      </c>
      <c r="N121">
        <v>10.83</v>
      </c>
      <c r="O121">
        <v>3.85</v>
      </c>
      <c r="P121">
        <v>18.11</v>
      </c>
      <c r="Q121" s="4">
        <v>0.26249</v>
      </c>
      <c r="R121" t="s">
        <v>310</v>
      </c>
    </row>
    <row r="122" spans="1:18">
      <c r="A122" t="s">
        <v>311</v>
      </c>
      <c r="B122" t="s">
        <v>132</v>
      </c>
      <c r="C122" t="s">
        <v>48</v>
      </c>
      <c r="D122" t="s">
        <v>49</v>
      </c>
      <c r="E122" t="s">
        <v>82</v>
      </c>
      <c r="F122" t="s">
        <v>102</v>
      </c>
      <c r="G122">
        <v>1</v>
      </c>
      <c r="H122">
        <v>47</v>
      </c>
      <c r="I122">
        <v>10</v>
      </c>
      <c r="J122">
        <v>3.35</v>
      </c>
      <c r="K122">
        <v>1</v>
      </c>
      <c r="L122">
        <v>1.45</v>
      </c>
      <c r="M122">
        <v>0.75</v>
      </c>
      <c r="N122">
        <v>6.55</v>
      </c>
      <c r="O122">
        <v>3.45</v>
      </c>
      <c r="P122">
        <v>16.21</v>
      </c>
      <c r="Q122" s="4">
        <v>0.34486</v>
      </c>
      <c r="R122" t="s">
        <v>312</v>
      </c>
    </row>
    <row r="123" spans="1:18">
      <c r="A123" t="s">
        <v>313</v>
      </c>
      <c r="B123" t="s">
        <v>132</v>
      </c>
      <c r="C123" t="s">
        <v>39</v>
      </c>
      <c r="D123" t="s">
        <v>40</v>
      </c>
      <c r="E123" t="s">
        <v>82</v>
      </c>
      <c r="F123" t="s">
        <v>83</v>
      </c>
      <c r="G123">
        <v>1</v>
      </c>
      <c r="H123">
        <v>64</v>
      </c>
      <c r="I123">
        <v>13.62</v>
      </c>
      <c r="J123">
        <v>6.7</v>
      </c>
      <c r="K123">
        <v>1</v>
      </c>
      <c r="L123">
        <v>1.9</v>
      </c>
      <c r="M123">
        <v>1.02</v>
      </c>
      <c r="N123">
        <v>10.62</v>
      </c>
      <c r="O123">
        <v>3</v>
      </c>
      <c r="P123">
        <v>14.1</v>
      </c>
      <c r="Q123" s="4">
        <v>0.22033</v>
      </c>
      <c r="R123" t="s">
        <v>314</v>
      </c>
    </row>
    <row r="124" spans="1:18">
      <c r="A124" t="s">
        <v>315</v>
      </c>
      <c r="B124" t="s">
        <v>132</v>
      </c>
      <c r="C124" t="s">
        <v>39</v>
      </c>
      <c r="D124" t="s">
        <v>40</v>
      </c>
      <c r="E124" t="s">
        <v>82</v>
      </c>
      <c r="F124" t="s">
        <v>83</v>
      </c>
      <c r="G124">
        <v>1</v>
      </c>
      <c r="H124">
        <v>62.1</v>
      </c>
      <c r="I124">
        <v>13.21</v>
      </c>
      <c r="J124">
        <v>6.7</v>
      </c>
      <c r="K124">
        <v>1</v>
      </c>
      <c r="L124">
        <v>1.85</v>
      </c>
      <c r="M124">
        <v>0.99</v>
      </c>
      <c r="N124">
        <v>10.54</v>
      </c>
      <c r="O124">
        <v>2.68</v>
      </c>
      <c r="P124">
        <v>12.58</v>
      </c>
      <c r="Q124" s="4">
        <v>0.20252000000000001</v>
      </c>
      <c r="R124" t="s">
        <v>316</v>
      </c>
    </row>
    <row r="125" spans="1:18">
      <c r="A125" t="s">
        <v>317</v>
      </c>
      <c r="B125" t="s">
        <v>132</v>
      </c>
      <c r="C125" t="s">
        <v>39</v>
      </c>
      <c r="D125" t="s">
        <v>40</v>
      </c>
      <c r="E125" t="s">
        <v>82</v>
      </c>
      <c r="F125" t="s">
        <v>83</v>
      </c>
      <c r="G125">
        <v>1</v>
      </c>
      <c r="H125">
        <v>58.65</v>
      </c>
      <c r="I125">
        <v>12.48</v>
      </c>
      <c r="J125">
        <v>6.7</v>
      </c>
      <c r="K125">
        <v>1</v>
      </c>
      <c r="L125">
        <v>1.76</v>
      </c>
      <c r="M125">
        <v>0.93</v>
      </c>
      <c r="N125">
        <v>10.39</v>
      </c>
      <c r="O125">
        <v>2.09</v>
      </c>
      <c r="P125">
        <v>9.81</v>
      </c>
      <c r="Q125" s="4">
        <v>0.16725000000000001</v>
      </c>
      <c r="R125" t="s">
        <v>318</v>
      </c>
    </row>
    <row r="126" spans="1:18">
      <c r="A126" t="s">
        <v>319</v>
      </c>
      <c r="B126" t="s">
        <v>107</v>
      </c>
      <c r="C126" t="s">
        <v>39</v>
      </c>
      <c r="D126" t="s">
        <v>40</v>
      </c>
      <c r="E126" t="s">
        <v>82</v>
      </c>
      <c r="F126" t="s">
        <v>83</v>
      </c>
      <c r="G126">
        <v>1</v>
      </c>
      <c r="H126">
        <v>69</v>
      </c>
      <c r="I126">
        <v>14.68</v>
      </c>
      <c r="J126">
        <v>6.7</v>
      </c>
      <c r="K126">
        <v>1</v>
      </c>
      <c r="L126">
        <v>2.0299999999999998</v>
      </c>
      <c r="M126">
        <v>1.1000000000000001</v>
      </c>
      <c r="N126">
        <v>10.83</v>
      </c>
      <c r="O126">
        <v>3.85</v>
      </c>
      <c r="P126">
        <v>18.11</v>
      </c>
      <c r="Q126" s="4">
        <v>0.26249</v>
      </c>
      <c r="R126" t="s">
        <v>320</v>
      </c>
    </row>
    <row r="127" spans="1:18">
      <c r="A127" t="s">
        <v>321</v>
      </c>
      <c r="B127" t="s">
        <v>132</v>
      </c>
      <c r="C127" t="s">
        <v>39</v>
      </c>
      <c r="D127" t="s">
        <v>40</v>
      </c>
      <c r="E127" t="s">
        <v>82</v>
      </c>
      <c r="F127" t="s">
        <v>83</v>
      </c>
      <c r="G127">
        <v>1</v>
      </c>
      <c r="H127">
        <v>69</v>
      </c>
      <c r="I127">
        <v>14.68</v>
      </c>
      <c r="J127">
        <v>6.7</v>
      </c>
      <c r="K127">
        <v>1</v>
      </c>
      <c r="L127">
        <v>2.0299999999999998</v>
      </c>
      <c r="M127">
        <v>1.1000000000000001</v>
      </c>
      <c r="N127">
        <v>10.83</v>
      </c>
      <c r="O127">
        <v>3.85</v>
      </c>
      <c r="P127">
        <v>18.11</v>
      </c>
      <c r="Q127" s="4">
        <v>0.26249</v>
      </c>
      <c r="R127" t="s">
        <v>322</v>
      </c>
    </row>
    <row r="128" spans="1:18">
      <c r="A128" t="s">
        <v>323</v>
      </c>
      <c r="B128" t="s">
        <v>132</v>
      </c>
      <c r="C128" t="s">
        <v>39</v>
      </c>
      <c r="D128" t="s">
        <v>40</v>
      </c>
      <c r="E128" t="s">
        <v>82</v>
      </c>
      <c r="F128" t="s">
        <v>83</v>
      </c>
      <c r="G128">
        <v>1</v>
      </c>
      <c r="H128">
        <v>69</v>
      </c>
      <c r="I128">
        <v>14.68</v>
      </c>
      <c r="J128">
        <v>6.7</v>
      </c>
      <c r="K128">
        <v>1</v>
      </c>
      <c r="L128">
        <v>2.0299999999999998</v>
      </c>
      <c r="M128">
        <v>1.1000000000000001</v>
      </c>
      <c r="N128">
        <v>10.83</v>
      </c>
      <c r="O128">
        <v>3.85</v>
      </c>
      <c r="P128">
        <v>18.11</v>
      </c>
      <c r="Q128" s="4">
        <v>0.26249</v>
      </c>
      <c r="R128" t="s">
        <v>324</v>
      </c>
    </row>
    <row r="129" spans="1:18">
      <c r="A129" t="s">
        <v>325</v>
      </c>
      <c r="B129" t="s">
        <v>132</v>
      </c>
      <c r="C129" t="s">
        <v>39</v>
      </c>
      <c r="D129" t="s">
        <v>40</v>
      </c>
      <c r="E129" t="s">
        <v>82</v>
      </c>
      <c r="F129" t="s">
        <v>83</v>
      </c>
      <c r="G129">
        <v>1</v>
      </c>
      <c r="H129">
        <v>68.28</v>
      </c>
      <c r="I129">
        <v>14.53</v>
      </c>
      <c r="J129">
        <v>6.7</v>
      </c>
      <c r="K129">
        <v>1</v>
      </c>
      <c r="L129">
        <v>2.0099999999999998</v>
      </c>
      <c r="M129">
        <v>1.0900000000000001</v>
      </c>
      <c r="N129">
        <v>10.8</v>
      </c>
      <c r="O129">
        <v>3.73</v>
      </c>
      <c r="P129">
        <v>17.53</v>
      </c>
      <c r="Q129" s="4">
        <v>0.25679999999999997</v>
      </c>
      <c r="R129" t="s">
        <v>326</v>
      </c>
    </row>
    <row r="130" spans="1:18">
      <c r="A130" t="s">
        <v>327</v>
      </c>
      <c r="B130" t="s">
        <v>132</v>
      </c>
      <c r="C130" t="s">
        <v>39</v>
      </c>
      <c r="D130" t="s">
        <v>40</v>
      </c>
      <c r="E130" t="s">
        <v>82</v>
      </c>
      <c r="F130" t="s">
        <v>83</v>
      </c>
      <c r="G130">
        <v>1</v>
      </c>
      <c r="H130">
        <v>69</v>
      </c>
      <c r="I130">
        <v>14.68</v>
      </c>
      <c r="J130">
        <v>6.7</v>
      </c>
      <c r="K130">
        <v>1</v>
      </c>
      <c r="L130">
        <v>2.0299999999999998</v>
      </c>
      <c r="M130">
        <v>1.1000000000000001</v>
      </c>
      <c r="N130">
        <v>10.83</v>
      </c>
      <c r="O130">
        <v>3.85</v>
      </c>
      <c r="P130">
        <v>18.11</v>
      </c>
      <c r="Q130" s="4">
        <v>0.26249</v>
      </c>
      <c r="R130" t="s">
        <v>328</v>
      </c>
    </row>
    <row r="131" spans="1:18">
      <c r="A131" t="s">
        <v>329</v>
      </c>
      <c r="B131" t="s">
        <v>132</v>
      </c>
      <c r="C131" t="s">
        <v>47</v>
      </c>
      <c r="D131" t="s">
        <v>40</v>
      </c>
      <c r="E131" t="s">
        <v>82</v>
      </c>
      <c r="F131" t="s">
        <v>90</v>
      </c>
      <c r="G131">
        <v>1</v>
      </c>
      <c r="H131">
        <v>69</v>
      </c>
      <c r="I131">
        <v>14.68</v>
      </c>
      <c r="J131">
        <v>6.7</v>
      </c>
      <c r="K131">
        <v>1</v>
      </c>
      <c r="L131">
        <v>2.0299999999999998</v>
      </c>
      <c r="M131">
        <v>1.1000000000000001</v>
      </c>
      <c r="N131">
        <v>10.83</v>
      </c>
      <c r="O131">
        <v>3.85</v>
      </c>
      <c r="P131">
        <v>18.11</v>
      </c>
      <c r="Q131" s="4">
        <v>0.26249</v>
      </c>
      <c r="R131" t="s">
        <v>330</v>
      </c>
    </row>
    <row r="132" spans="1:18">
      <c r="A132" t="s">
        <v>331</v>
      </c>
      <c r="B132" t="s">
        <v>132</v>
      </c>
      <c r="C132" t="s">
        <v>43</v>
      </c>
      <c r="D132" t="s">
        <v>44</v>
      </c>
      <c r="E132" t="s">
        <v>82</v>
      </c>
      <c r="F132" t="s">
        <v>86</v>
      </c>
      <c r="G132">
        <v>1</v>
      </c>
      <c r="H132">
        <v>245</v>
      </c>
      <c r="I132">
        <v>52.13</v>
      </c>
      <c r="J132">
        <v>13.4</v>
      </c>
      <c r="K132">
        <v>1</v>
      </c>
      <c r="L132">
        <v>6.63</v>
      </c>
      <c r="M132">
        <v>3.9</v>
      </c>
      <c r="N132">
        <v>24.93</v>
      </c>
      <c r="O132">
        <v>27.19</v>
      </c>
      <c r="P132">
        <v>127.81</v>
      </c>
      <c r="Q132" s="4">
        <v>0.52166999999999997</v>
      </c>
      <c r="R132" t="s">
        <v>332</v>
      </c>
    </row>
    <row r="133" spans="1:18">
      <c r="A133" t="s">
        <v>331</v>
      </c>
      <c r="B133" t="s">
        <v>132</v>
      </c>
      <c r="C133" t="s">
        <v>54</v>
      </c>
      <c r="D133" t="s">
        <v>44</v>
      </c>
      <c r="E133" t="s">
        <v>82</v>
      </c>
      <c r="F133" t="s">
        <v>164</v>
      </c>
      <c r="G133">
        <v>1</v>
      </c>
      <c r="H133">
        <v>245</v>
      </c>
      <c r="I133">
        <v>52.13</v>
      </c>
      <c r="J133">
        <v>13.4</v>
      </c>
      <c r="K133">
        <v>1</v>
      </c>
      <c r="L133">
        <v>6.63</v>
      </c>
      <c r="M133">
        <v>3.9</v>
      </c>
      <c r="N133">
        <v>24.93</v>
      </c>
      <c r="O133">
        <v>27.19</v>
      </c>
      <c r="P133">
        <v>127.81</v>
      </c>
      <c r="Q133" s="4">
        <v>0.52166999999999997</v>
      </c>
      <c r="R133" t="s">
        <v>332</v>
      </c>
    </row>
    <row r="134" spans="1:18">
      <c r="A134" t="s">
        <v>333</v>
      </c>
      <c r="B134" t="s">
        <v>107</v>
      </c>
      <c r="C134" t="s">
        <v>39</v>
      </c>
      <c r="D134" t="s">
        <v>40</v>
      </c>
      <c r="E134" t="s">
        <v>82</v>
      </c>
      <c r="F134" t="s">
        <v>83</v>
      </c>
      <c r="G134">
        <v>2</v>
      </c>
      <c r="H134">
        <v>133</v>
      </c>
      <c r="I134">
        <v>28.3</v>
      </c>
      <c r="J134">
        <v>13.4</v>
      </c>
      <c r="K134">
        <v>1</v>
      </c>
      <c r="L134">
        <v>3.7</v>
      </c>
      <c r="M134">
        <v>2.12</v>
      </c>
      <c r="N134">
        <v>20.22</v>
      </c>
      <c r="O134">
        <v>8.08</v>
      </c>
      <c r="P134">
        <v>37.96</v>
      </c>
      <c r="Q134" s="4">
        <v>0.28543000000000002</v>
      </c>
      <c r="R134" t="s">
        <v>334</v>
      </c>
    </row>
    <row r="135" spans="1:18">
      <c r="A135" t="s">
        <v>335</v>
      </c>
      <c r="B135" t="s">
        <v>132</v>
      </c>
      <c r="C135" t="s">
        <v>45</v>
      </c>
      <c r="D135" t="s">
        <v>46</v>
      </c>
      <c r="E135" t="s">
        <v>82</v>
      </c>
      <c r="F135" t="s">
        <v>97</v>
      </c>
      <c r="G135">
        <v>2</v>
      </c>
      <c r="H135">
        <v>344</v>
      </c>
      <c r="I135">
        <v>73.19</v>
      </c>
      <c r="J135">
        <v>40.200000000000003</v>
      </c>
      <c r="K135">
        <v>1</v>
      </c>
      <c r="L135">
        <v>9.2200000000000006</v>
      </c>
      <c r="M135">
        <v>5.48</v>
      </c>
      <c r="N135">
        <v>55.9</v>
      </c>
      <c r="O135">
        <v>17.29</v>
      </c>
      <c r="P135">
        <v>81.27</v>
      </c>
      <c r="Q135" s="4">
        <v>0.23624000000000001</v>
      </c>
      <c r="R135" t="s">
        <v>336</v>
      </c>
    </row>
    <row r="136" spans="1:18">
      <c r="A136" t="s">
        <v>337</v>
      </c>
      <c r="B136" t="s">
        <v>132</v>
      </c>
      <c r="C136" t="s">
        <v>39</v>
      </c>
      <c r="D136" t="s">
        <v>40</v>
      </c>
      <c r="E136" t="s">
        <v>82</v>
      </c>
      <c r="F136" t="s">
        <v>83</v>
      </c>
      <c r="G136">
        <v>1</v>
      </c>
      <c r="H136">
        <v>69</v>
      </c>
      <c r="I136">
        <v>14.68</v>
      </c>
      <c r="J136">
        <v>6.7</v>
      </c>
      <c r="K136">
        <v>1</v>
      </c>
      <c r="L136">
        <v>2.0299999999999998</v>
      </c>
      <c r="M136">
        <v>1.1000000000000001</v>
      </c>
      <c r="N136">
        <v>10.83</v>
      </c>
      <c r="O136">
        <v>3.85</v>
      </c>
      <c r="P136">
        <v>18.11</v>
      </c>
      <c r="Q136" s="4">
        <v>0.26249</v>
      </c>
      <c r="R136" t="s">
        <v>338</v>
      </c>
    </row>
    <row r="137" spans="1:18">
      <c r="A137" t="s">
        <v>339</v>
      </c>
      <c r="B137" t="s">
        <v>107</v>
      </c>
      <c r="C137" t="s">
        <v>58</v>
      </c>
      <c r="D137" t="s">
        <v>59</v>
      </c>
      <c r="E137" t="s">
        <v>154</v>
      </c>
      <c r="F137" t="s">
        <v>155</v>
      </c>
      <c r="G137">
        <v>1</v>
      </c>
      <c r="H137">
        <v>92.92</v>
      </c>
      <c r="I137">
        <v>19.77</v>
      </c>
      <c r="J137">
        <v>12.2</v>
      </c>
      <c r="K137">
        <v>0.5</v>
      </c>
      <c r="L137">
        <v>2.65</v>
      </c>
      <c r="M137">
        <v>1.48</v>
      </c>
      <c r="N137">
        <v>16.829999999999998</v>
      </c>
      <c r="O137">
        <v>2.94</v>
      </c>
      <c r="P137">
        <v>13.8</v>
      </c>
      <c r="Q137" s="4">
        <v>0.14852000000000001</v>
      </c>
      <c r="R137" t="s">
        <v>340</v>
      </c>
    </row>
    <row r="138" spans="1:18">
      <c r="A138" t="s">
        <v>341</v>
      </c>
      <c r="B138" t="s">
        <v>107</v>
      </c>
      <c r="C138" t="s">
        <v>55</v>
      </c>
      <c r="D138" t="s">
        <v>46</v>
      </c>
      <c r="E138" t="s">
        <v>82</v>
      </c>
      <c r="F138" t="s">
        <v>158</v>
      </c>
      <c r="G138">
        <v>1</v>
      </c>
      <c r="H138">
        <v>2</v>
      </c>
      <c r="I138">
        <v>0.43</v>
      </c>
      <c r="J138">
        <v>20.100000000000001</v>
      </c>
      <c r="K138">
        <v>1</v>
      </c>
      <c r="L138">
        <v>0.28000000000000003</v>
      </c>
      <c r="M138">
        <v>0.03</v>
      </c>
      <c r="N138">
        <v>21.41</v>
      </c>
      <c r="O138">
        <v>-20.98</v>
      </c>
      <c r="P138">
        <v>-98.62</v>
      </c>
      <c r="Q138" s="4">
        <v>-49.3078</v>
      </c>
      <c r="R138" t="s">
        <v>342</v>
      </c>
    </row>
    <row r="139" spans="1:18">
      <c r="A139" t="s">
        <v>343</v>
      </c>
      <c r="B139" t="s">
        <v>107</v>
      </c>
      <c r="C139" t="s">
        <v>39</v>
      </c>
      <c r="D139" t="s">
        <v>40</v>
      </c>
      <c r="E139" t="s">
        <v>82</v>
      </c>
      <c r="F139" t="s">
        <v>83</v>
      </c>
      <c r="G139">
        <v>1</v>
      </c>
      <c r="H139">
        <v>84</v>
      </c>
      <c r="I139">
        <v>17.87</v>
      </c>
      <c r="J139">
        <v>6.7</v>
      </c>
      <c r="K139">
        <v>1</v>
      </c>
      <c r="L139">
        <v>2.42</v>
      </c>
      <c r="M139">
        <v>1.34</v>
      </c>
      <c r="N139">
        <v>11.46</v>
      </c>
      <c r="O139">
        <v>6.41</v>
      </c>
      <c r="P139">
        <v>30.14</v>
      </c>
      <c r="Q139" s="4">
        <v>0.35887000000000002</v>
      </c>
      <c r="R139" t="s">
        <v>344</v>
      </c>
    </row>
    <row r="140" spans="1:18">
      <c r="A140" t="s">
        <v>345</v>
      </c>
      <c r="B140" t="s">
        <v>132</v>
      </c>
      <c r="C140" t="s">
        <v>47</v>
      </c>
      <c r="D140" t="s">
        <v>40</v>
      </c>
      <c r="E140" t="s">
        <v>82</v>
      </c>
      <c r="F140" t="s">
        <v>90</v>
      </c>
      <c r="G140">
        <v>1</v>
      </c>
      <c r="H140">
        <v>69</v>
      </c>
      <c r="I140">
        <v>14.68</v>
      </c>
      <c r="J140">
        <v>6.7</v>
      </c>
      <c r="K140">
        <v>1</v>
      </c>
      <c r="L140">
        <v>2.0299999999999998</v>
      </c>
      <c r="M140">
        <v>1.1000000000000001</v>
      </c>
      <c r="N140">
        <v>10.83</v>
      </c>
      <c r="O140">
        <v>3.85</v>
      </c>
      <c r="P140">
        <v>18.11</v>
      </c>
      <c r="Q140" s="4">
        <v>0.26249</v>
      </c>
      <c r="R140" t="s">
        <v>346</v>
      </c>
    </row>
    <row r="141" spans="1:18">
      <c r="A141" t="s">
        <v>347</v>
      </c>
      <c r="B141" t="s">
        <v>132</v>
      </c>
      <c r="C141" t="s">
        <v>45</v>
      </c>
      <c r="D141" t="s">
        <v>46</v>
      </c>
      <c r="E141" t="s">
        <v>82</v>
      </c>
      <c r="F141" t="s">
        <v>97</v>
      </c>
      <c r="G141">
        <v>1</v>
      </c>
      <c r="H141">
        <v>145.1</v>
      </c>
      <c r="I141">
        <v>30.87</v>
      </c>
      <c r="J141">
        <v>20.100000000000001</v>
      </c>
      <c r="K141">
        <v>1</v>
      </c>
      <c r="L141">
        <v>4.0199999999999996</v>
      </c>
      <c r="M141">
        <v>2.31</v>
      </c>
      <c r="N141">
        <v>27.43</v>
      </c>
      <c r="O141">
        <v>3.44</v>
      </c>
      <c r="P141">
        <v>16.18</v>
      </c>
      <c r="Q141" s="4">
        <v>0.1115</v>
      </c>
      <c r="R141" t="s">
        <v>348</v>
      </c>
    </row>
    <row r="142" spans="1:18">
      <c r="A142" t="s">
        <v>349</v>
      </c>
      <c r="B142" t="s">
        <v>132</v>
      </c>
      <c r="C142" t="s">
        <v>41</v>
      </c>
      <c r="D142" t="s">
        <v>42</v>
      </c>
      <c r="E142" t="s">
        <v>122</v>
      </c>
      <c r="F142" t="s">
        <v>123</v>
      </c>
      <c r="G142">
        <v>1</v>
      </c>
      <c r="H142">
        <v>85</v>
      </c>
      <c r="I142">
        <v>18.09</v>
      </c>
      <c r="J142">
        <v>10.73</v>
      </c>
      <c r="K142">
        <v>1</v>
      </c>
      <c r="L142">
        <v>2.4500000000000002</v>
      </c>
      <c r="M142">
        <v>1.35</v>
      </c>
      <c r="N142">
        <v>15.53</v>
      </c>
      <c r="O142">
        <v>2.56</v>
      </c>
      <c r="P142">
        <v>12.02</v>
      </c>
      <c r="Q142" s="4">
        <v>0.14143</v>
      </c>
      <c r="R142" t="s">
        <v>350</v>
      </c>
    </row>
    <row r="143" spans="1:18">
      <c r="A143" t="s">
        <v>351</v>
      </c>
      <c r="B143" t="s">
        <v>132</v>
      </c>
      <c r="C143" t="s">
        <v>56</v>
      </c>
      <c r="D143" t="s">
        <v>57</v>
      </c>
      <c r="E143" t="s">
        <v>133</v>
      </c>
      <c r="F143" t="s">
        <v>134</v>
      </c>
      <c r="G143">
        <v>1</v>
      </c>
      <c r="H143">
        <v>275</v>
      </c>
      <c r="I143">
        <v>58.51</v>
      </c>
      <c r="J143">
        <v>40.25</v>
      </c>
      <c r="K143">
        <v>2</v>
      </c>
      <c r="L143">
        <v>7.41</v>
      </c>
      <c r="M143">
        <v>4.38</v>
      </c>
      <c r="N143">
        <v>54.05</v>
      </c>
      <c r="O143">
        <v>4.46</v>
      </c>
      <c r="P143">
        <v>20.96</v>
      </c>
      <c r="Q143" s="4">
        <v>7.6230000000000006E-2</v>
      </c>
      <c r="R143" t="s">
        <v>352</v>
      </c>
    </row>
    <row r="144" spans="1:18">
      <c r="A144" t="s">
        <v>353</v>
      </c>
      <c r="B144" t="s">
        <v>132</v>
      </c>
      <c r="C144" t="s">
        <v>60</v>
      </c>
      <c r="D144" t="s">
        <v>61</v>
      </c>
      <c r="E144" t="s">
        <v>154</v>
      </c>
      <c r="F144" t="s">
        <v>354</v>
      </c>
      <c r="G144">
        <v>1</v>
      </c>
      <c r="H144">
        <v>53</v>
      </c>
      <c r="I144">
        <v>11.28</v>
      </c>
      <c r="J144">
        <v>6.1</v>
      </c>
      <c r="K144">
        <v>0.5</v>
      </c>
      <c r="L144">
        <v>1.61</v>
      </c>
      <c r="M144">
        <v>0.84</v>
      </c>
      <c r="N144">
        <v>9.0500000000000007</v>
      </c>
      <c r="O144">
        <v>2.2200000000000002</v>
      </c>
      <c r="P144">
        <v>10.45</v>
      </c>
      <c r="Q144" s="4">
        <v>0.19711000000000001</v>
      </c>
      <c r="R144" t="s">
        <v>355</v>
      </c>
    </row>
    <row r="145" spans="1:18">
      <c r="A145" t="s">
        <v>356</v>
      </c>
      <c r="B145" t="s">
        <v>132</v>
      </c>
      <c r="C145" t="s">
        <v>39</v>
      </c>
      <c r="D145" t="s">
        <v>40</v>
      </c>
      <c r="E145" t="s">
        <v>82</v>
      </c>
      <c r="F145" t="s">
        <v>83</v>
      </c>
      <c r="G145">
        <v>1</v>
      </c>
      <c r="H145">
        <v>69</v>
      </c>
      <c r="I145">
        <v>14.68</v>
      </c>
      <c r="J145">
        <v>6.7</v>
      </c>
      <c r="K145">
        <v>1</v>
      </c>
      <c r="L145">
        <v>2.0299999999999998</v>
      </c>
      <c r="M145">
        <v>1.1000000000000001</v>
      </c>
      <c r="N145">
        <v>10.83</v>
      </c>
      <c r="O145">
        <v>3.85</v>
      </c>
      <c r="P145">
        <v>18.11</v>
      </c>
      <c r="Q145" s="4">
        <v>0.26249</v>
      </c>
      <c r="R145" t="s">
        <v>357</v>
      </c>
    </row>
    <row r="146" spans="1:18">
      <c r="A146" t="s">
        <v>358</v>
      </c>
      <c r="B146" t="s">
        <v>132</v>
      </c>
      <c r="C146" t="s">
        <v>43</v>
      </c>
      <c r="D146" t="s">
        <v>44</v>
      </c>
      <c r="E146" t="s">
        <v>82</v>
      </c>
      <c r="F146" t="s">
        <v>86</v>
      </c>
      <c r="G146">
        <v>1</v>
      </c>
      <c r="H146">
        <v>189</v>
      </c>
      <c r="I146">
        <v>40.21</v>
      </c>
      <c r="J146">
        <v>13.4</v>
      </c>
      <c r="K146">
        <v>1</v>
      </c>
      <c r="L146">
        <v>5.17</v>
      </c>
      <c r="M146">
        <v>3.01</v>
      </c>
      <c r="N146">
        <v>22.58</v>
      </c>
      <c r="O146">
        <v>17.64</v>
      </c>
      <c r="P146">
        <v>82.89</v>
      </c>
      <c r="Q146" s="4">
        <v>0.43855</v>
      </c>
      <c r="R146" t="s">
        <v>359</v>
      </c>
    </row>
    <row r="147" spans="1:18">
      <c r="A147" t="s">
        <v>358</v>
      </c>
      <c r="B147" t="s">
        <v>132</v>
      </c>
      <c r="C147" t="s">
        <v>47</v>
      </c>
      <c r="D147" t="s">
        <v>40</v>
      </c>
      <c r="E147" t="s">
        <v>82</v>
      </c>
      <c r="F147" t="s">
        <v>90</v>
      </c>
      <c r="G147">
        <v>1</v>
      </c>
      <c r="H147">
        <v>189</v>
      </c>
      <c r="I147">
        <v>40.21</v>
      </c>
      <c r="J147">
        <v>6.7</v>
      </c>
      <c r="K147">
        <v>1</v>
      </c>
      <c r="L147">
        <v>5.17</v>
      </c>
      <c r="M147">
        <v>3.01</v>
      </c>
      <c r="N147">
        <v>15.88</v>
      </c>
      <c r="O147">
        <v>24.34</v>
      </c>
      <c r="P147">
        <v>114.38</v>
      </c>
      <c r="Q147" s="4">
        <v>0.60516000000000003</v>
      </c>
      <c r="R147" t="s">
        <v>359</v>
      </c>
    </row>
    <row r="148" spans="1:18">
      <c r="A148" t="s">
        <v>360</v>
      </c>
      <c r="B148" t="s">
        <v>132</v>
      </c>
      <c r="C148" t="s">
        <v>52</v>
      </c>
      <c r="D148" t="s">
        <v>53</v>
      </c>
      <c r="E148" t="s">
        <v>133</v>
      </c>
      <c r="F148" t="s">
        <v>145</v>
      </c>
      <c r="G148">
        <v>2</v>
      </c>
      <c r="H148">
        <v>720</v>
      </c>
      <c r="I148">
        <v>153.19</v>
      </c>
      <c r="J148">
        <v>91</v>
      </c>
      <c r="K148">
        <v>2</v>
      </c>
      <c r="L148">
        <v>19.05</v>
      </c>
      <c r="M148">
        <v>11.47</v>
      </c>
      <c r="N148">
        <v>123.52</v>
      </c>
      <c r="O148">
        <v>29.67</v>
      </c>
      <c r="P148">
        <v>139.44999999999999</v>
      </c>
      <c r="Q148" s="4">
        <v>0.19367000000000001</v>
      </c>
      <c r="R148" t="s">
        <v>361</v>
      </c>
    </row>
    <row r="149" spans="1:18">
      <c r="A149" t="s">
        <v>362</v>
      </c>
      <c r="B149" t="s">
        <v>132</v>
      </c>
      <c r="C149" t="s">
        <v>45</v>
      </c>
      <c r="D149" t="s">
        <v>46</v>
      </c>
      <c r="E149" t="s">
        <v>82</v>
      </c>
      <c r="F149" t="s">
        <v>97</v>
      </c>
      <c r="G149">
        <v>1</v>
      </c>
      <c r="H149">
        <v>167</v>
      </c>
      <c r="I149">
        <v>35.53</v>
      </c>
      <c r="J149">
        <v>20.100000000000001</v>
      </c>
      <c r="K149">
        <v>1</v>
      </c>
      <c r="L149">
        <v>4.59</v>
      </c>
      <c r="M149">
        <v>2.66</v>
      </c>
      <c r="N149">
        <v>28.35</v>
      </c>
      <c r="O149">
        <v>7.18</v>
      </c>
      <c r="P149">
        <v>33.75</v>
      </c>
      <c r="Q149" s="4">
        <v>0.20208000000000001</v>
      </c>
      <c r="R149" t="s">
        <v>363</v>
      </c>
    </row>
    <row r="150" spans="1:18">
      <c r="A150" t="s">
        <v>364</v>
      </c>
      <c r="B150" t="s">
        <v>132</v>
      </c>
      <c r="C150" t="s">
        <v>45</v>
      </c>
      <c r="D150" t="s">
        <v>46</v>
      </c>
      <c r="E150" t="s">
        <v>82</v>
      </c>
      <c r="F150" t="s">
        <v>97</v>
      </c>
      <c r="G150">
        <v>1</v>
      </c>
      <c r="H150">
        <v>172</v>
      </c>
      <c r="I150">
        <v>36.6</v>
      </c>
      <c r="J150">
        <v>20.100000000000001</v>
      </c>
      <c r="K150">
        <v>1</v>
      </c>
      <c r="L150">
        <v>4.72</v>
      </c>
      <c r="M150">
        <v>2.74</v>
      </c>
      <c r="N150">
        <v>28.56</v>
      </c>
      <c r="O150">
        <v>8.0299999999999994</v>
      </c>
      <c r="P150">
        <v>37.76</v>
      </c>
      <c r="Q150" s="4">
        <v>0.21953</v>
      </c>
      <c r="R150" t="s">
        <v>365</v>
      </c>
    </row>
    <row r="151" spans="1:18">
      <c r="A151" t="s">
        <v>366</v>
      </c>
      <c r="B151" t="s">
        <v>132</v>
      </c>
      <c r="C151" t="s">
        <v>39</v>
      </c>
      <c r="D151" t="s">
        <v>40</v>
      </c>
      <c r="E151" t="s">
        <v>82</v>
      </c>
      <c r="F151" t="s">
        <v>83</v>
      </c>
      <c r="G151">
        <v>1</v>
      </c>
      <c r="H151">
        <v>143</v>
      </c>
      <c r="I151">
        <v>30.43</v>
      </c>
      <c r="J151">
        <v>6.7</v>
      </c>
      <c r="K151">
        <v>1</v>
      </c>
      <c r="L151">
        <v>3.96</v>
      </c>
      <c r="M151">
        <v>2.2799999999999998</v>
      </c>
      <c r="N151">
        <v>13.94</v>
      </c>
      <c r="O151">
        <v>16.48</v>
      </c>
      <c r="P151">
        <v>77.47</v>
      </c>
      <c r="Q151" s="4">
        <v>0.54178000000000004</v>
      </c>
      <c r="R151" t="s">
        <v>367</v>
      </c>
    </row>
    <row r="152" spans="1:18">
      <c r="A152" t="s">
        <v>366</v>
      </c>
      <c r="B152" t="s">
        <v>132</v>
      </c>
      <c r="C152" t="s">
        <v>47</v>
      </c>
      <c r="D152" t="s">
        <v>40</v>
      </c>
      <c r="E152" t="s">
        <v>82</v>
      </c>
      <c r="F152" t="s">
        <v>90</v>
      </c>
      <c r="G152">
        <v>1</v>
      </c>
      <c r="H152">
        <v>143</v>
      </c>
      <c r="I152">
        <v>30.43</v>
      </c>
      <c r="J152">
        <v>6.7</v>
      </c>
      <c r="K152">
        <v>1</v>
      </c>
      <c r="L152">
        <v>3.96</v>
      </c>
      <c r="M152">
        <v>2.2799999999999998</v>
      </c>
      <c r="N152">
        <v>13.94</v>
      </c>
      <c r="O152">
        <v>16.48</v>
      </c>
      <c r="P152">
        <v>77.47</v>
      </c>
      <c r="Q152" s="4">
        <v>0.54178000000000004</v>
      </c>
      <c r="R152" t="s">
        <v>367</v>
      </c>
    </row>
    <row r="153" spans="1:18">
      <c r="A153" t="s">
        <v>368</v>
      </c>
      <c r="B153" t="s">
        <v>132</v>
      </c>
      <c r="C153" t="s">
        <v>39</v>
      </c>
      <c r="D153" t="s">
        <v>40</v>
      </c>
      <c r="E153" t="s">
        <v>82</v>
      </c>
      <c r="F153" t="s">
        <v>83</v>
      </c>
      <c r="G153">
        <v>1</v>
      </c>
      <c r="H153">
        <v>69</v>
      </c>
      <c r="I153">
        <v>14.68</v>
      </c>
      <c r="J153">
        <v>6.7</v>
      </c>
      <c r="K153">
        <v>1</v>
      </c>
      <c r="L153">
        <v>2.0299999999999998</v>
      </c>
      <c r="M153">
        <v>1.1000000000000001</v>
      </c>
      <c r="N153">
        <v>10.83</v>
      </c>
      <c r="O153">
        <v>3.85</v>
      </c>
      <c r="P153">
        <v>18.11</v>
      </c>
      <c r="Q153" s="4">
        <v>0.26249</v>
      </c>
      <c r="R153" t="s">
        <v>369</v>
      </c>
    </row>
    <row r="154" spans="1:18">
      <c r="A154" t="s">
        <v>370</v>
      </c>
      <c r="B154" t="s">
        <v>132</v>
      </c>
      <c r="C154" t="s">
        <v>48</v>
      </c>
      <c r="D154" t="s">
        <v>49</v>
      </c>
      <c r="E154" t="s">
        <v>82</v>
      </c>
      <c r="F154" t="s">
        <v>102</v>
      </c>
      <c r="G154">
        <v>1</v>
      </c>
      <c r="H154">
        <v>124</v>
      </c>
      <c r="I154">
        <v>26.38</v>
      </c>
      <c r="J154">
        <v>3.35</v>
      </c>
      <c r="K154">
        <v>1</v>
      </c>
      <c r="L154">
        <v>3.47</v>
      </c>
      <c r="M154">
        <v>1.98</v>
      </c>
      <c r="N154">
        <v>9.7899999999999991</v>
      </c>
      <c r="O154">
        <v>16.59</v>
      </c>
      <c r="P154">
        <v>77.98</v>
      </c>
      <c r="Q154" s="4">
        <v>0.62885000000000002</v>
      </c>
      <c r="R154" t="s">
        <v>371</v>
      </c>
    </row>
    <row r="155" spans="1:18">
      <c r="A155" t="s">
        <v>370</v>
      </c>
      <c r="B155" t="s">
        <v>132</v>
      </c>
      <c r="C155" t="s">
        <v>39</v>
      </c>
      <c r="D155" t="s">
        <v>40</v>
      </c>
      <c r="E155" t="s">
        <v>82</v>
      </c>
      <c r="F155" t="s">
        <v>83</v>
      </c>
      <c r="G155">
        <v>1</v>
      </c>
      <c r="H155">
        <v>124</v>
      </c>
      <c r="I155">
        <v>26.38</v>
      </c>
      <c r="J155">
        <v>6.7</v>
      </c>
      <c r="K155">
        <v>1</v>
      </c>
      <c r="L155">
        <v>3.47</v>
      </c>
      <c r="M155">
        <v>1.98</v>
      </c>
      <c r="N155">
        <v>13.14</v>
      </c>
      <c r="O155">
        <v>13.24</v>
      </c>
      <c r="P155">
        <v>62.23</v>
      </c>
      <c r="Q155" s="4">
        <v>0.50187999999999999</v>
      </c>
      <c r="R155" t="s">
        <v>371</v>
      </c>
    </row>
    <row r="156" spans="1:18">
      <c r="A156" t="s">
        <v>372</v>
      </c>
      <c r="B156" t="s">
        <v>132</v>
      </c>
      <c r="C156" t="s">
        <v>41</v>
      </c>
      <c r="D156" t="s">
        <v>42</v>
      </c>
      <c r="E156" t="s">
        <v>122</v>
      </c>
      <c r="F156" t="s">
        <v>123</v>
      </c>
      <c r="G156">
        <v>1</v>
      </c>
      <c r="H156">
        <v>100</v>
      </c>
      <c r="I156">
        <v>21.28</v>
      </c>
      <c r="J156">
        <v>10.73</v>
      </c>
      <c r="K156">
        <v>1</v>
      </c>
      <c r="L156">
        <v>2.84</v>
      </c>
      <c r="M156">
        <v>1.59</v>
      </c>
      <c r="N156">
        <v>16.16</v>
      </c>
      <c r="O156">
        <v>5.12</v>
      </c>
      <c r="P156">
        <v>24.05</v>
      </c>
      <c r="Q156" s="4">
        <v>0.24055000000000001</v>
      </c>
      <c r="R156" t="s">
        <v>373</v>
      </c>
    </row>
    <row r="157" spans="1:18">
      <c r="A157" t="s">
        <v>374</v>
      </c>
      <c r="B157" t="s">
        <v>132</v>
      </c>
      <c r="C157" t="s">
        <v>41</v>
      </c>
      <c r="D157" t="s">
        <v>42</v>
      </c>
      <c r="E157" t="s">
        <v>122</v>
      </c>
      <c r="F157" t="s">
        <v>123</v>
      </c>
      <c r="G157">
        <v>1</v>
      </c>
      <c r="H157">
        <v>124.25</v>
      </c>
      <c r="I157">
        <v>26.44</v>
      </c>
      <c r="J157">
        <v>10.73</v>
      </c>
      <c r="K157">
        <v>1</v>
      </c>
      <c r="L157">
        <v>3.47</v>
      </c>
      <c r="M157">
        <v>1.98</v>
      </c>
      <c r="N157">
        <v>17.18</v>
      </c>
      <c r="O157">
        <v>9.26</v>
      </c>
      <c r="P157">
        <v>43.51</v>
      </c>
      <c r="Q157" s="4">
        <v>0.35016999999999998</v>
      </c>
      <c r="R157" t="s">
        <v>375</v>
      </c>
    </row>
    <row r="158" spans="1:18">
      <c r="A158" t="s">
        <v>376</v>
      </c>
      <c r="B158" t="s">
        <v>132</v>
      </c>
      <c r="C158" t="s">
        <v>41</v>
      </c>
      <c r="D158" t="s">
        <v>42</v>
      </c>
      <c r="E158" t="s">
        <v>122</v>
      </c>
      <c r="F158" t="s">
        <v>123</v>
      </c>
      <c r="G158">
        <v>1</v>
      </c>
      <c r="H158">
        <v>85</v>
      </c>
      <c r="I158">
        <v>18.09</v>
      </c>
      <c r="J158">
        <v>10.73</v>
      </c>
      <c r="K158">
        <v>1</v>
      </c>
      <c r="L158">
        <v>2.4500000000000002</v>
      </c>
      <c r="M158">
        <v>1.35</v>
      </c>
      <c r="N158">
        <v>15.53</v>
      </c>
      <c r="O158">
        <v>2.56</v>
      </c>
      <c r="P158">
        <v>12.02</v>
      </c>
      <c r="Q158" s="4">
        <v>0.14143</v>
      </c>
      <c r="R158" t="s">
        <v>377</v>
      </c>
    </row>
    <row r="159" spans="1:18">
      <c r="A159" t="s">
        <v>378</v>
      </c>
      <c r="B159" t="s">
        <v>132</v>
      </c>
      <c r="C159" t="s">
        <v>41</v>
      </c>
      <c r="D159" t="s">
        <v>42</v>
      </c>
      <c r="E159" t="s">
        <v>122</v>
      </c>
      <c r="F159" t="s">
        <v>123</v>
      </c>
      <c r="G159">
        <v>1</v>
      </c>
      <c r="H159">
        <v>138</v>
      </c>
      <c r="I159">
        <v>29.36</v>
      </c>
      <c r="J159">
        <v>10.73</v>
      </c>
      <c r="K159">
        <v>1</v>
      </c>
      <c r="L159">
        <v>3.83</v>
      </c>
      <c r="M159">
        <v>2.2000000000000002</v>
      </c>
      <c r="N159">
        <v>17.760000000000002</v>
      </c>
      <c r="O159">
        <v>11.6</v>
      </c>
      <c r="P159">
        <v>54.54</v>
      </c>
      <c r="Q159" s="4">
        <v>0.39521000000000001</v>
      </c>
      <c r="R159" t="s">
        <v>379</v>
      </c>
    </row>
    <row r="160" spans="1:18">
      <c r="A160" t="s">
        <v>380</v>
      </c>
      <c r="B160" t="s">
        <v>132</v>
      </c>
      <c r="C160" t="s">
        <v>41</v>
      </c>
      <c r="D160" t="s">
        <v>42</v>
      </c>
      <c r="E160" t="s">
        <v>122</v>
      </c>
      <c r="F160" t="s">
        <v>123</v>
      </c>
      <c r="G160">
        <v>1</v>
      </c>
      <c r="H160">
        <v>1</v>
      </c>
      <c r="I160">
        <v>0.21</v>
      </c>
      <c r="J160">
        <v>10.73</v>
      </c>
      <c r="K160">
        <v>1</v>
      </c>
      <c r="L160">
        <v>0.25</v>
      </c>
      <c r="M160">
        <v>0.02</v>
      </c>
      <c r="N160">
        <v>11.99</v>
      </c>
      <c r="O160">
        <v>-11.78</v>
      </c>
      <c r="P160">
        <v>-55.36</v>
      </c>
      <c r="Q160" s="4">
        <v>-55.363059999999997</v>
      </c>
      <c r="R160" t="s">
        <v>381</v>
      </c>
    </row>
    <row r="161" spans="1:18">
      <c r="A161" t="s">
        <v>382</v>
      </c>
      <c r="B161" t="s">
        <v>132</v>
      </c>
      <c r="C161" t="s">
        <v>41</v>
      </c>
      <c r="D161" t="s">
        <v>42</v>
      </c>
      <c r="E161" t="s">
        <v>122</v>
      </c>
      <c r="F161" t="s">
        <v>123</v>
      </c>
      <c r="G161">
        <v>1</v>
      </c>
      <c r="H161">
        <v>55</v>
      </c>
      <c r="I161">
        <v>11.7</v>
      </c>
      <c r="J161">
        <v>10.73</v>
      </c>
      <c r="K161">
        <v>1</v>
      </c>
      <c r="L161">
        <v>1.66</v>
      </c>
      <c r="M161">
        <v>0.88</v>
      </c>
      <c r="N161">
        <v>14.26</v>
      </c>
      <c r="O161">
        <v>-2.56</v>
      </c>
      <c r="P161">
        <v>-12.04</v>
      </c>
      <c r="Q161" s="4">
        <v>-0.21898999999999999</v>
      </c>
      <c r="R161" t="s">
        <v>383</v>
      </c>
    </row>
    <row r="162" spans="1:18">
      <c r="A162" t="s">
        <v>384</v>
      </c>
      <c r="B162" t="s">
        <v>132</v>
      </c>
      <c r="C162" t="s">
        <v>41</v>
      </c>
      <c r="D162" t="s">
        <v>42</v>
      </c>
      <c r="E162" t="s">
        <v>122</v>
      </c>
      <c r="F162" t="s">
        <v>123</v>
      </c>
      <c r="G162">
        <v>1</v>
      </c>
      <c r="H162">
        <v>84</v>
      </c>
      <c r="I162">
        <v>17.87</v>
      </c>
      <c r="J162">
        <v>10.73</v>
      </c>
      <c r="K162">
        <v>1</v>
      </c>
      <c r="L162">
        <v>2.42</v>
      </c>
      <c r="M162">
        <v>1.34</v>
      </c>
      <c r="N162">
        <v>15.49</v>
      </c>
      <c r="O162">
        <v>2.39</v>
      </c>
      <c r="P162">
        <v>11.22</v>
      </c>
      <c r="Q162" s="4">
        <v>0.13356999999999999</v>
      </c>
      <c r="R162" t="s">
        <v>385</v>
      </c>
    </row>
    <row r="163" spans="1:18">
      <c r="A163" t="s">
        <v>386</v>
      </c>
      <c r="B163" t="s">
        <v>107</v>
      </c>
      <c r="C163" t="s">
        <v>62</v>
      </c>
      <c r="D163" t="s">
        <v>63</v>
      </c>
      <c r="E163" t="s">
        <v>387</v>
      </c>
      <c r="F163" t="s">
        <v>388</v>
      </c>
      <c r="G163">
        <v>1</v>
      </c>
      <c r="H163">
        <v>31.28</v>
      </c>
      <c r="I163">
        <v>6.66</v>
      </c>
      <c r="J163">
        <v>4</v>
      </c>
      <c r="K163">
        <v>0.5</v>
      </c>
      <c r="L163">
        <v>1.04</v>
      </c>
      <c r="M163">
        <v>0.5</v>
      </c>
      <c r="N163">
        <v>6.04</v>
      </c>
      <c r="O163">
        <v>0.62</v>
      </c>
      <c r="P163">
        <v>2.89</v>
      </c>
      <c r="Q163" s="4">
        <v>9.2480000000000007E-2</v>
      </c>
      <c r="R163" t="s">
        <v>389</v>
      </c>
    </row>
    <row r="164" spans="1:18">
      <c r="A164" t="s">
        <v>390</v>
      </c>
      <c r="B164" t="s">
        <v>132</v>
      </c>
      <c r="C164" t="s">
        <v>62</v>
      </c>
      <c r="D164" t="s">
        <v>63</v>
      </c>
      <c r="E164" t="s">
        <v>387</v>
      </c>
      <c r="F164" t="s">
        <v>388</v>
      </c>
      <c r="G164">
        <v>1</v>
      </c>
      <c r="H164">
        <v>36.799999999999997</v>
      </c>
      <c r="I164">
        <v>7.83</v>
      </c>
      <c r="J164">
        <v>4</v>
      </c>
      <c r="K164">
        <v>0.5</v>
      </c>
      <c r="L164">
        <v>1.19</v>
      </c>
      <c r="M164">
        <v>0.59</v>
      </c>
      <c r="N164">
        <v>6.27</v>
      </c>
      <c r="O164">
        <v>1.56</v>
      </c>
      <c r="P164">
        <v>7.32</v>
      </c>
      <c r="Q164" s="4">
        <v>0.19894000000000001</v>
      </c>
      <c r="R164" t="s">
        <v>391</v>
      </c>
    </row>
    <row r="165" spans="1:18">
      <c r="A165" t="s">
        <v>392</v>
      </c>
      <c r="B165" t="s">
        <v>132</v>
      </c>
      <c r="C165" t="s">
        <v>41</v>
      </c>
      <c r="D165" t="s">
        <v>42</v>
      </c>
      <c r="E165" t="s">
        <v>122</v>
      </c>
      <c r="F165" t="s">
        <v>123</v>
      </c>
      <c r="G165">
        <v>1</v>
      </c>
      <c r="H165">
        <v>50</v>
      </c>
      <c r="I165">
        <v>10.64</v>
      </c>
      <c r="J165">
        <v>10.73</v>
      </c>
      <c r="K165">
        <v>1</v>
      </c>
      <c r="L165">
        <v>1.53</v>
      </c>
      <c r="M165">
        <v>0.8</v>
      </c>
      <c r="N165">
        <v>14.05</v>
      </c>
      <c r="O165">
        <v>-3.42</v>
      </c>
      <c r="P165">
        <v>-16.059999999999999</v>
      </c>
      <c r="Q165" s="4">
        <v>-0.32111000000000001</v>
      </c>
      <c r="R165" t="s">
        <v>393</v>
      </c>
    </row>
    <row r="166" spans="1:18">
      <c r="A166" t="s">
        <v>394</v>
      </c>
      <c r="B166" t="s">
        <v>132</v>
      </c>
      <c r="C166" t="s">
        <v>41</v>
      </c>
      <c r="D166" t="s">
        <v>42</v>
      </c>
      <c r="E166" t="s">
        <v>122</v>
      </c>
      <c r="F166" t="s">
        <v>123</v>
      </c>
      <c r="G166">
        <v>1</v>
      </c>
      <c r="H166">
        <v>64.400000000000006</v>
      </c>
      <c r="I166">
        <v>13.7</v>
      </c>
      <c r="J166">
        <v>10.73</v>
      </c>
      <c r="K166">
        <v>1</v>
      </c>
      <c r="L166">
        <v>1.91</v>
      </c>
      <c r="M166">
        <v>1.03</v>
      </c>
      <c r="N166">
        <v>14.66</v>
      </c>
      <c r="O166">
        <v>-0.96</v>
      </c>
      <c r="P166">
        <v>-4.5</v>
      </c>
      <c r="Q166" s="4">
        <v>-6.9930000000000006E-2</v>
      </c>
      <c r="R166" t="s">
        <v>395</v>
      </c>
    </row>
    <row r="167" spans="1:18">
      <c r="A167" t="s">
        <v>396</v>
      </c>
      <c r="B167" t="s">
        <v>132</v>
      </c>
      <c r="C167" t="s">
        <v>41</v>
      </c>
      <c r="D167" t="s">
        <v>42</v>
      </c>
      <c r="E167" t="s">
        <v>122</v>
      </c>
      <c r="F167" t="s">
        <v>123</v>
      </c>
      <c r="G167">
        <v>1</v>
      </c>
      <c r="H167">
        <v>100</v>
      </c>
      <c r="I167">
        <v>21.28</v>
      </c>
      <c r="J167">
        <v>10.73</v>
      </c>
      <c r="K167">
        <v>1</v>
      </c>
      <c r="L167">
        <v>2.84</v>
      </c>
      <c r="M167">
        <v>1.59</v>
      </c>
      <c r="N167">
        <v>16.16</v>
      </c>
      <c r="O167">
        <v>5.12</v>
      </c>
      <c r="P167">
        <v>24.05</v>
      </c>
      <c r="Q167" s="4">
        <v>0.24055000000000001</v>
      </c>
      <c r="R167" t="s">
        <v>397</v>
      </c>
    </row>
    <row r="168" spans="1:18">
      <c r="A168" t="s">
        <v>398</v>
      </c>
      <c r="B168" t="s">
        <v>132</v>
      </c>
      <c r="C168" t="s">
        <v>41</v>
      </c>
      <c r="D168" t="s">
        <v>42</v>
      </c>
      <c r="E168" t="s">
        <v>122</v>
      </c>
      <c r="F168" t="s">
        <v>123</v>
      </c>
      <c r="G168">
        <v>1</v>
      </c>
      <c r="H168">
        <v>50.6</v>
      </c>
      <c r="I168">
        <v>10.77</v>
      </c>
      <c r="J168">
        <v>10.73</v>
      </c>
      <c r="K168">
        <v>1</v>
      </c>
      <c r="L168">
        <v>1.55</v>
      </c>
      <c r="M168">
        <v>0.81</v>
      </c>
      <c r="N168">
        <v>14.08</v>
      </c>
      <c r="O168">
        <v>-3.31</v>
      </c>
      <c r="P168">
        <v>-15.57</v>
      </c>
      <c r="Q168" s="4">
        <v>-0.30779000000000001</v>
      </c>
      <c r="R168" t="s">
        <v>399</v>
      </c>
    </row>
    <row r="169" spans="1:18">
      <c r="A169" t="s">
        <v>400</v>
      </c>
      <c r="B169" t="s">
        <v>132</v>
      </c>
      <c r="C169" t="s">
        <v>52</v>
      </c>
      <c r="D169" t="s">
        <v>53</v>
      </c>
      <c r="E169" t="s">
        <v>133</v>
      </c>
      <c r="F169" t="s">
        <v>145</v>
      </c>
      <c r="G169">
        <v>1</v>
      </c>
      <c r="H169">
        <v>255</v>
      </c>
      <c r="I169">
        <v>54.26</v>
      </c>
      <c r="J169">
        <v>45.5</v>
      </c>
      <c r="K169">
        <v>2</v>
      </c>
      <c r="L169">
        <v>6.89</v>
      </c>
      <c r="M169">
        <v>4.0599999999999996</v>
      </c>
      <c r="N169">
        <v>58.45</v>
      </c>
      <c r="O169">
        <v>-4.2</v>
      </c>
      <c r="P169">
        <v>-19.73</v>
      </c>
      <c r="Q169" s="4">
        <v>-7.739E-2</v>
      </c>
      <c r="R169" t="s">
        <v>401</v>
      </c>
    </row>
    <row r="170" spans="1:18">
      <c r="A170" t="s">
        <v>402</v>
      </c>
      <c r="B170" t="s">
        <v>132</v>
      </c>
      <c r="C170" t="s">
        <v>39</v>
      </c>
      <c r="D170" t="s">
        <v>40</v>
      </c>
      <c r="E170" t="s">
        <v>82</v>
      </c>
      <c r="F170" t="s">
        <v>83</v>
      </c>
      <c r="G170">
        <v>1</v>
      </c>
      <c r="H170">
        <v>69</v>
      </c>
      <c r="I170">
        <v>14.68</v>
      </c>
      <c r="J170">
        <v>6.7</v>
      </c>
      <c r="K170">
        <v>1</v>
      </c>
      <c r="L170">
        <v>2.0299999999999998</v>
      </c>
      <c r="M170">
        <v>1.1000000000000001</v>
      </c>
      <c r="N170">
        <v>10.83</v>
      </c>
      <c r="O170">
        <v>3.85</v>
      </c>
      <c r="P170">
        <v>18.11</v>
      </c>
      <c r="Q170" s="4">
        <v>0.26249</v>
      </c>
      <c r="R170" t="s">
        <v>403</v>
      </c>
    </row>
    <row r="171" spans="1:18">
      <c r="A171" t="s">
        <v>404</v>
      </c>
      <c r="B171" t="s">
        <v>132</v>
      </c>
      <c r="C171" t="s">
        <v>39</v>
      </c>
      <c r="D171" t="s">
        <v>40</v>
      </c>
      <c r="E171" t="s">
        <v>82</v>
      </c>
      <c r="F171" t="s">
        <v>83</v>
      </c>
      <c r="G171">
        <v>1</v>
      </c>
      <c r="H171">
        <v>69</v>
      </c>
      <c r="I171">
        <v>14.68</v>
      </c>
      <c r="J171">
        <v>6.7</v>
      </c>
      <c r="K171">
        <v>1</v>
      </c>
      <c r="L171">
        <v>2.0299999999999998</v>
      </c>
      <c r="M171">
        <v>1.1000000000000001</v>
      </c>
      <c r="N171">
        <v>10.83</v>
      </c>
      <c r="O171">
        <v>3.85</v>
      </c>
      <c r="P171">
        <v>18.11</v>
      </c>
      <c r="Q171" s="4">
        <v>0.26249</v>
      </c>
      <c r="R171" t="s">
        <v>405</v>
      </c>
    </row>
    <row r="172" spans="1:18">
      <c r="A172" t="s">
        <v>406</v>
      </c>
      <c r="B172" t="s">
        <v>132</v>
      </c>
      <c r="C172" t="s">
        <v>43</v>
      </c>
      <c r="D172" t="s">
        <v>44</v>
      </c>
      <c r="E172" t="s">
        <v>82</v>
      </c>
      <c r="F172" t="s">
        <v>86</v>
      </c>
      <c r="G172">
        <v>1</v>
      </c>
      <c r="H172">
        <v>125</v>
      </c>
      <c r="I172">
        <v>26.6</v>
      </c>
      <c r="J172">
        <v>13.4</v>
      </c>
      <c r="K172">
        <v>1</v>
      </c>
      <c r="L172">
        <v>3.49</v>
      </c>
      <c r="M172">
        <v>1.99</v>
      </c>
      <c r="N172">
        <v>19.88</v>
      </c>
      <c r="O172">
        <v>6.71</v>
      </c>
      <c r="P172">
        <v>31.55</v>
      </c>
      <c r="Q172" s="4">
        <v>0.25235999999999997</v>
      </c>
      <c r="R172" t="s">
        <v>407</v>
      </c>
    </row>
    <row r="173" spans="1:18">
      <c r="A173" t="s">
        <v>408</v>
      </c>
      <c r="B173" t="s">
        <v>132</v>
      </c>
      <c r="C173" t="s">
        <v>45</v>
      </c>
      <c r="D173" t="s">
        <v>46</v>
      </c>
      <c r="E173" t="s">
        <v>82</v>
      </c>
      <c r="F173" t="s">
        <v>97</v>
      </c>
      <c r="G173">
        <v>1</v>
      </c>
      <c r="H173">
        <v>167</v>
      </c>
      <c r="I173">
        <v>35.53</v>
      </c>
      <c r="J173">
        <v>20.100000000000001</v>
      </c>
      <c r="K173">
        <v>1</v>
      </c>
      <c r="L173">
        <v>4.59</v>
      </c>
      <c r="M173">
        <v>2.66</v>
      </c>
      <c r="N173">
        <v>28.35</v>
      </c>
      <c r="O173">
        <v>7.18</v>
      </c>
      <c r="P173">
        <v>33.75</v>
      </c>
      <c r="Q173" s="4">
        <v>0.20208000000000001</v>
      </c>
      <c r="R173" t="s">
        <v>409</v>
      </c>
    </row>
    <row r="174" spans="1:18">
      <c r="A174" t="s">
        <v>410</v>
      </c>
      <c r="B174" t="s">
        <v>132</v>
      </c>
      <c r="C174" t="s">
        <v>43</v>
      </c>
      <c r="D174" t="s">
        <v>44</v>
      </c>
      <c r="E174" t="s">
        <v>82</v>
      </c>
      <c r="F174" t="s">
        <v>86</v>
      </c>
      <c r="G174">
        <v>1</v>
      </c>
      <c r="H174">
        <v>245</v>
      </c>
      <c r="I174">
        <v>52.13</v>
      </c>
      <c r="J174">
        <v>13.4</v>
      </c>
      <c r="K174">
        <v>1</v>
      </c>
      <c r="L174">
        <v>6.63</v>
      </c>
      <c r="M174">
        <v>3.9</v>
      </c>
      <c r="N174">
        <v>24.93</v>
      </c>
      <c r="O174">
        <v>27.19</v>
      </c>
      <c r="P174">
        <v>127.81</v>
      </c>
      <c r="Q174" s="4">
        <v>0.52166999999999997</v>
      </c>
      <c r="R174" t="s">
        <v>411</v>
      </c>
    </row>
    <row r="175" spans="1:18">
      <c r="A175" t="s">
        <v>410</v>
      </c>
      <c r="B175" t="s">
        <v>132</v>
      </c>
      <c r="C175" t="s">
        <v>54</v>
      </c>
      <c r="D175" t="s">
        <v>44</v>
      </c>
      <c r="E175" t="s">
        <v>82</v>
      </c>
      <c r="F175" t="s">
        <v>164</v>
      </c>
      <c r="G175">
        <v>1</v>
      </c>
      <c r="H175">
        <v>245</v>
      </c>
      <c r="I175">
        <v>52.13</v>
      </c>
      <c r="J175">
        <v>13.4</v>
      </c>
      <c r="K175">
        <v>1</v>
      </c>
      <c r="L175">
        <v>6.63</v>
      </c>
      <c r="M175">
        <v>3.9</v>
      </c>
      <c r="N175">
        <v>24.93</v>
      </c>
      <c r="O175">
        <v>27.19</v>
      </c>
      <c r="P175">
        <v>127.81</v>
      </c>
      <c r="Q175" s="4">
        <v>0.52166999999999997</v>
      </c>
      <c r="R175" t="s">
        <v>411</v>
      </c>
    </row>
    <row r="176" spans="1:18">
      <c r="A176" t="s">
        <v>412</v>
      </c>
      <c r="B176" t="s">
        <v>132</v>
      </c>
      <c r="C176" t="s">
        <v>39</v>
      </c>
      <c r="D176" t="s">
        <v>40</v>
      </c>
      <c r="E176" t="s">
        <v>82</v>
      </c>
      <c r="F176" t="s">
        <v>83</v>
      </c>
      <c r="G176">
        <v>1</v>
      </c>
      <c r="H176">
        <v>87</v>
      </c>
      <c r="I176">
        <v>18.510000000000002</v>
      </c>
      <c r="J176">
        <v>6.7</v>
      </c>
      <c r="K176">
        <v>1</v>
      </c>
      <c r="L176">
        <v>2.5</v>
      </c>
      <c r="M176">
        <v>1.39</v>
      </c>
      <c r="N176">
        <v>11.58</v>
      </c>
      <c r="O176">
        <v>6.93</v>
      </c>
      <c r="P176">
        <v>32.549999999999997</v>
      </c>
      <c r="Q176" s="4">
        <v>0.37414999999999998</v>
      </c>
      <c r="R176" t="s">
        <v>413</v>
      </c>
    </row>
    <row r="177" spans="1:18">
      <c r="A177" t="s">
        <v>414</v>
      </c>
      <c r="B177" t="s">
        <v>132</v>
      </c>
      <c r="C177" t="s">
        <v>41</v>
      </c>
      <c r="D177" t="s">
        <v>42</v>
      </c>
      <c r="E177" t="s">
        <v>122</v>
      </c>
      <c r="F177" t="s">
        <v>123</v>
      </c>
      <c r="G177">
        <v>1</v>
      </c>
      <c r="H177">
        <v>85</v>
      </c>
      <c r="I177">
        <v>18.09</v>
      </c>
      <c r="J177">
        <v>10.73</v>
      </c>
      <c r="K177">
        <v>1</v>
      </c>
      <c r="L177">
        <v>2.4500000000000002</v>
      </c>
      <c r="M177">
        <v>1.35</v>
      </c>
      <c r="N177">
        <v>15.53</v>
      </c>
      <c r="O177">
        <v>2.56</v>
      </c>
      <c r="P177">
        <v>12.02</v>
      </c>
      <c r="Q177" s="4">
        <v>0.14143</v>
      </c>
      <c r="R177" t="s">
        <v>415</v>
      </c>
    </row>
    <row r="178" spans="1:18">
      <c r="A178" t="s">
        <v>416</v>
      </c>
      <c r="B178" t="s">
        <v>107</v>
      </c>
      <c r="C178" t="s">
        <v>41</v>
      </c>
      <c r="D178" t="s">
        <v>42</v>
      </c>
      <c r="E178" t="s">
        <v>122</v>
      </c>
      <c r="F178" t="s">
        <v>123</v>
      </c>
      <c r="G178">
        <v>1</v>
      </c>
      <c r="H178">
        <v>100</v>
      </c>
      <c r="I178">
        <v>21.28</v>
      </c>
      <c r="J178">
        <v>10.73</v>
      </c>
      <c r="K178">
        <v>1</v>
      </c>
      <c r="L178">
        <v>2.84</v>
      </c>
      <c r="M178">
        <v>1.59</v>
      </c>
      <c r="N178">
        <v>16.16</v>
      </c>
      <c r="O178">
        <v>5.12</v>
      </c>
      <c r="P178">
        <v>24.05</v>
      </c>
      <c r="Q178" s="4">
        <v>0.24055000000000001</v>
      </c>
      <c r="R178" t="s">
        <v>417</v>
      </c>
    </row>
    <row r="179" spans="1:18">
      <c r="A179" t="s">
        <v>418</v>
      </c>
      <c r="B179" t="s">
        <v>132</v>
      </c>
      <c r="C179" t="s">
        <v>41</v>
      </c>
      <c r="D179" t="s">
        <v>42</v>
      </c>
      <c r="E179" t="s">
        <v>122</v>
      </c>
      <c r="F179" t="s">
        <v>123</v>
      </c>
      <c r="G179">
        <v>1</v>
      </c>
      <c r="H179">
        <v>64.400000000000006</v>
      </c>
      <c r="I179">
        <v>13.7</v>
      </c>
      <c r="J179">
        <v>10.73</v>
      </c>
      <c r="K179">
        <v>1</v>
      </c>
      <c r="L179">
        <v>1.91</v>
      </c>
      <c r="M179">
        <v>1.03</v>
      </c>
      <c r="N179">
        <v>14.66</v>
      </c>
      <c r="O179">
        <v>-0.96</v>
      </c>
      <c r="P179">
        <v>-4.5</v>
      </c>
      <c r="Q179" s="4">
        <v>-6.9930000000000006E-2</v>
      </c>
      <c r="R179" t="s">
        <v>419</v>
      </c>
    </row>
    <row r="180" spans="1:18">
      <c r="A180" t="s">
        <v>420</v>
      </c>
      <c r="B180" t="s">
        <v>132</v>
      </c>
      <c r="C180" t="s">
        <v>50</v>
      </c>
      <c r="D180" t="s">
        <v>51</v>
      </c>
      <c r="E180" t="s">
        <v>82</v>
      </c>
      <c r="F180" t="s">
        <v>92</v>
      </c>
      <c r="G180">
        <v>1</v>
      </c>
      <c r="H180">
        <v>65</v>
      </c>
      <c r="I180">
        <v>13.83</v>
      </c>
      <c r="J180">
        <v>3.35</v>
      </c>
      <c r="K180">
        <v>1</v>
      </c>
      <c r="L180">
        <v>1.92</v>
      </c>
      <c r="M180">
        <v>1.04</v>
      </c>
      <c r="N180">
        <v>7.31</v>
      </c>
      <c r="O180">
        <v>6.52</v>
      </c>
      <c r="P180">
        <v>30.65</v>
      </c>
      <c r="Q180" s="4">
        <v>0.47150999999999998</v>
      </c>
      <c r="R180" t="s">
        <v>421</v>
      </c>
    </row>
    <row r="181" spans="1:18">
      <c r="A181" t="s">
        <v>422</v>
      </c>
      <c r="B181" t="s">
        <v>132</v>
      </c>
      <c r="C181" t="s">
        <v>48</v>
      </c>
      <c r="D181" t="s">
        <v>49</v>
      </c>
      <c r="E181" t="s">
        <v>82</v>
      </c>
      <c r="F181" t="s">
        <v>102</v>
      </c>
      <c r="G181">
        <v>1</v>
      </c>
      <c r="H181">
        <v>65</v>
      </c>
      <c r="I181">
        <v>13.83</v>
      </c>
      <c r="J181">
        <v>3.35</v>
      </c>
      <c r="K181">
        <v>1</v>
      </c>
      <c r="L181">
        <v>1.92</v>
      </c>
      <c r="M181">
        <v>1.04</v>
      </c>
      <c r="N181">
        <v>7.31</v>
      </c>
      <c r="O181">
        <v>6.52</v>
      </c>
      <c r="P181">
        <v>30.65</v>
      </c>
      <c r="Q181" s="4">
        <v>0.47150999999999998</v>
      </c>
      <c r="R181" t="s">
        <v>423</v>
      </c>
    </row>
    <row r="182" spans="1:18">
      <c r="A182" t="s">
        <v>424</v>
      </c>
      <c r="B182" t="s">
        <v>132</v>
      </c>
      <c r="C182" t="s">
        <v>41</v>
      </c>
      <c r="D182" t="s">
        <v>42</v>
      </c>
      <c r="E182" t="s">
        <v>122</v>
      </c>
      <c r="F182" t="s">
        <v>123</v>
      </c>
      <c r="G182">
        <v>1</v>
      </c>
      <c r="H182">
        <v>70</v>
      </c>
      <c r="I182">
        <v>14.89</v>
      </c>
      <c r="J182">
        <v>10.73</v>
      </c>
      <c r="K182">
        <v>1</v>
      </c>
      <c r="L182">
        <v>2.0499999999999998</v>
      </c>
      <c r="M182">
        <v>1.1200000000000001</v>
      </c>
      <c r="N182">
        <v>14.9</v>
      </c>
      <c r="O182">
        <v>0</v>
      </c>
      <c r="P182">
        <v>-0.01</v>
      </c>
      <c r="Q182" s="4">
        <v>-1.6000000000000001E-4</v>
      </c>
      <c r="R182" t="s">
        <v>425</v>
      </c>
    </row>
    <row r="183" spans="1:18">
      <c r="A183" t="s">
        <v>426</v>
      </c>
      <c r="B183" t="s">
        <v>132</v>
      </c>
      <c r="C183" t="s">
        <v>48</v>
      </c>
      <c r="D183" t="s">
        <v>49</v>
      </c>
      <c r="E183" t="s">
        <v>82</v>
      </c>
      <c r="F183" t="s">
        <v>102</v>
      </c>
      <c r="G183">
        <v>1</v>
      </c>
      <c r="H183">
        <v>47</v>
      </c>
      <c r="I183">
        <v>10</v>
      </c>
      <c r="J183">
        <v>3.35</v>
      </c>
      <c r="K183">
        <v>1</v>
      </c>
      <c r="L183">
        <v>1.45</v>
      </c>
      <c r="M183">
        <v>0.75</v>
      </c>
      <c r="N183">
        <v>6.55</v>
      </c>
      <c r="O183">
        <v>3.45</v>
      </c>
      <c r="P183">
        <v>16.21</v>
      </c>
      <c r="Q183" s="4">
        <v>0.34486</v>
      </c>
      <c r="R183" t="s">
        <v>427</v>
      </c>
    </row>
    <row r="184" spans="1:18">
      <c r="A184" t="s">
        <v>428</v>
      </c>
      <c r="B184" t="s">
        <v>132</v>
      </c>
      <c r="C184" t="s">
        <v>41</v>
      </c>
      <c r="D184" t="s">
        <v>42</v>
      </c>
      <c r="E184" t="s">
        <v>122</v>
      </c>
      <c r="F184" t="s">
        <v>123</v>
      </c>
      <c r="G184">
        <v>1</v>
      </c>
      <c r="H184">
        <v>85</v>
      </c>
      <c r="I184">
        <v>18.09</v>
      </c>
      <c r="J184">
        <v>10.73</v>
      </c>
      <c r="K184">
        <v>1</v>
      </c>
      <c r="L184">
        <v>2.4500000000000002</v>
      </c>
      <c r="M184">
        <v>1.35</v>
      </c>
      <c r="N184">
        <v>15.53</v>
      </c>
      <c r="O184">
        <v>2.56</v>
      </c>
      <c r="P184">
        <v>12.02</v>
      </c>
      <c r="Q184" s="4">
        <v>0.14143</v>
      </c>
      <c r="R184" t="s">
        <v>429</v>
      </c>
    </row>
    <row r="185" spans="1:18">
      <c r="A185" t="s">
        <v>430</v>
      </c>
      <c r="B185" t="s">
        <v>132</v>
      </c>
      <c r="C185" t="s">
        <v>41</v>
      </c>
      <c r="D185" t="s">
        <v>42</v>
      </c>
      <c r="E185" t="s">
        <v>122</v>
      </c>
      <c r="F185" t="s">
        <v>123</v>
      </c>
      <c r="G185">
        <v>1</v>
      </c>
      <c r="H185">
        <v>89.25</v>
      </c>
      <c r="I185">
        <v>18.989999999999998</v>
      </c>
      <c r="J185">
        <v>10.73</v>
      </c>
      <c r="K185">
        <v>1</v>
      </c>
      <c r="L185">
        <v>2.56</v>
      </c>
      <c r="M185">
        <v>1.42</v>
      </c>
      <c r="N185">
        <v>15.71</v>
      </c>
      <c r="O185">
        <v>3.28</v>
      </c>
      <c r="P185">
        <v>15.43</v>
      </c>
      <c r="Q185" s="4">
        <v>0.1729</v>
      </c>
      <c r="R185" t="s">
        <v>431</v>
      </c>
    </row>
    <row r="186" spans="1:18">
      <c r="A186" t="s">
        <v>432</v>
      </c>
      <c r="B186" t="s">
        <v>132</v>
      </c>
      <c r="C186" t="s">
        <v>52</v>
      </c>
      <c r="D186" t="s">
        <v>53</v>
      </c>
      <c r="E186" t="s">
        <v>133</v>
      </c>
      <c r="F186" t="s">
        <v>145</v>
      </c>
      <c r="G186">
        <v>1</v>
      </c>
      <c r="H186">
        <v>348.9</v>
      </c>
      <c r="I186">
        <v>74.23</v>
      </c>
      <c r="J186">
        <v>45.5</v>
      </c>
      <c r="K186">
        <v>2</v>
      </c>
      <c r="L186">
        <v>9.35</v>
      </c>
      <c r="M186">
        <v>5.56</v>
      </c>
      <c r="N186">
        <v>62.41</v>
      </c>
      <c r="O186">
        <v>11.83</v>
      </c>
      <c r="P186">
        <v>55.59</v>
      </c>
      <c r="Q186" s="4">
        <v>0.15934000000000001</v>
      </c>
      <c r="R186" t="s">
        <v>433</v>
      </c>
    </row>
    <row r="187" spans="1:18">
      <c r="A187" t="s">
        <v>434</v>
      </c>
      <c r="B187" t="s">
        <v>132</v>
      </c>
      <c r="C187" t="s">
        <v>41</v>
      </c>
      <c r="D187" t="s">
        <v>42</v>
      </c>
      <c r="E187" t="s">
        <v>122</v>
      </c>
      <c r="F187" t="s">
        <v>123</v>
      </c>
      <c r="G187">
        <v>1</v>
      </c>
      <c r="H187">
        <v>140</v>
      </c>
      <c r="I187">
        <v>29.79</v>
      </c>
      <c r="J187">
        <v>10.73</v>
      </c>
      <c r="K187">
        <v>1</v>
      </c>
      <c r="L187">
        <v>3.88</v>
      </c>
      <c r="M187">
        <v>2.23</v>
      </c>
      <c r="N187">
        <v>17.84</v>
      </c>
      <c r="O187">
        <v>11.95</v>
      </c>
      <c r="P187">
        <v>56.14</v>
      </c>
      <c r="Q187" s="4">
        <v>0.40101999999999999</v>
      </c>
      <c r="R187" t="s">
        <v>435</v>
      </c>
    </row>
    <row r="188" spans="1:18">
      <c r="A188" t="s">
        <v>436</v>
      </c>
      <c r="B188" t="s">
        <v>132</v>
      </c>
      <c r="C188" t="s">
        <v>41</v>
      </c>
      <c r="D188" t="s">
        <v>42</v>
      </c>
      <c r="E188" t="s">
        <v>122</v>
      </c>
      <c r="F188" t="s">
        <v>123</v>
      </c>
      <c r="G188">
        <v>1</v>
      </c>
      <c r="H188">
        <v>70</v>
      </c>
      <c r="I188">
        <v>14.89</v>
      </c>
      <c r="J188">
        <v>10.73</v>
      </c>
      <c r="K188">
        <v>1</v>
      </c>
      <c r="L188">
        <v>2.0499999999999998</v>
      </c>
      <c r="M188">
        <v>1.1200000000000001</v>
      </c>
      <c r="N188">
        <v>14.9</v>
      </c>
      <c r="O188">
        <v>0</v>
      </c>
      <c r="P188">
        <v>-0.01</v>
      </c>
      <c r="Q188" s="4">
        <v>-1.6000000000000001E-4</v>
      </c>
      <c r="R188" t="s">
        <v>437</v>
      </c>
    </row>
    <row r="189" spans="1:18">
      <c r="A189" t="s">
        <v>438</v>
      </c>
      <c r="B189" t="s">
        <v>132</v>
      </c>
      <c r="C189" t="s">
        <v>41</v>
      </c>
      <c r="D189" t="s">
        <v>42</v>
      </c>
      <c r="E189" t="s">
        <v>122</v>
      </c>
      <c r="F189" t="s">
        <v>123</v>
      </c>
      <c r="G189">
        <v>1</v>
      </c>
      <c r="H189">
        <v>129</v>
      </c>
      <c r="I189">
        <v>27.45</v>
      </c>
      <c r="J189">
        <v>10.73</v>
      </c>
      <c r="K189">
        <v>1</v>
      </c>
      <c r="L189">
        <v>3.6</v>
      </c>
      <c r="M189">
        <v>2.06</v>
      </c>
      <c r="N189">
        <v>17.38</v>
      </c>
      <c r="O189">
        <v>10.07</v>
      </c>
      <c r="P189">
        <v>47.32</v>
      </c>
      <c r="Q189" s="4">
        <v>0.36681000000000002</v>
      </c>
      <c r="R189" t="s">
        <v>439</v>
      </c>
    </row>
    <row r="190" spans="1:18">
      <c r="A190" t="s">
        <v>440</v>
      </c>
      <c r="B190" t="s">
        <v>132</v>
      </c>
      <c r="C190" t="s">
        <v>41</v>
      </c>
      <c r="D190" t="s">
        <v>42</v>
      </c>
      <c r="E190" t="s">
        <v>122</v>
      </c>
      <c r="F190" t="s">
        <v>123</v>
      </c>
      <c r="G190">
        <v>1</v>
      </c>
      <c r="H190">
        <v>100</v>
      </c>
      <c r="I190">
        <v>21.28</v>
      </c>
      <c r="J190">
        <v>10.73</v>
      </c>
      <c r="K190">
        <v>1</v>
      </c>
      <c r="L190">
        <v>2.84</v>
      </c>
      <c r="M190">
        <v>1.59</v>
      </c>
      <c r="N190">
        <v>16.16</v>
      </c>
      <c r="O190">
        <v>5.12</v>
      </c>
      <c r="P190">
        <v>24.05</v>
      </c>
      <c r="Q190" s="4">
        <v>0.24055000000000001</v>
      </c>
      <c r="R190" t="s">
        <v>441</v>
      </c>
    </row>
    <row r="191" spans="1:18">
      <c r="A191" t="s">
        <v>442</v>
      </c>
      <c r="B191" t="s">
        <v>132</v>
      </c>
      <c r="C191" t="s">
        <v>56</v>
      </c>
      <c r="D191" t="s">
        <v>57</v>
      </c>
      <c r="E191" t="s">
        <v>133</v>
      </c>
      <c r="F191" t="s">
        <v>134</v>
      </c>
      <c r="G191">
        <v>1</v>
      </c>
      <c r="H191">
        <v>355</v>
      </c>
      <c r="I191">
        <v>75.53</v>
      </c>
      <c r="J191">
        <v>40.25</v>
      </c>
      <c r="K191">
        <v>2</v>
      </c>
      <c r="L191">
        <v>9.51</v>
      </c>
      <c r="M191">
        <v>5.66</v>
      </c>
      <c r="N191">
        <v>57.42</v>
      </c>
      <c r="O191">
        <v>18.11</v>
      </c>
      <c r="P191">
        <v>85.14</v>
      </c>
      <c r="Q191" s="4">
        <v>0.23982999999999999</v>
      </c>
      <c r="R191" t="s">
        <v>443</v>
      </c>
    </row>
    <row r="192" spans="1:18">
      <c r="A192" t="s">
        <v>444</v>
      </c>
      <c r="B192" t="s">
        <v>132</v>
      </c>
      <c r="C192" t="s">
        <v>41</v>
      </c>
      <c r="D192" t="s">
        <v>42</v>
      </c>
      <c r="E192" t="s">
        <v>122</v>
      </c>
      <c r="F192" t="s">
        <v>123</v>
      </c>
      <c r="G192">
        <v>1</v>
      </c>
      <c r="H192">
        <v>100</v>
      </c>
      <c r="I192">
        <v>21.28</v>
      </c>
      <c r="J192">
        <v>10.73</v>
      </c>
      <c r="K192">
        <v>1</v>
      </c>
      <c r="L192">
        <v>2.84</v>
      </c>
      <c r="M192">
        <v>1.59</v>
      </c>
      <c r="N192">
        <v>16.16</v>
      </c>
      <c r="O192">
        <v>5.12</v>
      </c>
      <c r="P192">
        <v>24.05</v>
      </c>
      <c r="Q192" s="4">
        <v>0.24055000000000001</v>
      </c>
      <c r="R192" t="s">
        <v>445</v>
      </c>
    </row>
    <row r="193" spans="1:18">
      <c r="A193" t="s">
        <v>446</v>
      </c>
      <c r="B193" t="s">
        <v>132</v>
      </c>
      <c r="C193" t="s">
        <v>41</v>
      </c>
      <c r="D193" t="s">
        <v>42</v>
      </c>
      <c r="E193" t="s">
        <v>122</v>
      </c>
      <c r="F193" t="s">
        <v>123</v>
      </c>
      <c r="G193">
        <v>1</v>
      </c>
      <c r="H193">
        <v>100</v>
      </c>
      <c r="I193">
        <v>21.28</v>
      </c>
      <c r="J193">
        <v>10.73</v>
      </c>
      <c r="K193">
        <v>1</v>
      </c>
      <c r="L193">
        <v>2.84</v>
      </c>
      <c r="M193">
        <v>1.59</v>
      </c>
      <c r="N193">
        <v>16.16</v>
      </c>
      <c r="O193">
        <v>5.12</v>
      </c>
      <c r="P193">
        <v>24.05</v>
      </c>
      <c r="Q193" s="4">
        <v>0.24055000000000001</v>
      </c>
      <c r="R193" t="s">
        <v>447</v>
      </c>
    </row>
    <row r="194" spans="1:18">
      <c r="A194" t="s">
        <v>448</v>
      </c>
      <c r="B194" t="s">
        <v>107</v>
      </c>
      <c r="C194" t="s">
        <v>41</v>
      </c>
      <c r="D194" t="s">
        <v>42</v>
      </c>
      <c r="E194" t="s">
        <v>122</v>
      </c>
      <c r="F194" t="s">
        <v>123</v>
      </c>
      <c r="G194">
        <v>1</v>
      </c>
      <c r="H194">
        <v>75</v>
      </c>
      <c r="I194">
        <v>15.96</v>
      </c>
      <c r="J194">
        <v>10.73</v>
      </c>
      <c r="K194">
        <v>1</v>
      </c>
      <c r="L194">
        <v>2.1800000000000002</v>
      </c>
      <c r="M194">
        <v>1.2</v>
      </c>
      <c r="N194">
        <v>15.11</v>
      </c>
      <c r="O194">
        <v>0.85</v>
      </c>
      <c r="P194">
        <v>4</v>
      </c>
      <c r="Q194" s="4">
        <v>5.3330000000000002E-2</v>
      </c>
      <c r="R194" t="s">
        <v>449</v>
      </c>
    </row>
    <row r="195" spans="1:18">
      <c r="A195" t="s">
        <v>450</v>
      </c>
      <c r="B195" t="s">
        <v>132</v>
      </c>
      <c r="C195" t="s">
        <v>41</v>
      </c>
      <c r="D195" t="s">
        <v>42</v>
      </c>
      <c r="E195" t="s">
        <v>122</v>
      </c>
      <c r="F195" t="s">
        <v>123</v>
      </c>
      <c r="G195">
        <v>1</v>
      </c>
      <c r="H195">
        <v>100</v>
      </c>
      <c r="I195">
        <v>21.28</v>
      </c>
      <c r="J195">
        <v>10.73</v>
      </c>
      <c r="K195">
        <v>1</v>
      </c>
      <c r="L195">
        <v>2.84</v>
      </c>
      <c r="M195">
        <v>1.59</v>
      </c>
      <c r="N195">
        <v>16.16</v>
      </c>
      <c r="O195">
        <v>5.12</v>
      </c>
      <c r="P195">
        <v>24.05</v>
      </c>
      <c r="Q195" s="4">
        <v>0.24055000000000001</v>
      </c>
      <c r="R195" t="s">
        <v>451</v>
      </c>
    </row>
    <row r="196" spans="1:18">
      <c r="A196" t="s">
        <v>452</v>
      </c>
      <c r="B196" t="s">
        <v>107</v>
      </c>
      <c r="C196" t="s">
        <v>41</v>
      </c>
      <c r="D196" t="s">
        <v>42</v>
      </c>
      <c r="E196" t="s">
        <v>122</v>
      </c>
      <c r="F196" t="s">
        <v>123</v>
      </c>
      <c r="G196">
        <v>1</v>
      </c>
      <c r="H196">
        <v>75</v>
      </c>
      <c r="I196">
        <v>15.96</v>
      </c>
      <c r="J196">
        <v>10.73</v>
      </c>
      <c r="K196">
        <v>1</v>
      </c>
      <c r="L196">
        <v>2.1800000000000002</v>
      </c>
      <c r="M196">
        <v>1.2</v>
      </c>
      <c r="N196">
        <v>15.11</v>
      </c>
      <c r="O196">
        <v>0.85</v>
      </c>
      <c r="P196">
        <v>4</v>
      </c>
      <c r="Q196" s="4">
        <v>5.3330000000000002E-2</v>
      </c>
      <c r="R196" t="s">
        <v>453</v>
      </c>
    </row>
    <row r="197" spans="1:18">
      <c r="A197" t="s">
        <v>454</v>
      </c>
      <c r="B197" t="s">
        <v>132</v>
      </c>
      <c r="C197" t="s">
        <v>52</v>
      </c>
      <c r="D197" t="s">
        <v>53</v>
      </c>
      <c r="E197" t="s">
        <v>133</v>
      </c>
      <c r="F197" t="s">
        <v>145</v>
      </c>
      <c r="G197">
        <v>1</v>
      </c>
      <c r="H197">
        <v>720</v>
      </c>
      <c r="I197">
        <v>153.19</v>
      </c>
      <c r="J197">
        <v>45.5</v>
      </c>
      <c r="K197">
        <v>2</v>
      </c>
      <c r="L197">
        <v>19.05</v>
      </c>
      <c r="M197">
        <v>11.47</v>
      </c>
      <c r="N197">
        <v>78.02</v>
      </c>
      <c r="O197">
        <v>75.17</v>
      </c>
      <c r="P197">
        <v>353.29</v>
      </c>
      <c r="Q197" s="4">
        <v>0.49068000000000001</v>
      </c>
      <c r="R197" t="s">
        <v>455</v>
      </c>
    </row>
    <row r="198" spans="1:18">
      <c r="A198" t="s">
        <v>454</v>
      </c>
      <c r="B198" t="s">
        <v>132</v>
      </c>
      <c r="C198" t="s">
        <v>56</v>
      </c>
      <c r="D198" t="s">
        <v>57</v>
      </c>
      <c r="E198" t="s">
        <v>133</v>
      </c>
      <c r="F198" t="s">
        <v>134</v>
      </c>
      <c r="G198">
        <v>1</v>
      </c>
      <c r="H198">
        <v>720</v>
      </c>
      <c r="I198">
        <v>153.19</v>
      </c>
      <c r="J198">
        <v>40.25</v>
      </c>
      <c r="K198">
        <v>2</v>
      </c>
      <c r="L198">
        <v>19.05</v>
      </c>
      <c r="M198">
        <v>11.47</v>
      </c>
      <c r="N198">
        <v>72.78</v>
      </c>
      <c r="O198">
        <v>80.41</v>
      </c>
      <c r="P198">
        <v>377.94</v>
      </c>
      <c r="Q198" s="4">
        <v>0.52492000000000005</v>
      </c>
      <c r="R198" t="s">
        <v>455</v>
      </c>
    </row>
    <row r="199" spans="1:18">
      <c r="A199" t="s">
        <v>456</v>
      </c>
      <c r="B199" t="s">
        <v>132</v>
      </c>
      <c r="C199" t="s">
        <v>41</v>
      </c>
      <c r="D199" t="s">
        <v>42</v>
      </c>
      <c r="E199" t="s">
        <v>122</v>
      </c>
      <c r="F199" t="s">
        <v>123</v>
      </c>
      <c r="G199">
        <v>1</v>
      </c>
      <c r="H199">
        <v>100</v>
      </c>
      <c r="I199">
        <v>21.28</v>
      </c>
      <c r="J199">
        <v>10.73</v>
      </c>
      <c r="K199">
        <v>1</v>
      </c>
      <c r="L199">
        <v>2.84</v>
      </c>
      <c r="M199">
        <v>1.59</v>
      </c>
      <c r="N199">
        <v>16.16</v>
      </c>
      <c r="O199">
        <v>5.12</v>
      </c>
      <c r="P199">
        <v>24.05</v>
      </c>
      <c r="Q199" s="4">
        <v>0.24055000000000001</v>
      </c>
      <c r="R199" t="s">
        <v>457</v>
      </c>
    </row>
    <row r="200" spans="1:18">
      <c r="A200" t="s">
        <v>458</v>
      </c>
      <c r="B200" t="s">
        <v>132</v>
      </c>
      <c r="C200" t="s">
        <v>39</v>
      </c>
      <c r="D200" t="s">
        <v>40</v>
      </c>
      <c r="E200" t="s">
        <v>82</v>
      </c>
      <c r="F200" t="s">
        <v>83</v>
      </c>
      <c r="G200">
        <v>1</v>
      </c>
      <c r="H200">
        <v>69</v>
      </c>
      <c r="I200">
        <v>14.68</v>
      </c>
      <c r="J200">
        <v>6.7</v>
      </c>
      <c r="K200">
        <v>1</v>
      </c>
      <c r="L200">
        <v>2.0299999999999998</v>
      </c>
      <c r="M200">
        <v>1.1000000000000001</v>
      </c>
      <c r="N200">
        <v>10.83</v>
      </c>
      <c r="O200">
        <v>3.85</v>
      </c>
      <c r="P200">
        <v>18.11</v>
      </c>
      <c r="Q200" s="4">
        <v>0.26249</v>
      </c>
      <c r="R200" t="s">
        <v>459</v>
      </c>
    </row>
    <row r="201" spans="1:18">
      <c r="A201" t="s">
        <v>460</v>
      </c>
      <c r="B201" t="s">
        <v>132</v>
      </c>
      <c r="C201" t="s">
        <v>43</v>
      </c>
      <c r="D201" t="s">
        <v>44</v>
      </c>
      <c r="E201" t="s">
        <v>82</v>
      </c>
      <c r="F201" t="s">
        <v>86</v>
      </c>
      <c r="G201">
        <v>1</v>
      </c>
      <c r="H201">
        <v>120</v>
      </c>
      <c r="I201">
        <v>25.53</v>
      </c>
      <c r="J201">
        <v>13.4</v>
      </c>
      <c r="K201">
        <v>1</v>
      </c>
      <c r="L201">
        <v>3.36</v>
      </c>
      <c r="M201">
        <v>1.91</v>
      </c>
      <c r="N201">
        <v>19.670000000000002</v>
      </c>
      <c r="O201">
        <v>5.86</v>
      </c>
      <c r="P201">
        <v>27.53</v>
      </c>
      <c r="Q201" s="4">
        <v>0.22944999999999999</v>
      </c>
      <c r="R201" t="s">
        <v>461</v>
      </c>
    </row>
    <row r="202" spans="1:18">
      <c r="A202" t="s">
        <v>462</v>
      </c>
      <c r="B202" t="s">
        <v>132</v>
      </c>
      <c r="C202" t="s">
        <v>41</v>
      </c>
      <c r="D202" t="s">
        <v>42</v>
      </c>
      <c r="E202" t="s">
        <v>122</v>
      </c>
      <c r="F202" t="s">
        <v>123</v>
      </c>
      <c r="G202">
        <v>1</v>
      </c>
      <c r="H202">
        <v>100</v>
      </c>
      <c r="I202">
        <v>21.28</v>
      </c>
      <c r="J202">
        <v>10.73</v>
      </c>
      <c r="K202">
        <v>1</v>
      </c>
      <c r="L202">
        <v>2.84</v>
      </c>
      <c r="M202">
        <v>1.59</v>
      </c>
      <c r="N202">
        <v>16.16</v>
      </c>
      <c r="O202">
        <v>5.12</v>
      </c>
      <c r="P202">
        <v>24.05</v>
      </c>
      <c r="Q202" s="4">
        <v>0.24055000000000001</v>
      </c>
      <c r="R202" t="s">
        <v>463</v>
      </c>
    </row>
    <row r="203" spans="1:18">
      <c r="A203" t="s">
        <v>464</v>
      </c>
      <c r="B203" t="s">
        <v>132</v>
      </c>
      <c r="C203" t="s">
        <v>43</v>
      </c>
      <c r="D203" t="s">
        <v>44</v>
      </c>
      <c r="E203" t="s">
        <v>82</v>
      </c>
      <c r="F203" t="s">
        <v>86</v>
      </c>
      <c r="G203">
        <v>1</v>
      </c>
      <c r="H203">
        <v>81.25</v>
      </c>
      <c r="I203">
        <v>17.29</v>
      </c>
      <c r="J203">
        <v>13.4</v>
      </c>
      <c r="K203">
        <v>1</v>
      </c>
      <c r="L203">
        <v>2.35</v>
      </c>
      <c r="M203">
        <v>1.29</v>
      </c>
      <c r="N203">
        <v>18.04</v>
      </c>
      <c r="O203">
        <v>-0.76</v>
      </c>
      <c r="P203">
        <v>-3.55</v>
      </c>
      <c r="Q203" s="4">
        <v>-4.3709999999999999E-2</v>
      </c>
      <c r="R203" t="s">
        <v>465</v>
      </c>
    </row>
    <row r="204" spans="1:18">
      <c r="A204" t="s">
        <v>466</v>
      </c>
      <c r="B204" t="s">
        <v>132</v>
      </c>
      <c r="C204" t="s">
        <v>45</v>
      </c>
      <c r="D204" t="s">
        <v>46</v>
      </c>
      <c r="E204" t="s">
        <v>82</v>
      </c>
      <c r="F204" t="s">
        <v>97</v>
      </c>
      <c r="G204">
        <v>1</v>
      </c>
      <c r="H204">
        <v>161</v>
      </c>
      <c r="I204">
        <v>34.26</v>
      </c>
      <c r="J204">
        <v>20.100000000000001</v>
      </c>
      <c r="K204">
        <v>1</v>
      </c>
      <c r="L204">
        <v>4.43</v>
      </c>
      <c r="M204">
        <v>2.57</v>
      </c>
      <c r="N204">
        <v>28.1</v>
      </c>
      <c r="O204">
        <v>6.16</v>
      </c>
      <c r="P204">
        <v>28.93</v>
      </c>
      <c r="Q204" s="4">
        <v>0.17971999999999999</v>
      </c>
      <c r="R204" t="s">
        <v>467</v>
      </c>
    </row>
    <row r="205" spans="1:18">
      <c r="A205" t="s">
        <v>468</v>
      </c>
      <c r="B205" t="s">
        <v>132</v>
      </c>
      <c r="C205" t="s">
        <v>43</v>
      </c>
      <c r="D205" t="s">
        <v>44</v>
      </c>
      <c r="E205" t="s">
        <v>82</v>
      </c>
      <c r="F205" t="s">
        <v>86</v>
      </c>
      <c r="G205">
        <v>1</v>
      </c>
      <c r="H205">
        <v>346</v>
      </c>
      <c r="I205">
        <v>73.62</v>
      </c>
      <c r="J205">
        <v>13.4</v>
      </c>
      <c r="K205">
        <v>1</v>
      </c>
      <c r="L205">
        <v>9.27</v>
      </c>
      <c r="M205">
        <v>5.51</v>
      </c>
      <c r="N205">
        <v>29.18</v>
      </c>
      <c r="O205">
        <v>44.43</v>
      </c>
      <c r="P205">
        <v>208.83</v>
      </c>
      <c r="Q205" s="4">
        <v>0.60355999999999999</v>
      </c>
      <c r="R205" t="s">
        <v>469</v>
      </c>
    </row>
    <row r="206" spans="1:18">
      <c r="A206" t="s">
        <v>468</v>
      </c>
      <c r="B206" t="s">
        <v>132</v>
      </c>
      <c r="C206" t="s">
        <v>54</v>
      </c>
      <c r="D206" t="s">
        <v>44</v>
      </c>
      <c r="E206" t="s">
        <v>82</v>
      </c>
      <c r="F206" t="s">
        <v>164</v>
      </c>
      <c r="G206">
        <v>1</v>
      </c>
      <c r="H206">
        <v>346</v>
      </c>
      <c r="I206">
        <v>73.62</v>
      </c>
      <c r="J206">
        <v>13.4</v>
      </c>
      <c r="K206">
        <v>1</v>
      </c>
      <c r="L206">
        <v>9.27</v>
      </c>
      <c r="M206">
        <v>5.51</v>
      </c>
      <c r="N206">
        <v>29.18</v>
      </c>
      <c r="O206">
        <v>44.43</v>
      </c>
      <c r="P206">
        <v>208.83</v>
      </c>
      <c r="Q206" s="4">
        <v>0.60355999999999999</v>
      </c>
      <c r="R206" t="s">
        <v>469</v>
      </c>
    </row>
    <row r="207" spans="1:18">
      <c r="A207" t="s">
        <v>468</v>
      </c>
      <c r="B207" t="s">
        <v>132</v>
      </c>
      <c r="C207" t="s">
        <v>58</v>
      </c>
      <c r="D207" t="s">
        <v>59</v>
      </c>
      <c r="E207" t="s">
        <v>154</v>
      </c>
      <c r="F207" t="s">
        <v>155</v>
      </c>
      <c r="G207">
        <v>1</v>
      </c>
      <c r="H207">
        <v>346</v>
      </c>
      <c r="I207">
        <v>73.62</v>
      </c>
      <c r="J207">
        <v>12.2</v>
      </c>
      <c r="K207">
        <v>0.5</v>
      </c>
      <c r="L207">
        <v>9.27</v>
      </c>
      <c r="M207">
        <v>5.51</v>
      </c>
      <c r="N207">
        <v>27.48</v>
      </c>
      <c r="O207">
        <v>46.13</v>
      </c>
      <c r="P207">
        <v>216.82</v>
      </c>
      <c r="Q207" s="4">
        <v>0.62665000000000004</v>
      </c>
      <c r="R207" t="s">
        <v>469</v>
      </c>
    </row>
    <row r="208" spans="1:18">
      <c r="A208" t="s">
        <v>470</v>
      </c>
      <c r="B208" t="s">
        <v>132</v>
      </c>
      <c r="C208" t="s">
        <v>52</v>
      </c>
      <c r="D208" t="s">
        <v>53</v>
      </c>
      <c r="E208" t="s">
        <v>133</v>
      </c>
      <c r="F208" t="s">
        <v>145</v>
      </c>
      <c r="G208">
        <v>1</v>
      </c>
      <c r="H208">
        <v>270</v>
      </c>
      <c r="I208">
        <v>57.45</v>
      </c>
      <c r="J208">
        <v>45.5</v>
      </c>
      <c r="K208">
        <v>2</v>
      </c>
      <c r="L208">
        <v>7.28</v>
      </c>
      <c r="M208">
        <v>4.3</v>
      </c>
      <c r="N208">
        <v>59.09</v>
      </c>
      <c r="O208">
        <v>-1.64</v>
      </c>
      <c r="P208">
        <v>-7.7</v>
      </c>
      <c r="Q208" s="4">
        <v>-2.852E-2</v>
      </c>
      <c r="R208" t="s">
        <v>471</v>
      </c>
    </row>
    <row r="209" spans="1:18">
      <c r="A209" t="s">
        <v>472</v>
      </c>
      <c r="B209" t="s">
        <v>132</v>
      </c>
      <c r="C209" t="s">
        <v>39</v>
      </c>
      <c r="D209" t="s">
        <v>40</v>
      </c>
      <c r="E209" t="s">
        <v>82</v>
      </c>
      <c r="F209" t="s">
        <v>83</v>
      </c>
      <c r="G209">
        <v>1</v>
      </c>
      <c r="H209">
        <v>69</v>
      </c>
      <c r="I209">
        <v>14.68</v>
      </c>
      <c r="J209">
        <v>6.7</v>
      </c>
      <c r="K209">
        <v>1</v>
      </c>
      <c r="L209">
        <v>2.0299999999999998</v>
      </c>
      <c r="M209">
        <v>1.1000000000000001</v>
      </c>
      <c r="N209">
        <v>10.83</v>
      </c>
      <c r="O209">
        <v>3.85</v>
      </c>
      <c r="P209">
        <v>18.11</v>
      </c>
      <c r="Q209" s="4">
        <v>0.26249</v>
      </c>
      <c r="R209" t="s">
        <v>473</v>
      </c>
    </row>
    <row r="210" spans="1:18">
      <c r="A210" t="s">
        <v>474</v>
      </c>
      <c r="B210" t="s">
        <v>132</v>
      </c>
      <c r="C210" t="s">
        <v>39</v>
      </c>
      <c r="D210" t="s">
        <v>40</v>
      </c>
      <c r="E210" t="s">
        <v>82</v>
      </c>
      <c r="F210" t="s">
        <v>83</v>
      </c>
      <c r="G210">
        <v>1</v>
      </c>
      <c r="H210">
        <v>58.65</v>
      </c>
      <c r="I210">
        <v>12.48</v>
      </c>
      <c r="J210">
        <v>6.7</v>
      </c>
      <c r="K210">
        <v>1</v>
      </c>
      <c r="L210">
        <v>1.76</v>
      </c>
      <c r="M210">
        <v>0.93</v>
      </c>
      <c r="N210">
        <v>10.39</v>
      </c>
      <c r="O210">
        <v>2.09</v>
      </c>
      <c r="P210">
        <v>9.81</v>
      </c>
      <c r="Q210" s="4">
        <v>0.16725000000000001</v>
      </c>
      <c r="R210" t="s">
        <v>475</v>
      </c>
    </row>
    <row r="211" spans="1:18">
      <c r="A211" t="s">
        <v>476</v>
      </c>
      <c r="B211" t="s">
        <v>132</v>
      </c>
      <c r="C211" t="s">
        <v>48</v>
      </c>
      <c r="D211" t="s">
        <v>49</v>
      </c>
      <c r="E211" t="s">
        <v>82</v>
      </c>
      <c r="F211" t="s">
        <v>102</v>
      </c>
      <c r="G211">
        <v>1</v>
      </c>
      <c r="H211">
        <v>114</v>
      </c>
      <c r="I211">
        <v>24.26</v>
      </c>
      <c r="J211">
        <v>3.35</v>
      </c>
      <c r="K211">
        <v>1</v>
      </c>
      <c r="L211">
        <v>3.2</v>
      </c>
      <c r="M211">
        <v>1.82</v>
      </c>
      <c r="N211">
        <v>9.3699999999999992</v>
      </c>
      <c r="O211">
        <v>14.88</v>
      </c>
      <c r="P211">
        <v>69.959999999999994</v>
      </c>
      <c r="Q211" s="4">
        <v>0.61365000000000003</v>
      </c>
      <c r="R211" t="s">
        <v>477</v>
      </c>
    </row>
    <row r="212" spans="1:18">
      <c r="A212" t="s">
        <v>476</v>
      </c>
      <c r="B212" t="s">
        <v>132</v>
      </c>
      <c r="C212" t="s">
        <v>50</v>
      </c>
      <c r="D212" t="s">
        <v>51</v>
      </c>
      <c r="E212" t="s">
        <v>82</v>
      </c>
      <c r="F212" t="s">
        <v>92</v>
      </c>
      <c r="G212">
        <v>1</v>
      </c>
      <c r="H212">
        <v>114</v>
      </c>
      <c r="I212">
        <v>24.26</v>
      </c>
      <c r="J212">
        <v>3.35</v>
      </c>
      <c r="K212">
        <v>1</v>
      </c>
      <c r="L212">
        <v>3.2</v>
      </c>
      <c r="M212">
        <v>1.82</v>
      </c>
      <c r="N212">
        <v>9.3699999999999992</v>
      </c>
      <c r="O212">
        <v>14.88</v>
      </c>
      <c r="P212">
        <v>69.959999999999994</v>
      </c>
      <c r="Q212" s="4">
        <v>0.61365000000000003</v>
      </c>
      <c r="R212" t="s">
        <v>477</v>
      </c>
    </row>
    <row r="213" spans="1:18">
      <c r="A213" t="s">
        <v>478</v>
      </c>
      <c r="B213" t="s">
        <v>107</v>
      </c>
      <c r="C213" t="s">
        <v>41</v>
      </c>
      <c r="D213" t="s">
        <v>42</v>
      </c>
      <c r="E213" t="s">
        <v>122</v>
      </c>
      <c r="F213" t="s">
        <v>123</v>
      </c>
      <c r="G213">
        <v>1</v>
      </c>
      <c r="H213">
        <v>80</v>
      </c>
      <c r="I213">
        <v>17.02</v>
      </c>
      <c r="J213">
        <v>10.73</v>
      </c>
      <c r="K213">
        <v>1</v>
      </c>
      <c r="L213">
        <v>2.3199999999999998</v>
      </c>
      <c r="M213">
        <v>1.27</v>
      </c>
      <c r="N213">
        <v>15.32</v>
      </c>
      <c r="O213">
        <v>1.7</v>
      </c>
      <c r="P213">
        <v>8.01</v>
      </c>
      <c r="Q213" s="4">
        <v>0.10013</v>
      </c>
      <c r="R213" t="s">
        <v>479</v>
      </c>
    </row>
    <row r="214" spans="1:18">
      <c r="A214" t="s">
        <v>480</v>
      </c>
      <c r="B214" t="s">
        <v>132</v>
      </c>
      <c r="C214" t="s">
        <v>52</v>
      </c>
      <c r="D214" t="s">
        <v>53</v>
      </c>
      <c r="E214" t="s">
        <v>133</v>
      </c>
      <c r="F214" t="s">
        <v>145</v>
      </c>
      <c r="G214">
        <v>1</v>
      </c>
      <c r="H214">
        <v>360</v>
      </c>
      <c r="I214">
        <v>76.599999999999994</v>
      </c>
      <c r="J214">
        <v>45.5</v>
      </c>
      <c r="K214">
        <v>2</v>
      </c>
      <c r="L214">
        <v>9.64</v>
      </c>
      <c r="M214">
        <v>5.74</v>
      </c>
      <c r="N214">
        <v>62.87</v>
      </c>
      <c r="O214">
        <v>13.72</v>
      </c>
      <c r="P214">
        <v>64.5</v>
      </c>
      <c r="Q214" s="4">
        <v>0.17916000000000001</v>
      </c>
      <c r="R214" t="s">
        <v>481</v>
      </c>
    </row>
    <row r="215" spans="1:18">
      <c r="A215" t="s">
        <v>482</v>
      </c>
      <c r="B215" t="s">
        <v>132</v>
      </c>
      <c r="C215" t="s">
        <v>39</v>
      </c>
      <c r="D215" t="s">
        <v>40</v>
      </c>
      <c r="E215" t="s">
        <v>82</v>
      </c>
      <c r="F215" t="s">
        <v>83</v>
      </c>
      <c r="G215">
        <v>1</v>
      </c>
      <c r="H215">
        <v>69</v>
      </c>
      <c r="I215">
        <v>14.68</v>
      </c>
      <c r="J215">
        <v>6.7</v>
      </c>
      <c r="K215">
        <v>1</v>
      </c>
      <c r="L215">
        <v>2.0299999999999998</v>
      </c>
      <c r="M215">
        <v>1.1000000000000001</v>
      </c>
      <c r="N215">
        <v>10.83</v>
      </c>
      <c r="O215">
        <v>3.85</v>
      </c>
      <c r="P215">
        <v>18.11</v>
      </c>
      <c r="Q215" s="4">
        <v>0.26249</v>
      </c>
      <c r="R215" t="s">
        <v>483</v>
      </c>
    </row>
    <row r="216" spans="1:18">
      <c r="A216" t="s">
        <v>484</v>
      </c>
      <c r="B216" t="s">
        <v>107</v>
      </c>
      <c r="C216" t="s">
        <v>41</v>
      </c>
      <c r="D216" t="s">
        <v>42</v>
      </c>
      <c r="E216" t="s">
        <v>122</v>
      </c>
      <c r="F216" t="s">
        <v>123</v>
      </c>
      <c r="G216">
        <v>1</v>
      </c>
      <c r="H216">
        <v>100</v>
      </c>
      <c r="I216">
        <v>21.28</v>
      </c>
      <c r="J216">
        <v>10.73</v>
      </c>
      <c r="K216">
        <v>1</v>
      </c>
      <c r="L216">
        <v>2.84</v>
      </c>
      <c r="M216">
        <v>1.59</v>
      </c>
      <c r="N216">
        <v>16.16</v>
      </c>
      <c r="O216">
        <v>5.12</v>
      </c>
      <c r="P216">
        <v>24.05</v>
      </c>
      <c r="Q216" s="4">
        <v>0.24055000000000001</v>
      </c>
      <c r="R216" t="s">
        <v>485</v>
      </c>
    </row>
    <row r="217" spans="1:18">
      <c r="A217" t="s">
        <v>486</v>
      </c>
      <c r="B217" t="s">
        <v>132</v>
      </c>
      <c r="C217" t="s">
        <v>60</v>
      </c>
      <c r="D217" t="s">
        <v>61</v>
      </c>
      <c r="E217" t="s">
        <v>154</v>
      </c>
      <c r="F217" t="s">
        <v>354</v>
      </c>
      <c r="G217">
        <v>1</v>
      </c>
      <c r="H217">
        <v>189.14</v>
      </c>
      <c r="I217">
        <v>40.24</v>
      </c>
      <c r="J217">
        <v>6.1</v>
      </c>
      <c r="K217">
        <v>0.5</v>
      </c>
      <c r="L217">
        <v>5.17</v>
      </c>
      <c r="M217">
        <v>3.01</v>
      </c>
      <c r="N217">
        <v>14.78</v>
      </c>
      <c r="O217">
        <v>25.46</v>
      </c>
      <c r="P217">
        <v>119.66</v>
      </c>
      <c r="Q217" s="4">
        <v>0.63263999999999998</v>
      </c>
      <c r="R217" t="s">
        <v>487</v>
      </c>
    </row>
    <row r="218" spans="1:18">
      <c r="A218" t="s">
        <v>486</v>
      </c>
      <c r="B218" t="s">
        <v>132</v>
      </c>
      <c r="C218" t="s">
        <v>43</v>
      </c>
      <c r="D218" t="s">
        <v>44</v>
      </c>
      <c r="E218" t="s">
        <v>82</v>
      </c>
      <c r="F218" t="s">
        <v>86</v>
      </c>
      <c r="G218">
        <v>1</v>
      </c>
      <c r="H218">
        <v>189.14</v>
      </c>
      <c r="I218">
        <v>40.24</v>
      </c>
      <c r="J218">
        <v>13.4</v>
      </c>
      <c r="K218">
        <v>1</v>
      </c>
      <c r="L218">
        <v>5.17</v>
      </c>
      <c r="M218">
        <v>3.01</v>
      </c>
      <c r="N218">
        <v>22.58</v>
      </c>
      <c r="O218">
        <v>17.66</v>
      </c>
      <c r="P218">
        <v>83</v>
      </c>
      <c r="Q218" s="4">
        <v>0.43881999999999999</v>
      </c>
      <c r="R218" t="s">
        <v>487</v>
      </c>
    </row>
    <row r="219" spans="1:18">
      <c r="A219" t="s">
        <v>486</v>
      </c>
      <c r="B219" t="s">
        <v>132</v>
      </c>
      <c r="C219" t="s">
        <v>47</v>
      </c>
      <c r="D219" t="s">
        <v>40</v>
      </c>
      <c r="E219" t="s">
        <v>82</v>
      </c>
      <c r="F219" t="s">
        <v>90</v>
      </c>
      <c r="G219">
        <v>1</v>
      </c>
      <c r="H219">
        <v>189.14</v>
      </c>
      <c r="I219">
        <v>40.24</v>
      </c>
      <c r="J219">
        <v>6.7</v>
      </c>
      <c r="K219">
        <v>1</v>
      </c>
      <c r="L219">
        <v>5.17</v>
      </c>
      <c r="M219">
        <v>3.01</v>
      </c>
      <c r="N219">
        <v>15.88</v>
      </c>
      <c r="O219">
        <v>24.36</v>
      </c>
      <c r="P219">
        <v>114.49</v>
      </c>
      <c r="Q219" s="4">
        <v>0.60531000000000001</v>
      </c>
      <c r="R219" t="s">
        <v>487</v>
      </c>
    </row>
    <row r="220" spans="1:18">
      <c r="A220" t="s">
        <v>488</v>
      </c>
      <c r="B220" t="s">
        <v>132</v>
      </c>
      <c r="C220" t="s">
        <v>41</v>
      </c>
      <c r="D220" t="s">
        <v>42</v>
      </c>
      <c r="E220" t="s">
        <v>122</v>
      </c>
      <c r="F220" t="s">
        <v>123</v>
      </c>
      <c r="G220">
        <v>1</v>
      </c>
      <c r="H220">
        <v>85</v>
      </c>
      <c r="I220">
        <v>18.09</v>
      </c>
      <c r="J220">
        <v>10.73</v>
      </c>
      <c r="K220">
        <v>1</v>
      </c>
      <c r="L220">
        <v>2.4500000000000002</v>
      </c>
      <c r="M220">
        <v>1.35</v>
      </c>
      <c r="N220">
        <v>15.53</v>
      </c>
      <c r="O220">
        <v>2.56</v>
      </c>
      <c r="P220">
        <v>12.02</v>
      </c>
      <c r="Q220" s="4">
        <v>0.14143</v>
      </c>
      <c r="R220" t="s">
        <v>489</v>
      </c>
    </row>
    <row r="221" spans="1:18">
      <c r="A221" t="s">
        <v>490</v>
      </c>
      <c r="B221" t="s">
        <v>107</v>
      </c>
      <c r="C221" t="s">
        <v>39</v>
      </c>
      <c r="D221" t="s">
        <v>40</v>
      </c>
      <c r="E221" t="s">
        <v>137</v>
      </c>
      <c r="F221" t="s">
        <v>491</v>
      </c>
      <c r="G221">
        <v>1</v>
      </c>
      <c r="H221">
        <v>190</v>
      </c>
      <c r="I221">
        <v>40.43</v>
      </c>
      <c r="J221">
        <v>6.7</v>
      </c>
      <c r="K221">
        <v>1</v>
      </c>
      <c r="L221">
        <v>5.19</v>
      </c>
      <c r="M221">
        <v>3.03</v>
      </c>
      <c r="N221">
        <v>15.92</v>
      </c>
      <c r="O221">
        <v>24.51</v>
      </c>
      <c r="P221">
        <v>115.18</v>
      </c>
      <c r="Q221" s="4">
        <v>0.60619999999999996</v>
      </c>
      <c r="R221" t="s">
        <v>492</v>
      </c>
    </row>
    <row r="222" spans="1:18">
      <c r="A222" t="s">
        <v>493</v>
      </c>
      <c r="B222" t="s">
        <v>132</v>
      </c>
      <c r="C222" t="s">
        <v>52</v>
      </c>
      <c r="D222" t="s">
        <v>53</v>
      </c>
      <c r="E222" t="s">
        <v>133</v>
      </c>
      <c r="F222" t="s">
        <v>145</v>
      </c>
      <c r="G222">
        <v>1</v>
      </c>
      <c r="H222">
        <v>318.3</v>
      </c>
      <c r="I222">
        <v>67.72</v>
      </c>
      <c r="J222">
        <v>45.5</v>
      </c>
      <c r="K222">
        <v>2</v>
      </c>
      <c r="L222">
        <v>8.5500000000000007</v>
      </c>
      <c r="M222">
        <v>5.07</v>
      </c>
      <c r="N222">
        <v>61.12</v>
      </c>
      <c r="O222">
        <v>6.61</v>
      </c>
      <c r="P222">
        <v>31.05</v>
      </c>
      <c r="Q222" s="4">
        <v>9.7540000000000002E-2</v>
      </c>
      <c r="R222" t="s">
        <v>494</v>
      </c>
    </row>
    <row r="223" spans="1:18">
      <c r="A223" t="s">
        <v>495</v>
      </c>
      <c r="B223" t="s">
        <v>132</v>
      </c>
      <c r="C223" t="s">
        <v>41</v>
      </c>
      <c r="D223" t="s">
        <v>42</v>
      </c>
      <c r="E223" t="s">
        <v>122</v>
      </c>
      <c r="F223" t="s">
        <v>123</v>
      </c>
      <c r="G223">
        <v>1</v>
      </c>
      <c r="H223">
        <v>105</v>
      </c>
      <c r="I223">
        <v>22.34</v>
      </c>
      <c r="J223">
        <v>10.73</v>
      </c>
      <c r="K223">
        <v>1</v>
      </c>
      <c r="L223">
        <v>2.97</v>
      </c>
      <c r="M223">
        <v>1.67</v>
      </c>
      <c r="N223">
        <v>16.37</v>
      </c>
      <c r="O223">
        <v>5.97</v>
      </c>
      <c r="P223">
        <v>28.07</v>
      </c>
      <c r="Q223" s="4">
        <v>0.26729000000000003</v>
      </c>
      <c r="R223" t="s">
        <v>496</v>
      </c>
    </row>
    <row r="224" spans="1:18">
      <c r="A224" t="s">
        <v>497</v>
      </c>
      <c r="B224" t="s">
        <v>132</v>
      </c>
      <c r="C224" t="s">
        <v>60</v>
      </c>
      <c r="D224" t="s">
        <v>61</v>
      </c>
      <c r="E224" t="s">
        <v>154</v>
      </c>
      <c r="F224" t="s">
        <v>354</v>
      </c>
      <c r="G224">
        <v>1</v>
      </c>
      <c r="H224">
        <v>47.7</v>
      </c>
      <c r="I224">
        <v>10.15</v>
      </c>
      <c r="J224">
        <v>6.1</v>
      </c>
      <c r="K224">
        <v>0.5</v>
      </c>
      <c r="L224">
        <v>1.47</v>
      </c>
      <c r="M224">
        <v>0.76</v>
      </c>
      <c r="N224">
        <v>8.83</v>
      </c>
      <c r="O224">
        <v>1.32</v>
      </c>
      <c r="P224">
        <v>6.19</v>
      </c>
      <c r="Q224" s="4">
        <v>0.12987000000000001</v>
      </c>
      <c r="R224" t="s">
        <v>498</v>
      </c>
    </row>
    <row r="225" spans="1:18">
      <c r="A225" t="s">
        <v>499</v>
      </c>
      <c r="B225" t="s">
        <v>132</v>
      </c>
      <c r="C225" t="s">
        <v>43</v>
      </c>
      <c r="D225" t="s">
        <v>44</v>
      </c>
      <c r="E225" t="s">
        <v>82</v>
      </c>
      <c r="F225" t="s">
        <v>86</v>
      </c>
      <c r="G225">
        <v>1</v>
      </c>
      <c r="H225">
        <v>125</v>
      </c>
      <c r="I225">
        <v>26.6</v>
      </c>
      <c r="J225">
        <v>13.4</v>
      </c>
      <c r="K225">
        <v>1</v>
      </c>
      <c r="L225">
        <v>3.49</v>
      </c>
      <c r="M225">
        <v>1.99</v>
      </c>
      <c r="N225">
        <v>19.88</v>
      </c>
      <c r="O225">
        <v>6.71</v>
      </c>
      <c r="P225">
        <v>31.55</v>
      </c>
      <c r="Q225" s="4">
        <v>0.25235999999999997</v>
      </c>
      <c r="R225" t="s">
        <v>500</v>
      </c>
    </row>
    <row r="226" spans="1:18">
      <c r="A226" t="s">
        <v>501</v>
      </c>
      <c r="B226" t="s">
        <v>132</v>
      </c>
      <c r="C226" t="s">
        <v>41</v>
      </c>
      <c r="D226" t="s">
        <v>42</v>
      </c>
      <c r="E226" t="s">
        <v>122</v>
      </c>
      <c r="F226" t="s">
        <v>123</v>
      </c>
      <c r="G226">
        <v>1</v>
      </c>
      <c r="H226">
        <v>68.25</v>
      </c>
      <c r="I226">
        <v>14.52</v>
      </c>
      <c r="J226">
        <v>10.73</v>
      </c>
      <c r="K226">
        <v>1</v>
      </c>
      <c r="L226">
        <v>2.0099999999999998</v>
      </c>
      <c r="M226">
        <v>1.0900000000000001</v>
      </c>
      <c r="N226">
        <v>14.82</v>
      </c>
      <c r="O226">
        <v>-0.3</v>
      </c>
      <c r="P226">
        <v>-1.42</v>
      </c>
      <c r="Q226" s="4">
        <v>-2.0729999999999998E-2</v>
      </c>
      <c r="R226" t="s">
        <v>502</v>
      </c>
    </row>
    <row r="227" spans="1:18">
      <c r="A227" t="s">
        <v>503</v>
      </c>
      <c r="B227" t="s">
        <v>107</v>
      </c>
      <c r="C227" t="s">
        <v>52</v>
      </c>
      <c r="D227" t="s">
        <v>53</v>
      </c>
      <c r="E227" t="s">
        <v>133</v>
      </c>
      <c r="F227" t="s">
        <v>145</v>
      </c>
      <c r="G227">
        <v>1</v>
      </c>
      <c r="H227">
        <v>354</v>
      </c>
      <c r="I227">
        <v>75.319999999999993</v>
      </c>
      <c r="J227">
        <v>45.5</v>
      </c>
      <c r="K227">
        <v>2</v>
      </c>
      <c r="L227">
        <v>9.48</v>
      </c>
      <c r="M227">
        <v>5.64</v>
      </c>
      <c r="N227">
        <v>62.62</v>
      </c>
      <c r="O227">
        <v>12.7</v>
      </c>
      <c r="P227">
        <v>59.68</v>
      </c>
      <c r="Q227" s="4">
        <v>0.1686</v>
      </c>
      <c r="R227" t="s">
        <v>504</v>
      </c>
    </row>
    <row r="228" spans="1:18">
      <c r="A228" t="s">
        <v>505</v>
      </c>
      <c r="B228" t="s">
        <v>132</v>
      </c>
      <c r="C228" t="s">
        <v>52</v>
      </c>
      <c r="D228" t="s">
        <v>53</v>
      </c>
      <c r="E228" t="s">
        <v>133</v>
      </c>
      <c r="F228" t="s">
        <v>145</v>
      </c>
      <c r="G228">
        <v>1</v>
      </c>
      <c r="H228">
        <v>360</v>
      </c>
      <c r="I228">
        <v>76.599999999999994</v>
      </c>
      <c r="J228">
        <v>45.5</v>
      </c>
      <c r="K228">
        <v>2</v>
      </c>
      <c r="L228">
        <v>9.64</v>
      </c>
      <c r="M228">
        <v>5.74</v>
      </c>
      <c r="N228">
        <v>62.87</v>
      </c>
      <c r="O228">
        <v>13.72</v>
      </c>
      <c r="P228">
        <v>64.5</v>
      </c>
      <c r="Q228" s="4">
        <v>0.17916000000000001</v>
      </c>
      <c r="R228" t="s">
        <v>506</v>
      </c>
    </row>
    <row r="229" spans="1:18">
      <c r="A229" t="s">
        <v>507</v>
      </c>
      <c r="B229" t="s">
        <v>132</v>
      </c>
      <c r="C229" t="s">
        <v>41</v>
      </c>
      <c r="D229" t="s">
        <v>42</v>
      </c>
      <c r="E229" t="s">
        <v>122</v>
      </c>
      <c r="F229" t="s">
        <v>123</v>
      </c>
      <c r="G229">
        <v>1</v>
      </c>
      <c r="H229">
        <v>100</v>
      </c>
      <c r="I229">
        <v>21.28</v>
      </c>
      <c r="J229">
        <v>10.73</v>
      </c>
      <c r="K229">
        <v>1</v>
      </c>
      <c r="L229">
        <v>2.84</v>
      </c>
      <c r="M229">
        <v>1.59</v>
      </c>
      <c r="N229">
        <v>16.16</v>
      </c>
      <c r="O229">
        <v>5.12</v>
      </c>
      <c r="P229">
        <v>24.05</v>
      </c>
      <c r="Q229" s="4">
        <v>0.24055000000000001</v>
      </c>
      <c r="R229" t="s">
        <v>508</v>
      </c>
    </row>
    <row r="230" spans="1:18">
      <c r="A230" t="s">
        <v>509</v>
      </c>
      <c r="B230" t="s">
        <v>132</v>
      </c>
      <c r="C230" t="s">
        <v>39</v>
      </c>
      <c r="D230" t="s">
        <v>40</v>
      </c>
      <c r="E230" t="s">
        <v>82</v>
      </c>
      <c r="F230" t="s">
        <v>83</v>
      </c>
      <c r="G230">
        <v>1</v>
      </c>
      <c r="H230">
        <v>69</v>
      </c>
      <c r="I230">
        <v>14.68</v>
      </c>
      <c r="J230">
        <v>6.7</v>
      </c>
      <c r="K230">
        <v>1</v>
      </c>
      <c r="L230">
        <v>2.0299999999999998</v>
      </c>
      <c r="M230">
        <v>1.1000000000000001</v>
      </c>
      <c r="N230">
        <v>10.83</v>
      </c>
      <c r="O230">
        <v>3.85</v>
      </c>
      <c r="P230">
        <v>18.11</v>
      </c>
      <c r="Q230" s="4">
        <v>0.26249</v>
      </c>
      <c r="R230" t="s">
        <v>510</v>
      </c>
    </row>
    <row r="231" spans="1:18">
      <c r="A231" t="s">
        <v>511</v>
      </c>
      <c r="B231" t="s">
        <v>132</v>
      </c>
      <c r="C231" t="s">
        <v>58</v>
      </c>
      <c r="D231" t="s">
        <v>59</v>
      </c>
      <c r="E231" t="s">
        <v>154</v>
      </c>
      <c r="F231" t="s">
        <v>155</v>
      </c>
      <c r="G231">
        <v>1</v>
      </c>
      <c r="H231">
        <v>97.94</v>
      </c>
      <c r="I231">
        <v>20.84</v>
      </c>
      <c r="J231">
        <v>12.2</v>
      </c>
      <c r="K231">
        <v>0.5</v>
      </c>
      <c r="L231">
        <v>2.78</v>
      </c>
      <c r="M231">
        <v>1.56</v>
      </c>
      <c r="N231">
        <v>17.05</v>
      </c>
      <c r="O231">
        <v>3.79</v>
      </c>
      <c r="P231">
        <v>17.829999999999998</v>
      </c>
      <c r="Q231" s="4">
        <v>0.18201999999999999</v>
      </c>
      <c r="R231" t="s">
        <v>512</v>
      </c>
    </row>
    <row r="232" spans="1:18">
      <c r="A232" t="s">
        <v>513</v>
      </c>
      <c r="B232" t="s">
        <v>132</v>
      </c>
      <c r="C232" t="s">
        <v>43</v>
      </c>
      <c r="D232" t="s">
        <v>44</v>
      </c>
      <c r="E232" t="s">
        <v>82</v>
      </c>
      <c r="F232" t="s">
        <v>86</v>
      </c>
      <c r="G232">
        <v>1</v>
      </c>
      <c r="H232">
        <v>120</v>
      </c>
      <c r="I232">
        <v>25.53</v>
      </c>
      <c r="J232">
        <v>13.4</v>
      </c>
      <c r="K232">
        <v>1</v>
      </c>
      <c r="L232">
        <v>3.36</v>
      </c>
      <c r="M232">
        <v>1.91</v>
      </c>
      <c r="N232">
        <v>19.670000000000002</v>
      </c>
      <c r="O232">
        <v>5.86</v>
      </c>
      <c r="P232">
        <v>27.53</v>
      </c>
      <c r="Q232" s="4">
        <v>0.22944999999999999</v>
      </c>
      <c r="R232" t="s">
        <v>514</v>
      </c>
    </row>
    <row r="233" spans="1:18">
      <c r="A233" t="s">
        <v>515</v>
      </c>
      <c r="B233" t="s">
        <v>132</v>
      </c>
      <c r="C233" t="s">
        <v>45</v>
      </c>
      <c r="D233" t="s">
        <v>46</v>
      </c>
      <c r="E233" t="s">
        <v>82</v>
      </c>
      <c r="F233" t="s">
        <v>97</v>
      </c>
      <c r="G233">
        <v>1</v>
      </c>
      <c r="H233">
        <v>172</v>
      </c>
      <c r="I233">
        <v>36.6</v>
      </c>
      <c r="J233">
        <v>20.100000000000001</v>
      </c>
      <c r="K233">
        <v>1</v>
      </c>
      <c r="L233">
        <v>4.72</v>
      </c>
      <c r="M233">
        <v>2.74</v>
      </c>
      <c r="N233">
        <v>28.56</v>
      </c>
      <c r="O233">
        <v>8.0299999999999994</v>
      </c>
      <c r="P233">
        <v>37.76</v>
      </c>
      <c r="Q233" s="4">
        <v>0.21953</v>
      </c>
      <c r="R233" t="s">
        <v>516</v>
      </c>
    </row>
    <row r="234" spans="1:18">
      <c r="A234" t="s">
        <v>517</v>
      </c>
      <c r="B234" t="s">
        <v>132</v>
      </c>
      <c r="C234" t="s">
        <v>47</v>
      </c>
      <c r="D234" t="s">
        <v>40</v>
      </c>
      <c r="E234" t="s">
        <v>82</v>
      </c>
      <c r="F234" t="s">
        <v>90</v>
      </c>
      <c r="G234">
        <v>1</v>
      </c>
      <c r="H234">
        <v>69</v>
      </c>
      <c r="I234">
        <v>14.68</v>
      </c>
      <c r="J234">
        <v>6.7</v>
      </c>
      <c r="K234">
        <v>1</v>
      </c>
      <c r="L234">
        <v>2.0299999999999998</v>
      </c>
      <c r="M234">
        <v>1.1000000000000001</v>
      </c>
      <c r="N234">
        <v>10.83</v>
      </c>
      <c r="O234">
        <v>3.85</v>
      </c>
      <c r="P234">
        <v>18.11</v>
      </c>
      <c r="Q234" s="4">
        <v>0.26249</v>
      </c>
      <c r="R234" t="s">
        <v>518</v>
      </c>
    </row>
    <row r="235" spans="1:18">
      <c r="A235" t="s">
        <v>519</v>
      </c>
      <c r="B235" t="s">
        <v>132</v>
      </c>
      <c r="C235" t="s">
        <v>43</v>
      </c>
      <c r="D235" t="s">
        <v>44</v>
      </c>
      <c r="E235" t="s">
        <v>82</v>
      </c>
      <c r="F235" t="s">
        <v>86</v>
      </c>
      <c r="G235">
        <v>1</v>
      </c>
      <c r="H235">
        <v>125</v>
      </c>
      <c r="I235">
        <v>26.6</v>
      </c>
      <c r="J235">
        <v>13.4</v>
      </c>
      <c r="K235">
        <v>1</v>
      </c>
      <c r="L235">
        <v>3.49</v>
      </c>
      <c r="M235">
        <v>1.99</v>
      </c>
      <c r="N235">
        <v>19.88</v>
      </c>
      <c r="O235">
        <v>6.71</v>
      </c>
      <c r="P235">
        <v>31.55</v>
      </c>
      <c r="Q235" s="4">
        <v>0.25235999999999997</v>
      </c>
      <c r="R235" t="s">
        <v>520</v>
      </c>
    </row>
    <row r="236" spans="1:18">
      <c r="A236" t="s">
        <v>521</v>
      </c>
      <c r="B236" t="s">
        <v>132</v>
      </c>
      <c r="C236" t="s">
        <v>52</v>
      </c>
      <c r="D236" t="s">
        <v>53</v>
      </c>
      <c r="E236" t="s">
        <v>133</v>
      </c>
      <c r="F236" t="s">
        <v>145</v>
      </c>
      <c r="G236">
        <v>1</v>
      </c>
      <c r="H236">
        <v>355</v>
      </c>
      <c r="I236">
        <v>75.53</v>
      </c>
      <c r="J236">
        <v>45.5</v>
      </c>
      <c r="K236">
        <v>2</v>
      </c>
      <c r="L236">
        <v>9.51</v>
      </c>
      <c r="M236">
        <v>5.66</v>
      </c>
      <c r="N236">
        <v>62.66</v>
      </c>
      <c r="O236">
        <v>12.87</v>
      </c>
      <c r="P236">
        <v>60.49</v>
      </c>
      <c r="Q236" s="4">
        <v>0.17038</v>
      </c>
      <c r="R236" t="s">
        <v>522</v>
      </c>
    </row>
    <row r="237" spans="1:18">
      <c r="A237" t="s">
        <v>523</v>
      </c>
      <c r="B237" t="s">
        <v>107</v>
      </c>
      <c r="C237" t="s">
        <v>45</v>
      </c>
      <c r="D237" t="s">
        <v>46</v>
      </c>
      <c r="E237" t="s">
        <v>82</v>
      </c>
      <c r="F237" t="s">
        <v>97</v>
      </c>
      <c r="G237">
        <v>1</v>
      </c>
      <c r="H237">
        <v>172</v>
      </c>
      <c r="I237">
        <v>36.6</v>
      </c>
      <c r="J237">
        <v>20.100000000000001</v>
      </c>
      <c r="K237">
        <v>1</v>
      </c>
      <c r="L237">
        <v>4.72</v>
      </c>
      <c r="M237">
        <v>2.74</v>
      </c>
      <c r="N237">
        <v>28.56</v>
      </c>
      <c r="O237">
        <v>8.0299999999999994</v>
      </c>
      <c r="P237">
        <v>37.76</v>
      </c>
      <c r="Q237" s="4">
        <v>0.21953</v>
      </c>
      <c r="R237" t="s">
        <v>524</v>
      </c>
    </row>
    <row r="238" spans="1:18">
      <c r="A238" t="s">
        <v>525</v>
      </c>
      <c r="B238" t="s">
        <v>132</v>
      </c>
      <c r="C238" t="s">
        <v>41</v>
      </c>
      <c r="D238" t="s">
        <v>42</v>
      </c>
      <c r="E238" t="s">
        <v>122</v>
      </c>
      <c r="F238" t="s">
        <v>123</v>
      </c>
      <c r="G238">
        <v>1</v>
      </c>
      <c r="H238">
        <v>143</v>
      </c>
      <c r="I238">
        <v>30.43</v>
      </c>
      <c r="J238">
        <v>10.73</v>
      </c>
      <c r="K238">
        <v>1</v>
      </c>
      <c r="L238">
        <v>3.96</v>
      </c>
      <c r="M238">
        <v>2.2799999999999998</v>
      </c>
      <c r="N238">
        <v>17.97</v>
      </c>
      <c r="O238">
        <v>12.46</v>
      </c>
      <c r="P238">
        <v>58.55</v>
      </c>
      <c r="Q238" s="4">
        <v>0.40944000000000003</v>
      </c>
      <c r="R238" t="s">
        <v>526</v>
      </c>
    </row>
    <row r="239" spans="1:18">
      <c r="A239" t="s">
        <v>527</v>
      </c>
      <c r="B239" t="s">
        <v>132</v>
      </c>
      <c r="C239" t="s">
        <v>41</v>
      </c>
      <c r="D239" t="s">
        <v>42</v>
      </c>
      <c r="E239" t="s">
        <v>122</v>
      </c>
      <c r="F239" t="s">
        <v>123</v>
      </c>
      <c r="G239">
        <v>1</v>
      </c>
      <c r="H239">
        <v>84</v>
      </c>
      <c r="I239">
        <v>17.87</v>
      </c>
      <c r="J239">
        <v>10.73</v>
      </c>
      <c r="K239">
        <v>1</v>
      </c>
      <c r="L239">
        <v>2.42</v>
      </c>
      <c r="M239">
        <v>1.34</v>
      </c>
      <c r="N239">
        <v>15.49</v>
      </c>
      <c r="O239">
        <v>2.39</v>
      </c>
      <c r="P239">
        <v>11.22</v>
      </c>
      <c r="Q239" s="4">
        <v>0.13356999999999999</v>
      </c>
      <c r="R239" t="s">
        <v>528</v>
      </c>
    </row>
    <row r="240" spans="1:18">
      <c r="A240" t="s">
        <v>529</v>
      </c>
      <c r="B240" t="s">
        <v>132</v>
      </c>
      <c r="C240" t="s">
        <v>39</v>
      </c>
      <c r="D240" t="s">
        <v>40</v>
      </c>
      <c r="E240" t="s">
        <v>82</v>
      </c>
      <c r="F240" t="s">
        <v>83</v>
      </c>
      <c r="G240">
        <v>1</v>
      </c>
      <c r="H240">
        <v>69</v>
      </c>
      <c r="I240">
        <v>14.68</v>
      </c>
      <c r="J240">
        <v>6.7</v>
      </c>
      <c r="K240">
        <v>1</v>
      </c>
      <c r="L240">
        <v>2.0299999999999998</v>
      </c>
      <c r="M240">
        <v>1.1000000000000001</v>
      </c>
      <c r="N240">
        <v>10.83</v>
      </c>
      <c r="O240">
        <v>3.85</v>
      </c>
      <c r="P240">
        <v>18.11</v>
      </c>
      <c r="Q240" s="4">
        <v>0.26249</v>
      </c>
      <c r="R240" t="s">
        <v>530</v>
      </c>
    </row>
    <row r="241" spans="1:18">
      <c r="A241" t="s">
        <v>531</v>
      </c>
      <c r="B241" t="s">
        <v>132</v>
      </c>
      <c r="C241" t="s">
        <v>48</v>
      </c>
      <c r="D241" t="s">
        <v>49</v>
      </c>
      <c r="E241" t="s">
        <v>82</v>
      </c>
      <c r="F241" t="s">
        <v>102</v>
      </c>
      <c r="G241">
        <v>2</v>
      </c>
      <c r="H241">
        <v>141</v>
      </c>
      <c r="I241">
        <v>30</v>
      </c>
      <c r="J241">
        <v>6.7</v>
      </c>
      <c r="K241">
        <v>1</v>
      </c>
      <c r="L241">
        <v>3.91</v>
      </c>
      <c r="M241">
        <v>2.25</v>
      </c>
      <c r="N241">
        <v>13.86</v>
      </c>
      <c r="O241">
        <v>16.14</v>
      </c>
      <c r="P241">
        <v>75.87</v>
      </c>
      <c r="Q241" s="4">
        <v>0.53808999999999996</v>
      </c>
      <c r="R241" t="s">
        <v>532</v>
      </c>
    </row>
    <row r="242" spans="1:18">
      <c r="A242" t="s">
        <v>531</v>
      </c>
      <c r="B242" t="s">
        <v>132</v>
      </c>
      <c r="C242" t="s">
        <v>50</v>
      </c>
      <c r="D242" t="s">
        <v>51</v>
      </c>
      <c r="E242" t="s">
        <v>82</v>
      </c>
      <c r="F242" t="s">
        <v>92</v>
      </c>
      <c r="G242">
        <v>1</v>
      </c>
      <c r="H242">
        <v>141</v>
      </c>
      <c r="I242">
        <v>30</v>
      </c>
      <c r="J242">
        <v>3.35</v>
      </c>
      <c r="K242">
        <v>1</v>
      </c>
      <c r="L242">
        <v>3.91</v>
      </c>
      <c r="M242">
        <v>2.25</v>
      </c>
      <c r="N242">
        <v>10.51</v>
      </c>
      <c r="O242">
        <v>19.489999999999998</v>
      </c>
      <c r="P242">
        <v>91.62</v>
      </c>
      <c r="Q242" s="4">
        <v>0.64975000000000005</v>
      </c>
      <c r="R242" t="s">
        <v>532</v>
      </c>
    </row>
    <row r="243" spans="1:18">
      <c r="A243" t="s">
        <v>533</v>
      </c>
      <c r="B243" t="s">
        <v>132</v>
      </c>
      <c r="C243" t="s">
        <v>41</v>
      </c>
      <c r="D243" t="s">
        <v>42</v>
      </c>
      <c r="E243" t="s">
        <v>122</v>
      </c>
      <c r="F243" t="s">
        <v>123</v>
      </c>
      <c r="G243">
        <v>1</v>
      </c>
      <c r="H243">
        <v>99.95</v>
      </c>
      <c r="I243">
        <v>21.27</v>
      </c>
      <c r="J243">
        <v>10.73</v>
      </c>
      <c r="K243">
        <v>1</v>
      </c>
      <c r="L243">
        <v>2.84</v>
      </c>
      <c r="M243">
        <v>1.59</v>
      </c>
      <c r="N243">
        <v>16.16</v>
      </c>
      <c r="O243">
        <v>5.1100000000000003</v>
      </c>
      <c r="P243">
        <v>24.01</v>
      </c>
      <c r="Q243" s="4">
        <v>0.24027000000000001</v>
      </c>
      <c r="R243" t="s">
        <v>534</v>
      </c>
    </row>
    <row r="244" spans="1:18">
      <c r="A244" t="s">
        <v>535</v>
      </c>
      <c r="B244" t="s">
        <v>132</v>
      </c>
      <c r="C244" t="s">
        <v>39</v>
      </c>
      <c r="D244" t="s">
        <v>40</v>
      </c>
      <c r="E244" t="s">
        <v>82</v>
      </c>
      <c r="F244" t="s">
        <v>83</v>
      </c>
      <c r="G244">
        <v>1</v>
      </c>
      <c r="H244">
        <v>133</v>
      </c>
      <c r="I244">
        <v>28.3</v>
      </c>
      <c r="J244">
        <v>6.7</v>
      </c>
      <c r="K244">
        <v>1</v>
      </c>
      <c r="L244">
        <v>3.7</v>
      </c>
      <c r="M244">
        <v>2.12</v>
      </c>
      <c r="N244">
        <v>13.52</v>
      </c>
      <c r="O244">
        <v>14.78</v>
      </c>
      <c r="P244">
        <v>69.45</v>
      </c>
      <c r="Q244" s="4">
        <v>0.5222</v>
      </c>
      <c r="R244" t="s">
        <v>536</v>
      </c>
    </row>
    <row r="245" spans="1:18">
      <c r="A245" t="s">
        <v>535</v>
      </c>
      <c r="B245" t="s">
        <v>132</v>
      </c>
      <c r="C245" t="s">
        <v>47</v>
      </c>
      <c r="D245" t="s">
        <v>40</v>
      </c>
      <c r="E245" t="s">
        <v>82</v>
      </c>
      <c r="F245" t="s">
        <v>90</v>
      </c>
      <c r="G245">
        <v>1</v>
      </c>
      <c r="H245">
        <v>133</v>
      </c>
      <c r="I245">
        <v>28.3</v>
      </c>
      <c r="J245">
        <v>6.7</v>
      </c>
      <c r="K245">
        <v>1</v>
      </c>
      <c r="L245">
        <v>3.7</v>
      </c>
      <c r="M245">
        <v>2.12</v>
      </c>
      <c r="N245">
        <v>13.52</v>
      </c>
      <c r="O245">
        <v>14.78</v>
      </c>
      <c r="P245">
        <v>69.45</v>
      </c>
      <c r="Q245" s="4">
        <v>0.5222</v>
      </c>
      <c r="R245" t="s">
        <v>536</v>
      </c>
    </row>
    <row r="246" spans="1:18">
      <c r="A246" t="s">
        <v>537</v>
      </c>
      <c r="B246" t="s">
        <v>132</v>
      </c>
      <c r="C246" t="s">
        <v>47</v>
      </c>
      <c r="D246" t="s">
        <v>40</v>
      </c>
      <c r="E246" t="s">
        <v>82</v>
      </c>
      <c r="F246" t="s">
        <v>90</v>
      </c>
      <c r="G246">
        <v>1</v>
      </c>
      <c r="H246">
        <v>189</v>
      </c>
      <c r="I246">
        <v>40.21</v>
      </c>
      <c r="J246">
        <v>6.7</v>
      </c>
      <c r="K246">
        <v>1</v>
      </c>
      <c r="L246">
        <v>5.17</v>
      </c>
      <c r="M246">
        <v>3.01</v>
      </c>
      <c r="N246">
        <v>15.88</v>
      </c>
      <c r="O246">
        <v>24.34</v>
      </c>
      <c r="P246">
        <v>114.38</v>
      </c>
      <c r="Q246" s="4">
        <v>0.60516000000000003</v>
      </c>
      <c r="R246" t="s">
        <v>538</v>
      </c>
    </row>
    <row r="247" spans="1:18">
      <c r="A247" t="s">
        <v>537</v>
      </c>
      <c r="B247" t="s">
        <v>132</v>
      </c>
      <c r="C247" t="s">
        <v>43</v>
      </c>
      <c r="D247" t="s">
        <v>44</v>
      </c>
      <c r="E247" t="s">
        <v>82</v>
      </c>
      <c r="F247" t="s">
        <v>86</v>
      </c>
      <c r="G247">
        <v>1</v>
      </c>
      <c r="H247">
        <v>189</v>
      </c>
      <c r="I247">
        <v>40.21</v>
      </c>
      <c r="J247">
        <v>13.4</v>
      </c>
      <c r="K247">
        <v>1</v>
      </c>
      <c r="L247">
        <v>5.17</v>
      </c>
      <c r="M247">
        <v>3.01</v>
      </c>
      <c r="N247">
        <v>22.58</v>
      </c>
      <c r="O247">
        <v>17.64</v>
      </c>
      <c r="P247">
        <v>82.89</v>
      </c>
      <c r="Q247" s="4">
        <v>0.43855</v>
      </c>
      <c r="R247" t="s">
        <v>538</v>
      </c>
    </row>
    <row r="248" spans="1:18">
      <c r="A248" t="s">
        <v>539</v>
      </c>
      <c r="B248" t="s">
        <v>132</v>
      </c>
      <c r="C248" t="s">
        <v>43</v>
      </c>
      <c r="D248" t="s">
        <v>44</v>
      </c>
      <c r="E248" t="s">
        <v>82</v>
      </c>
      <c r="F248" t="s">
        <v>86</v>
      </c>
      <c r="G248">
        <v>1</v>
      </c>
      <c r="H248">
        <v>120</v>
      </c>
      <c r="I248">
        <v>25.53</v>
      </c>
      <c r="J248">
        <v>13.4</v>
      </c>
      <c r="K248">
        <v>1</v>
      </c>
      <c r="L248">
        <v>3.36</v>
      </c>
      <c r="M248">
        <v>1.91</v>
      </c>
      <c r="N248">
        <v>19.670000000000002</v>
      </c>
      <c r="O248">
        <v>5.86</v>
      </c>
      <c r="P248">
        <v>27.53</v>
      </c>
      <c r="Q248" s="4">
        <v>0.22944999999999999</v>
      </c>
      <c r="R248" t="s">
        <v>540</v>
      </c>
    </row>
    <row r="249" spans="1:18">
      <c r="A249" t="s">
        <v>541</v>
      </c>
      <c r="B249" t="s">
        <v>132</v>
      </c>
      <c r="C249" t="s">
        <v>39</v>
      </c>
      <c r="D249" t="s">
        <v>40</v>
      </c>
      <c r="E249" t="s">
        <v>82</v>
      </c>
      <c r="F249" t="s">
        <v>83</v>
      </c>
      <c r="G249">
        <v>1</v>
      </c>
      <c r="H249">
        <v>69</v>
      </c>
      <c r="I249">
        <v>14.68</v>
      </c>
      <c r="J249">
        <v>6.7</v>
      </c>
      <c r="K249">
        <v>1</v>
      </c>
      <c r="L249">
        <v>2.0299999999999998</v>
      </c>
      <c r="M249">
        <v>1.1000000000000001</v>
      </c>
      <c r="N249">
        <v>10.83</v>
      </c>
      <c r="O249">
        <v>3.85</v>
      </c>
      <c r="P249">
        <v>18.11</v>
      </c>
      <c r="Q249" s="4">
        <v>0.26249</v>
      </c>
      <c r="R249" t="s">
        <v>542</v>
      </c>
    </row>
    <row r="250" spans="1:18">
      <c r="A250" t="s">
        <v>543</v>
      </c>
      <c r="B250" t="s">
        <v>132</v>
      </c>
      <c r="C250" t="s">
        <v>48</v>
      </c>
      <c r="D250" t="s">
        <v>49</v>
      </c>
      <c r="E250" t="s">
        <v>82</v>
      </c>
      <c r="F250" t="s">
        <v>102</v>
      </c>
      <c r="G250">
        <v>1</v>
      </c>
      <c r="H250">
        <v>47</v>
      </c>
      <c r="I250">
        <v>10</v>
      </c>
      <c r="J250">
        <v>3.35</v>
      </c>
      <c r="K250">
        <v>1</v>
      </c>
      <c r="L250">
        <v>1.45</v>
      </c>
      <c r="M250">
        <v>0.75</v>
      </c>
      <c r="N250">
        <v>6.55</v>
      </c>
      <c r="O250">
        <v>3.45</v>
      </c>
      <c r="P250">
        <v>16.21</v>
      </c>
      <c r="Q250" s="4">
        <v>0.34486</v>
      </c>
      <c r="R250" t="s">
        <v>544</v>
      </c>
    </row>
    <row r="251" spans="1:18">
      <c r="A251" t="s">
        <v>545</v>
      </c>
      <c r="B251" t="s">
        <v>107</v>
      </c>
      <c r="C251" t="s">
        <v>48</v>
      </c>
      <c r="D251" t="s">
        <v>49</v>
      </c>
      <c r="E251" t="s">
        <v>82</v>
      </c>
      <c r="F251" t="s">
        <v>102</v>
      </c>
      <c r="G251">
        <v>1</v>
      </c>
      <c r="H251">
        <v>47</v>
      </c>
      <c r="I251">
        <v>10</v>
      </c>
      <c r="J251">
        <v>3.35</v>
      </c>
      <c r="K251">
        <v>1</v>
      </c>
      <c r="L251">
        <v>1.45</v>
      </c>
      <c r="M251">
        <v>0.75</v>
      </c>
      <c r="N251">
        <v>6.55</v>
      </c>
      <c r="O251">
        <v>3.45</v>
      </c>
      <c r="P251">
        <v>16.21</v>
      </c>
      <c r="Q251" s="4">
        <v>0.34486</v>
      </c>
      <c r="R251" t="s">
        <v>546</v>
      </c>
    </row>
    <row r="252" spans="1:18">
      <c r="A252" t="s">
        <v>547</v>
      </c>
      <c r="B252" t="s">
        <v>132</v>
      </c>
      <c r="C252" t="s">
        <v>41</v>
      </c>
      <c r="D252" t="s">
        <v>42</v>
      </c>
      <c r="E252" t="s">
        <v>122</v>
      </c>
      <c r="F252" t="s">
        <v>123</v>
      </c>
      <c r="G252">
        <v>1</v>
      </c>
      <c r="H252">
        <v>100</v>
      </c>
      <c r="I252">
        <v>21.28</v>
      </c>
      <c r="J252">
        <v>10.73</v>
      </c>
      <c r="K252">
        <v>1</v>
      </c>
      <c r="L252">
        <v>2.84</v>
      </c>
      <c r="M252">
        <v>1.59</v>
      </c>
      <c r="N252">
        <v>16.16</v>
      </c>
      <c r="O252">
        <v>5.12</v>
      </c>
      <c r="P252">
        <v>24.05</v>
      </c>
      <c r="Q252" s="4">
        <v>0.24055000000000001</v>
      </c>
      <c r="R252" t="s">
        <v>548</v>
      </c>
    </row>
    <row r="253" spans="1:18">
      <c r="A253" t="s">
        <v>549</v>
      </c>
      <c r="B253" t="s">
        <v>132</v>
      </c>
      <c r="C253" t="s">
        <v>48</v>
      </c>
      <c r="D253" t="s">
        <v>49</v>
      </c>
      <c r="E253" t="s">
        <v>82</v>
      </c>
      <c r="F253" t="s">
        <v>102</v>
      </c>
      <c r="G253">
        <v>1</v>
      </c>
      <c r="H253">
        <v>47</v>
      </c>
      <c r="I253">
        <v>10</v>
      </c>
      <c r="J253">
        <v>3.35</v>
      </c>
      <c r="K253">
        <v>1</v>
      </c>
      <c r="L253">
        <v>1.45</v>
      </c>
      <c r="M253">
        <v>0.75</v>
      </c>
      <c r="N253">
        <v>6.55</v>
      </c>
      <c r="O253">
        <v>3.45</v>
      </c>
      <c r="P253">
        <v>16.21</v>
      </c>
      <c r="Q253" s="4">
        <v>0.34486</v>
      </c>
      <c r="R253" t="s">
        <v>550</v>
      </c>
    </row>
    <row r="254" spans="1:18">
      <c r="A254" t="s">
        <v>551</v>
      </c>
      <c r="B254" t="s">
        <v>132</v>
      </c>
      <c r="C254" t="s">
        <v>41</v>
      </c>
      <c r="D254" t="s">
        <v>42</v>
      </c>
      <c r="E254" t="s">
        <v>122</v>
      </c>
      <c r="F254" t="s">
        <v>123</v>
      </c>
      <c r="G254">
        <v>1</v>
      </c>
      <c r="H254">
        <v>100</v>
      </c>
      <c r="I254">
        <v>21.28</v>
      </c>
      <c r="J254">
        <v>10.73</v>
      </c>
      <c r="K254">
        <v>1</v>
      </c>
      <c r="L254">
        <v>2.84</v>
      </c>
      <c r="M254">
        <v>1.59</v>
      </c>
      <c r="N254">
        <v>16.16</v>
      </c>
      <c r="O254">
        <v>5.12</v>
      </c>
      <c r="P254">
        <v>24.05</v>
      </c>
      <c r="Q254" s="4">
        <v>0.24055000000000001</v>
      </c>
      <c r="R254" t="s">
        <v>552</v>
      </c>
    </row>
    <row r="255" spans="1:18">
      <c r="A255" t="s">
        <v>553</v>
      </c>
      <c r="B255" t="s">
        <v>132</v>
      </c>
      <c r="C255" t="s">
        <v>50</v>
      </c>
      <c r="D255" t="s">
        <v>51</v>
      </c>
      <c r="E255" t="s">
        <v>82</v>
      </c>
      <c r="F255" t="s">
        <v>92</v>
      </c>
      <c r="G255">
        <v>1</v>
      </c>
      <c r="H255">
        <v>47</v>
      </c>
      <c r="I255">
        <v>10</v>
      </c>
      <c r="J255">
        <v>3.35</v>
      </c>
      <c r="K255">
        <v>1</v>
      </c>
      <c r="L255">
        <v>1.45</v>
      </c>
      <c r="M255">
        <v>0.75</v>
      </c>
      <c r="N255">
        <v>6.55</v>
      </c>
      <c r="O255">
        <v>3.45</v>
      </c>
      <c r="P255">
        <v>16.21</v>
      </c>
      <c r="Q255" s="4">
        <v>0.34486</v>
      </c>
      <c r="R255" t="s">
        <v>554</v>
      </c>
    </row>
    <row r="256" spans="1:18">
      <c r="A256" t="s">
        <v>555</v>
      </c>
      <c r="B256" t="s">
        <v>132</v>
      </c>
      <c r="C256" t="s">
        <v>41</v>
      </c>
      <c r="D256" t="s">
        <v>42</v>
      </c>
      <c r="E256" t="s">
        <v>122</v>
      </c>
      <c r="F256" t="s">
        <v>123</v>
      </c>
      <c r="G256">
        <v>1</v>
      </c>
      <c r="H256">
        <v>82</v>
      </c>
      <c r="I256">
        <v>17.45</v>
      </c>
      <c r="J256">
        <v>10.73</v>
      </c>
      <c r="K256">
        <v>1</v>
      </c>
      <c r="L256">
        <v>2.37</v>
      </c>
      <c r="M256">
        <v>1.31</v>
      </c>
      <c r="N256">
        <v>15.4</v>
      </c>
      <c r="O256">
        <v>2.0499999999999998</v>
      </c>
      <c r="P256">
        <v>9.6199999999999992</v>
      </c>
      <c r="Q256" s="4">
        <v>0.11726</v>
      </c>
      <c r="R256" t="s">
        <v>556</v>
      </c>
    </row>
    <row r="257" spans="1:18">
      <c r="A257" t="s">
        <v>557</v>
      </c>
      <c r="B257" t="s">
        <v>132</v>
      </c>
      <c r="C257" t="s">
        <v>48</v>
      </c>
      <c r="D257" t="s">
        <v>49</v>
      </c>
      <c r="E257" t="s">
        <v>82</v>
      </c>
      <c r="F257" t="s">
        <v>102</v>
      </c>
      <c r="G257">
        <v>1</v>
      </c>
      <c r="H257">
        <v>47</v>
      </c>
      <c r="I257">
        <v>10</v>
      </c>
      <c r="J257">
        <v>3.35</v>
      </c>
      <c r="K257">
        <v>1</v>
      </c>
      <c r="L257">
        <v>1.45</v>
      </c>
      <c r="M257">
        <v>0.75</v>
      </c>
      <c r="N257">
        <v>6.55</v>
      </c>
      <c r="O257">
        <v>3.45</v>
      </c>
      <c r="P257">
        <v>16.21</v>
      </c>
      <c r="Q257" s="4">
        <v>0.34486</v>
      </c>
      <c r="R257" t="s">
        <v>558</v>
      </c>
    </row>
    <row r="258" spans="1:18">
      <c r="A258" t="s">
        <v>559</v>
      </c>
      <c r="B258" t="s">
        <v>132</v>
      </c>
      <c r="C258" t="s">
        <v>47</v>
      </c>
      <c r="D258" t="s">
        <v>40</v>
      </c>
      <c r="E258" t="s">
        <v>82</v>
      </c>
      <c r="F258" t="s">
        <v>90</v>
      </c>
      <c r="G258">
        <v>1</v>
      </c>
      <c r="H258">
        <v>69</v>
      </c>
      <c r="I258">
        <v>14.68</v>
      </c>
      <c r="J258">
        <v>6.7</v>
      </c>
      <c r="K258">
        <v>1</v>
      </c>
      <c r="L258">
        <v>2.0299999999999998</v>
      </c>
      <c r="M258">
        <v>1.1000000000000001</v>
      </c>
      <c r="N258">
        <v>10.83</v>
      </c>
      <c r="O258">
        <v>3.85</v>
      </c>
      <c r="P258">
        <v>18.11</v>
      </c>
      <c r="Q258" s="4">
        <v>0.26249</v>
      </c>
      <c r="R258" t="s">
        <v>560</v>
      </c>
    </row>
    <row r="259" spans="1:18">
      <c r="A259" t="s">
        <v>561</v>
      </c>
      <c r="B259" t="s">
        <v>132</v>
      </c>
      <c r="C259" t="s">
        <v>45</v>
      </c>
      <c r="D259" t="s">
        <v>46</v>
      </c>
      <c r="E259" t="s">
        <v>82</v>
      </c>
      <c r="F259" t="s">
        <v>97</v>
      </c>
      <c r="G259">
        <v>1</v>
      </c>
      <c r="H259">
        <v>103.2</v>
      </c>
      <c r="I259">
        <v>21.96</v>
      </c>
      <c r="J259">
        <v>20.100000000000001</v>
      </c>
      <c r="K259">
        <v>1</v>
      </c>
      <c r="L259">
        <v>2.92</v>
      </c>
      <c r="M259">
        <v>1.64</v>
      </c>
      <c r="N259">
        <v>25.67</v>
      </c>
      <c r="O259">
        <v>-3.71</v>
      </c>
      <c r="P259">
        <v>-17.43</v>
      </c>
      <c r="Q259" s="4">
        <v>-0.16891999999999999</v>
      </c>
      <c r="R259" t="s">
        <v>562</v>
      </c>
    </row>
    <row r="260" spans="1:18">
      <c r="A260" t="s">
        <v>563</v>
      </c>
      <c r="B260" t="s">
        <v>132</v>
      </c>
      <c r="C260" t="s">
        <v>43</v>
      </c>
      <c r="D260" t="s">
        <v>44</v>
      </c>
      <c r="E260" t="s">
        <v>82</v>
      </c>
      <c r="F260" t="s">
        <v>86</v>
      </c>
      <c r="G260">
        <v>1</v>
      </c>
      <c r="H260">
        <v>120</v>
      </c>
      <c r="I260">
        <v>25.53</v>
      </c>
      <c r="J260">
        <v>13.4</v>
      </c>
      <c r="K260">
        <v>1</v>
      </c>
      <c r="L260">
        <v>3.36</v>
      </c>
      <c r="M260">
        <v>1.91</v>
      </c>
      <c r="N260">
        <v>19.670000000000002</v>
      </c>
      <c r="O260">
        <v>5.86</v>
      </c>
      <c r="P260">
        <v>27.53</v>
      </c>
      <c r="Q260" s="4">
        <v>0.22944999999999999</v>
      </c>
      <c r="R260" t="s">
        <v>564</v>
      </c>
    </row>
    <row r="261" spans="1:18">
      <c r="A261" t="s">
        <v>565</v>
      </c>
      <c r="B261" t="s">
        <v>132</v>
      </c>
      <c r="C261" t="s">
        <v>39</v>
      </c>
      <c r="D261" t="s">
        <v>40</v>
      </c>
      <c r="E261" t="s">
        <v>82</v>
      </c>
      <c r="F261" t="s">
        <v>83</v>
      </c>
      <c r="G261">
        <v>1</v>
      </c>
      <c r="H261">
        <v>69</v>
      </c>
      <c r="I261">
        <v>14.68</v>
      </c>
      <c r="J261">
        <v>6.7</v>
      </c>
      <c r="K261">
        <v>1</v>
      </c>
      <c r="L261">
        <v>2.0299999999999998</v>
      </c>
      <c r="M261">
        <v>1.1000000000000001</v>
      </c>
      <c r="N261">
        <v>10.83</v>
      </c>
      <c r="O261">
        <v>3.85</v>
      </c>
      <c r="P261">
        <v>18.11</v>
      </c>
      <c r="Q261" s="4">
        <v>0.26249</v>
      </c>
      <c r="R261" t="s">
        <v>566</v>
      </c>
    </row>
    <row r="262" spans="1:18">
      <c r="A262" t="s">
        <v>567</v>
      </c>
      <c r="B262" t="s">
        <v>132</v>
      </c>
      <c r="C262" t="s">
        <v>43</v>
      </c>
      <c r="D262" t="s">
        <v>44</v>
      </c>
      <c r="E262" t="s">
        <v>82</v>
      </c>
      <c r="F262" t="s">
        <v>86</v>
      </c>
      <c r="G262">
        <v>1</v>
      </c>
      <c r="H262">
        <v>120</v>
      </c>
      <c r="I262">
        <v>25.53</v>
      </c>
      <c r="J262">
        <v>13.4</v>
      </c>
      <c r="K262">
        <v>1</v>
      </c>
      <c r="L262">
        <v>3.36</v>
      </c>
      <c r="M262">
        <v>1.91</v>
      </c>
      <c r="N262">
        <v>19.670000000000002</v>
      </c>
      <c r="O262">
        <v>5.86</v>
      </c>
      <c r="P262">
        <v>27.53</v>
      </c>
      <c r="Q262" s="4">
        <v>0.22944999999999999</v>
      </c>
      <c r="R262" t="s">
        <v>568</v>
      </c>
    </row>
    <row r="263" spans="1:18">
      <c r="A263" t="s">
        <v>569</v>
      </c>
      <c r="B263" t="s">
        <v>132</v>
      </c>
      <c r="C263" t="s">
        <v>43</v>
      </c>
      <c r="D263" t="s">
        <v>44</v>
      </c>
      <c r="E263" t="s">
        <v>82</v>
      </c>
      <c r="F263" t="s">
        <v>86</v>
      </c>
      <c r="G263">
        <v>1</v>
      </c>
      <c r="H263">
        <v>85</v>
      </c>
      <c r="I263">
        <v>18.09</v>
      </c>
      <c r="J263">
        <v>13.4</v>
      </c>
      <c r="K263">
        <v>1</v>
      </c>
      <c r="L263">
        <v>2.4500000000000002</v>
      </c>
      <c r="M263">
        <v>1.35</v>
      </c>
      <c r="N263">
        <v>18.2</v>
      </c>
      <c r="O263">
        <v>-0.12</v>
      </c>
      <c r="P263">
        <v>-0.54</v>
      </c>
      <c r="Q263" s="4">
        <v>-6.3899999999999998E-3</v>
      </c>
      <c r="R263" t="s">
        <v>570</v>
      </c>
    </row>
    <row r="264" spans="1:18">
      <c r="A264" t="s">
        <v>571</v>
      </c>
      <c r="B264" t="s">
        <v>132</v>
      </c>
      <c r="C264" t="s">
        <v>39</v>
      </c>
      <c r="D264" t="s">
        <v>40</v>
      </c>
      <c r="E264" t="s">
        <v>82</v>
      </c>
      <c r="F264" t="s">
        <v>83</v>
      </c>
      <c r="G264">
        <v>1</v>
      </c>
      <c r="H264">
        <v>69</v>
      </c>
      <c r="I264">
        <v>14.68</v>
      </c>
      <c r="J264">
        <v>6.7</v>
      </c>
      <c r="K264">
        <v>1</v>
      </c>
      <c r="L264">
        <v>2.0299999999999998</v>
      </c>
      <c r="M264">
        <v>1.1000000000000001</v>
      </c>
      <c r="N264">
        <v>10.83</v>
      </c>
      <c r="O264">
        <v>3.85</v>
      </c>
      <c r="P264">
        <v>18.11</v>
      </c>
      <c r="Q264" s="4">
        <v>0.26249</v>
      </c>
      <c r="R264" t="s">
        <v>572</v>
      </c>
    </row>
    <row r="265" spans="1:18">
      <c r="A265" t="s">
        <v>573</v>
      </c>
      <c r="B265" t="s">
        <v>132</v>
      </c>
      <c r="C265" t="s">
        <v>39</v>
      </c>
      <c r="D265" t="s">
        <v>40</v>
      </c>
      <c r="E265" t="s">
        <v>82</v>
      </c>
      <c r="F265" t="s">
        <v>83</v>
      </c>
      <c r="G265">
        <v>1</v>
      </c>
      <c r="H265">
        <v>68.599999999999994</v>
      </c>
      <c r="I265">
        <v>14.6</v>
      </c>
      <c r="J265">
        <v>6.7</v>
      </c>
      <c r="K265">
        <v>1</v>
      </c>
      <c r="L265">
        <v>2.02</v>
      </c>
      <c r="M265">
        <v>1.0900000000000001</v>
      </c>
      <c r="N265">
        <v>10.81</v>
      </c>
      <c r="O265">
        <v>3.79</v>
      </c>
      <c r="P265">
        <v>17.79</v>
      </c>
      <c r="Q265" s="4">
        <v>0.25934000000000001</v>
      </c>
      <c r="R265" t="s">
        <v>574</v>
      </c>
    </row>
    <row r="266" spans="1:18">
      <c r="A266" t="s">
        <v>575</v>
      </c>
      <c r="B266" t="s">
        <v>132</v>
      </c>
      <c r="C266" t="s">
        <v>47</v>
      </c>
      <c r="D266" t="s">
        <v>40</v>
      </c>
      <c r="E266" t="s">
        <v>82</v>
      </c>
      <c r="F266" t="s">
        <v>90</v>
      </c>
      <c r="G266">
        <v>1</v>
      </c>
      <c r="H266">
        <v>69</v>
      </c>
      <c r="I266">
        <v>14.68</v>
      </c>
      <c r="J266">
        <v>6.7</v>
      </c>
      <c r="K266">
        <v>1</v>
      </c>
      <c r="L266">
        <v>2.0299999999999998</v>
      </c>
      <c r="M266">
        <v>1.1000000000000001</v>
      </c>
      <c r="N266">
        <v>10.83</v>
      </c>
      <c r="O266">
        <v>3.85</v>
      </c>
      <c r="P266">
        <v>18.11</v>
      </c>
      <c r="Q266" s="4">
        <v>0.26249</v>
      </c>
      <c r="R266" t="s">
        <v>576</v>
      </c>
    </row>
    <row r="267" spans="1:18">
      <c r="A267" t="s">
        <v>577</v>
      </c>
      <c r="B267" t="s">
        <v>132</v>
      </c>
      <c r="C267" t="s">
        <v>39</v>
      </c>
      <c r="D267" t="s">
        <v>40</v>
      </c>
      <c r="E267" t="s">
        <v>82</v>
      </c>
      <c r="F267" t="s">
        <v>83</v>
      </c>
      <c r="G267">
        <v>1</v>
      </c>
      <c r="H267">
        <v>135</v>
      </c>
      <c r="I267">
        <v>28.72</v>
      </c>
      <c r="J267">
        <v>6.7</v>
      </c>
      <c r="K267">
        <v>1</v>
      </c>
      <c r="L267">
        <v>3.75</v>
      </c>
      <c r="M267">
        <v>2.15</v>
      </c>
      <c r="N267">
        <v>13.6</v>
      </c>
      <c r="O267">
        <v>15.12</v>
      </c>
      <c r="P267">
        <v>71.06</v>
      </c>
      <c r="Q267" s="4">
        <v>0.52634999999999998</v>
      </c>
      <c r="R267" t="s">
        <v>578</v>
      </c>
    </row>
    <row r="268" spans="1:18">
      <c r="A268" t="s">
        <v>577</v>
      </c>
      <c r="B268" t="s">
        <v>132</v>
      </c>
      <c r="C268" t="s">
        <v>47</v>
      </c>
      <c r="D268" t="s">
        <v>40</v>
      </c>
      <c r="E268" t="s">
        <v>82</v>
      </c>
      <c r="F268" t="s">
        <v>90</v>
      </c>
      <c r="G268">
        <v>1</v>
      </c>
      <c r="H268">
        <v>135</v>
      </c>
      <c r="I268">
        <v>28.72</v>
      </c>
      <c r="J268">
        <v>6.7</v>
      </c>
      <c r="K268">
        <v>1</v>
      </c>
      <c r="L268">
        <v>3.75</v>
      </c>
      <c r="M268">
        <v>2.15</v>
      </c>
      <c r="N268">
        <v>13.6</v>
      </c>
      <c r="O268">
        <v>15.12</v>
      </c>
      <c r="P268">
        <v>71.06</v>
      </c>
      <c r="Q268" s="4">
        <v>0.52634999999999998</v>
      </c>
      <c r="R268" t="s">
        <v>578</v>
      </c>
    </row>
    <row r="269" spans="1:18">
      <c r="A269" t="s">
        <v>579</v>
      </c>
      <c r="B269" t="s">
        <v>132</v>
      </c>
      <c r="C269" t="s">
        <v>54</v>
      </c>
      <c r="D269" t="s">
        <v>44</v>
      </c>
      <c r="E269" t="s">
        <v>82</v>
      </c>
      <c r="F269" t="s">
        <v>164</v>
      </c>
      <c r="G269">
        <v>1</v>
      </c>
      <c r="H269">
        <v>75</v>
      </c>
      <c r="I269">
        <v>15.96</v>
      </c>
      <c r="J269">
        <v>13.4</v>
      </c>
      <c r="K269">
        <v>1</v>
      </c>
      <c r="L269">
        <v>2.1800000000000002</v>
      </c>
      <c r="M269">
        <v>1.2</v>
      </c>
      <c r="N269">
        <v>17.78</v>
      </c>
      <c r="O269">
        <v>-1.82</v>
      </c>
      <c r="P269">
        <v>-8.56</v>
      </c>
      <c r="Q269" s="4">
        <v>-0.1142</v>
      </c>
      <c r="R269" t="s">
        <v>580</v>
      </c>
    </row>
    <row r="270" spans="1:18">
      <c r="A270" t="s">
        <v>581</v>
      </c>
      <c r="B270" t="s">
        <v>132</v>
      </c>
      <c r="C270" t="s">
        <v>43</v>
      </c>
      <c r="D270" t="s">
        <v>44</v>
      </c>
      <c r="E270" t="s">
        <v>82</v>
      </c>
      <c r="F270" t="s">
        <v>86</v>
      </c>
      <c r="G270">
        <v>1</v>
      </c>
      <c r="H270">
        <v>125</v>
      </c>
      <c r="I270">
        <v>26.6</v>
      </c>
      <c r="J270">
        <v>13.4</v>
      </c>
      <c r="K270">
        <v>1</v>
      </c>
      <c r="L270">
        <v>3.49</v>
      </c>
      <c r="M270">
        <v>1.99</v>
      </c>
      <c r="N270">
        <v>19.88</v>
      </c>
      <c r="O270">
        <v>6.71</v>
      </c>
      <c r="P270">
        <v>31.55</v>
      </c>
      <c r="Q270" s="4">
        <v>0.25235999999999997</v>
      </c>
      <c r="R270" t="s">
        <v>582</v>
      </c>
    </row>
    <row r="271" spans="1:18">
      <c r="A271" t="s">
        <v>583</v>
      </c>
      <c r="B271" t="s">
        <v>107</v>
      </c>
      <c r="C271" t="s">
        <v>48</v>
      </c>
      <c r="D271" t="s">
        <v>49</v>
      </c>
      <c r="E271" t="s">
        <v>82</v>
      </c>
      <c r="F271" t="s">
        <v>102</v>
      </c>
      <c r="G271">
        <v>1</v>
      </c>
      <c r="H271">
        <v>47</v>
      </c>
      <c r="I271">
        <v>10</v>
      </c>
      <c r="J271">
        <v>3.35</v>
      </c>
      <c r="K271">
        <v>1</v>
      </c>
      <c r="L271">
        <v>1.45</v>
      </c>
      <c r="M271">
        <v>0.75</v>
      </c>
      <c r="N271">
        <v>6.55</v>
      </c>
      <c r="O271">
        <v>3.45</v>
      </c>
      <c r="P271">
        <v>16.21</v>
      </c>
      <c r="Q271" s="4">
        <v>0.34486</v>
      </c>
      <c r="R271" t="s">
        <v>584</v>
      </c>
    </row>
    <row r="272" spans="1:18">
      <c r="A272" t="s">
        <v>585</v>
      </c>
      <c r="B272" t="s">
        <v>132</v>
      </c>
      <c r="C272" t="s">
        <v>41</v>
      </c>
      <c r="D272" t="s">
        <v>42</v>
      </c>
      <c r="E272" t="s">
        <v>122</v>
      </c>
      <c r="F272" t="s">
        <v>123</v>
      </c>
      <c r="G272">
        <v>2</v>
      </c>
      <c r="H272">
        <v>205</v>
      </c>
      <c r="I272">
        <v>43.62</v>
      </c>
      <c r="J272">
        <v>21.45</v>
      </c>
      <c r="K272">
        <v>1</v>
      </c>
      <c r="L272">
        <v>5.58</v>
      </c>
      <c r="M272">
        <v>3.27</v>
      </c>
      <c r="N272">
        <v>31.3</v>
      </c>
      <c r="O272">
        <v>12.31</v>
      </c>
      <c r="P272">
        <v>57.87</v>
      </c>
      <c r="Q272" s="4">
        <v>0.2823</v>
      </c>
      <c r="R272" t="s">
        <v>586</v>
      </c>
    </row>
    <row r="273" spans="1:18">
      <c r="A273" t="s">
        <v>587</v>
      </c>
      <c r="B273" t="s">
        <v>132</v>
      </c>
      <c r="C273" t="s">
        <v>47</v>
      </c>
      <c r="D273" t="s">
        <v>40</v>
      </c>
      <c r="E273" t="s">
        <v>82</v>
      </c>
      <c r="F273" t="s">
        <v>90</v>
      </c>
      <c r="G273">
        <v>1</v>
      </c>
      <c r="H273">
        <v>69</v>
      </c>
      <c r="I273">
        <v>14.68</v>
      </c>
      <c r="J273">
        <v>6.7</v>
      </c>
      <c r="K273">
        <v>1</v>
      </c>
      <c r="L273">
        <v>2.0299999999999998</v>
      </c>
      <c r="M273">
        <v>1.1000000000000001</v>
      </c>
      <c r="N273">
        <v>10.83</v>
      </c>
      <c r="O273">
        <v>3.85</v>
      </c>
      <c r="P273">
        <v>18.11</v>
      </c>
      <c r="Q273" s="4">
        <v>0.26249</v>
      </c>
      <c r="R273" t="s">
        <v>588</v>
      </c>
    </row>
    <row r="274" spans="1:18">
      <c r="A274" t="s">
        <v>589</v>
      </c>
      <c r="B274" t="s">
        <v>132</v>
      </c>
      <c r="C274" t="s">
        <v>39</v>
      </c>
      <c r="D274" t="s">
        <v>40</v>
      </c>
      <c r="E274" t="s">
        <v>82</v>
      </c>
      <c r="F274" t="s">
        <v>83</v>
      </c>
      <c r="G274">
        <v>1</v>
      </c>
      <c r="H274">
        <v>63.48</v>
      </c>
      <c r="I274">
        <v>13.51</v>
      </c>
      <c r="J274">
        <v>6.7</v>
      </c>
      <c r="K274">
        <v>1</v>
      </c>
      <c r="L274">
        <v>1.88</v>
      </c>
      <c r="M274">
        <v>1.01</v>
      </c>
      <c r="N274">
        <v>10.59</v>
      </c>
      <c r="O274">
        <v>2.91</v>
      </c>
      <c r="P274">
        <v>13.68</v>
      </c>
      <c r="Q274" s="4">
        <v>0.21556</v>
      </c>
      <c r="R274" t="s">
        <v>590</v>
      </c>
    </row>
    <row r="275" spans="1:18">
      <c r="A275" t="s">
        <v>591</v>
      </c>
      <c r="B275" t="s">
        <v>132</v>
      </c>
      <c r="C275" t="s">
        <v>39</v>
      </c>
      <c r="D275" t="s">
        <v>40</v>
      </c>
      <c r="E275" t="s">
        <v>82</v>
      </c>
      <c r="F275" t="s">
        <v>83</v>
      </c>
      <c r="G275">
        <v>1</v>
      </c>
      <c r="H275">
        <v>69</v>
      </c>
      <c r="I275">
        <v>14.68</v>
      </c>
      <c r="J275">
        <v>6.7</v>
      </c>
      <c r="K275">
        <v>1</v>
      </c>
      <c r="L275">
        <v>2.0299999999999998</v>
      </c>
      <c r="M275">
        <v>1.1000000000000001</v>
      </c>
      <c r="N275">
        <v>10.83</v>
      </c>
      <c r="O275">
        <v>3.85</v>
      </c>
      <c r="P275">
        <v>18.11</v>
      </c>
      <c r="Q275" s="4">
        <v>0.26249</v>
      </c>
      <c r="R275" t="s">
        <v>592</v>
      </c>
    </row>
    <row r="276" spans="1:18">
      <c r="A276" t="s">
        <v>593</v>
      </c>
      <c r="B276" t="s">
        <v>132</v>
      </c>
      <c r="C276" t="s">
        <v>48</v>
      </c>
      <c r="D276" t="s">
        <v>49</v>
      </c>
      <c r="E276" t="s">
        <v>82</v>
      </c>
      <c r="F276" t="s">
        <v>102</v>
      </c>
      <c r="G276">
        <v>1</v>
      </c>
      <c r="H276">
        <v>43.24</v>
      </c>
      <c r="I276">
        <v>9.1999999999999993</v>
      </c>
      <c r="J276">
        <v>3.35</v>
      </c>
      <c r="K276">
        <v>1</v>
      </c>
      <c r="L276">
        <v>1.35</v>
      </c>
      <c r="M276">
        <v>0.69</v>
      </c>
      <c r="N276">
        <v>6.39</v>
      </c>
      <c r="O276">
        <v>2.81</v>
      </c>
      <c r="P276">
        <v>13.19</v>
      </c>
      <c r="Q276" s="4">
        <v>0.30508999999999997</v>
      </c>
      <c r="R276" t="s">
        <v>594</v>
      </c>
    </row>
    <row r="277" spans="1:18">
      <c r="A277" t="s">
        <v>595</v>
      </c>
      <c r="B277" t="s">
        <v>132</v>
      </c>
      <c r="C277" t="s">
        <v>43</v>
      </c>
      <c r="D277" t="s">
        <v>44</v>
      </c>
      <c r="E277" t="s">
        <v>82</v>
      </c>
      <c r="F277" t="s">
        <v>86</v>
      </c>
      <c r="G277">
        <v>1</v>
      </c>
      <c r="H277">
        <v>120</v>
      </c>
      <c r="I277">
        <v>25.53</v>
      </c>
      <c r="J277">
        <v>13.4</v>
      </c>
      <c r="K277">
        <v>1</v>
      </c>
      <c r="L277">
        <v>3.36</v>
      </c>
      <c r="M277">
        <v>1.91</v>
      </c>
      <c r="N277">
        <v>19.670000000000002</v>
      </c>
      <c r="O277">
        <v>5.86</v>
      </c>
      <c r="P277">
        <v>27.53</v>
      </c>
      <c r="Q277" s="4">
        <v>0.22944999999999999</v>
      </c>
      <c r="R277" t="s">
        <v>596</v>
      </c>
    </row>
    <row r="278" spans="1:18">
      <c r="A278" t="s">
        <v>597</v>
      </c>
      <c r="B278" t="s">
        <v>132</v>
      </c>
      <c r="C278" t="s">
        <v>45</v>
      </c>
      <c r="D278" t="s">
        <v>46</v>
      </c>
      <c r="E278" t="s">
        <v>82</v>
      </c>
      <c r="F278" t="s">
        <v>97</v>
      </c>
      <c r="G278">
        <v>4</v>
      </c>
      <c r="H278">
        <v>663</v>
      </c>
      <c r="I278">
        <v>141.06</v>
      </c>
      <c r="J278">
        <v>80.400000000000006</v>
      </c>
      <c r="K278">
        <v>1</v>
      </c>
      <c r="L278">
        <v>17.559999999999999</v>
      </c>
      <c r="M278">
        <v>10.57</v>
      </c>
      <c r="N278">
        <v>109.53</v>
      </c>
      <c r="O278">
        <v>31.54</v>
      </c>
      <c r="P278">
        <v>148.22999999999999</v>
      </c>
      <c r="Q278" s="4">
        <v>0.22356999999999999</v>
      </c>
      <c r="R278" t="s">
        <v>598</v>
      </c>
    </row>
    <row r="279" spans="1:18">
      <c r="A279" t="s">
        <v>599</v>
      </c>
      <c r="B279" t="s">
        <v>132</v>
      </c>
      <c r="C279" t="s">
        <v>43</v>
      </c>
      <c r="D279" t="s">
        <v>44</v>
      </c>
      <c r="E279" t="s">
        <v>82</v>
      </c>
      <c r="F279" t="s">
        <v>86</v>
      </c>
      <c r="G279">
        <v>1</v>
      </c>
      <c r="H279">
        <v>120</v>
      </c>
      <c r="I279">
        <v>25.53</v>
      </c>
      <c r="J279">
        <v>13.4</v>
      </c>
      <c r="K279">
        <v>1</v>
      </c>
      <c r="L279">
        <v>3.36</v>
      </c>
      <c r="M279">
        <v>1.91</v>
      </c>
      <c r="N279">
        <v>19.670000000000002</v>
      </c>
      <c r="O279">
        <v>5.86</v>
      </c>
      <c r="P279">
        <v>27.53</v>
      </c>
      <c r="Q279" s="4">
        <v>0.22944999999999999</v>
      </c>
      <c r="R279" t="s">
        <v>600</v>
      </c>
    </row>
    <row r="280" spans="1:18">
      <c r="A280" t="s">
        <v>601</v>
      </c>
      <c r="B280" t="s">
        <v>132</v>
      </c>
      <c r="C280" t="s">
        <v>47</v>
      </c>
      <c r="D280" t="s">
        <v>40</v>
      </c>
      <c r="E280" t="s">
        <v>82</v>
      </c>
      <c r="F280" t="s">
        <v>90</v>
      </c>
      <c r="G280">
        <v>1</v>
      </c>
      <c r="H280">
        <v>64.400000000000006</v>
      </c>
      <c r="I280">
        <v>13.7</v>
      </c>
      <c r="J280">
        <v>6.7</v>
      </c>
      <c r="K280">
        <v>1</v>
      </c>
      <c r="L280">
        <v>1.91</v>
      </c>
      <c r="M280">
        <v>1.03</v>
      </c>
      <c r="N280">
        <v>10.63</v>
      </c>
      <c r="O280">
        <v>3.07</v>
      </c>
      <c r="P280">
        <v>14.42</v>
      </c>
      <c r="Q280" s="4">
        <v>0.22394</v>
      </c>
      <c r="R280" t="s">
        <v>602</v>
      </c>
    </row>
    <row r="281" spans="1:18">
      <c r="A281" t="s">
        <v>603</v>
      </c>
      <c r="B281" t="s">
        <v>132</v>
      </c>
      <c r="C281" t="s">
        <v>39</v>
      </c>
      <c r="D281" t="s">
        <v>40</v>
      </c>
      <c r="E281" t="s">
        <v>82</v>
      </c>
      <c r="F281" t="s">
        <v>83</v>
      </c>
      <c r="G281">
        <v>1</v>
      </c>
      <c r="H281">
        <v>70</v>
      </c>
      <c r="I281">
        <v>14.89</v>
      </c>
      <c r="J281">
        <v>6.7</v>
      </c>
      <c r="K281">
        <v>1</v>
      </c>
      <c r="L281">
        <v>2.0499999999999998</v>
      </c>
      <c r="M281">
        <v>1.1200000000000001</v>
      </c>
      <c r="N281">
        <v>10.87</v>
      </c>
      <c r="O281">
        <v>4.0199999999999996</v>
      </c>
      <c r="P281">
        <v>18.91</v>
      </c>
      <c r="Q281" s="4">
        <v>0.2702</v>
      </c>
      <c r="R281" t="s">
        <v>604</v>
      </c>
    </row>
    <row r="282" spans="1:18">
      <c r="A282" t="s">
        <v>605</v>
      </c>
      <c r="B282" t="s">
        <v>132</v>
      </c>
      <c r="C282" t="s">
        <v>43</v>
      </c>
      <c r="D282" t="s">
        <v>44</v>
      </c>
      <c r="E282" t="s">
        <v>82</v>
      </c>
      <c r="F282" t="s">
        <v>86</v>
      </c>
      <c r="G282">
        <v>1</v>
      </c>
      <c r="H282">
        <v>125</v>
      </c>
      <c r="I282">
        <v>26.6</v>
      </c>
      <c r="J282">
        <v>13.4</v>
      </c>
      <c r="K282">
        <v>1</v>
      </c>
      <c r="L282">
        <v>3.49</v>
      </c>
      <c r="M282">
        <v>1.99</v>
      </c>
      <c r="N282">
        <v>19.88</v>
      </c>
      <c r="O282">
        <v>6.71</v>
      </c>
      <c r="P282">
        <v>31.55</v>
      </c>
      <c r="Q282" s="4">
        <v>0.25235999999999997</v>
      </c>
      <c r="R282" t="s">
        <v>606</v>
      </c>
    </row>
    <row r="283" spans="1:18">
      <c r="A283" t="s">
        <v>607</v>
      </c>
      <c r="B283" t="s">
        <v>132</v>
      </c>
      <c r="C283" t="s">
        <v>45</v>
      </c>
      <c r="D283" t="s">
        <v>46</v>
      </c>
      <c r="E283" t="s">
        <v>82</v>
      </c>
      <c r="F283" t="s">
        <v>97</v>
      </c>
      <c r="G283">
        <v>1</v>
      </c>
      <c r="H283">
        <v>339</v>
      </c>
      <c r="I283">
        <v>72.13</v>
      </c>
      <c r="J283">
        <v>20.100000000000001</v>
      </c>
      <c r="K283">
        <v>1</v>
      </c>
      <c r="L283">
        <v>9.09</v>
      </c>
      <c r="M283">
        <v>5.4</v>
      </c>
      <c r="N283">
        <v>35.590000000000003</v>
      </c>
      <c r="O283">
        <v>36.54</v>
      </c>
      <c r="P283">
        <v>171.73</v>
      </c>
      <c r="Q283" s="4">
        <v>0.50656999999999996</v>
      </c>
      <c r="R283" t="s">
        <v>608</v>
      </c>
    </row>
    <row r="284" spans="1:18">
      <c r="A284" t="s">
        <v>607</v>
      </c>
      <c r="B284" t="s">
        <v>132</v>
      </c>
      <c r="C284" t="s">
        <v>55</v>
      </c>
      <c r="D284" t="s">
        <v>46</v>
      </c>
      <c r="E284" t="s">
        <v>82</v>
      </c>
      <c r="F284" t="s">
        <v>158</v>
      </c>
      <c r="G284">
        <v>1</v>
      </c>
      <c r="H284">
        <v>339</v>
      </c>
      <c r="I284">
        <v>72.13</v>
      </c>
      <c r="J284">
        <v>20.100000000000001</v>
      </c>
      <c r="K284">
        <v>1</v>
      </c>
      <c r="L284">
        <v>9.09</v>
      </c>
      <c r="M284">
        <v>5.4</v>
      </c>
      <c r="N284">
        <v>35.590000000000003</v>
      </c>
      <c r="O284">
        <v>36.54</v>
      </c>
      <c r="P284">
        <v>171.73</v>
      </c>
      <c r="Q284" s="4">
        <v>0.50656999999999996</v>
      </c>
      <c r="R284" t="s">
        <v>608</v>
      </c>
    </row>
    <row r="285" spans="1:18">
      <c r="A285" t="s">
        <v>609</v>
      </c>
      <c r="B285" t="s">
        <v>107</v>
      </c>
      <c r="C285" t="s">
        <v>39</v>
      </c>
      <c r="D285" t="s">
        <v>40</v>
      </c>
      <c r="E285" t="s">
        <v>82</v>
      </c>
      <c r="F285" t="s">
        <v>83</v>
      </c>
      <c r="G285">
        <v>1</v>
      </c>
      <c r="H285">
        <v>69</v>
      </c>
      <c r="I285">
        <v>14.68</v>
      </c>
      <c r="J285">
        <v>6.7</v>
      </c>
      <c r="K285">
        <v>1</v>
      </c>
      <c r="L285">
        <v>2.0299999999999998</v>
      </c>
      <c r="M285">
        <v>1.1000000000000001</v>
      </c>
      <c r="N285">
        <v>10.83</v>
      </c>
      <c r="O285">
        <v>3.85</v>
      </c>
      <c r="P285">
        <v>18.11</v>
      </c>
      <c r="Q285" s="4">
        <v>0.26249</v>
      </c>
      <c r="R285" t="s">
        <v>610</v>
      </c>
    </row>
    <row r="286" spans="1:18">
      <c r="A286" t="s">
        <v>611</v>
      </c>
      <c r="B286" t="s">
        <v>132</v>
      </c>
      <c r="C286" t="s">
        <v>41</v>
      </c>
      <c r="D286" t="s">
        <v>42</v>
      </c>
      <c r="E286" t="s">
        <v>122</v>
      </c>
      <c r="F286" t="s">
        <v>123</v>
      </c>
      <c r="G286">
        <v>1</v>
      </c>
      <c r="H286">
        <v>104</v>
      </c>
      <c r="I286">
        <v>22.13</v>
      </c>
      <c r="J286">
        <v>10.73</v>
      </c>
      <c r="K286">
        <v>1</v>
      </c>
      <c r="L286">
        <v>2.94</v>
      </c>
      <c r="M286">
        <v>1.66</v>
      </c>
      <c r="N286">
        <v>16.329999999999998</v>
      </c>
      <c r="O286">
        <v>5.8</v>
      </c>
      <c r="P286">
        <v>27.26</v>
      </c>
      <c r="Q286" s="4">
        <v>0.26214999999999999</v>
      </c>
      <c r="R286" t="s">
        <v>612</v>
      </c>
    </row>
    <row r="287" spans="1:18">
      <c r="A287" t="s">
        <v>613</v>
      </c>
      <c r="B287" t="s">
        <v>132</v>
      </c>
      <c r="C287" t="s">
        <v>47</v>
      </c>
      <c r="D287" t="s">
        <v>40</v>
      </c>
      <c r="E287" t="s">
        <v>82</v>
      </c>
      <c r="F287" t="s">
        <v>90</v>
      </c>
      <c r="G287">
        <v>1</v>
      </c>
      <c r="H287">
        <v>63.48</v>
      </c>
      <c r="I287">
        <v>13.51</v>
      </c>
      <c r="J287">
        <v>6.7</v>
      </c>
      <c r="K287">
        <v>1</v>
      </c>
      <c r="L287">
        <v>1.88</v>
      </c>
      <c r="M287">
        <v>1.01</v>
      </c>
      <c r="N287">
        <v>10.59</v>
      </c>
      <c r="O287">
        <v>2.91</v>
      </c>
      <c r="P287">
        <v>13.68</v>
      </c>
      <c r="Q287" s="4">
        <v>0.21556</v>
      </c>
      <c r="R287" t="s">
        <v>614</v>
      </c>
    </row>
    <row r="288" spans="1:18">
      <c r="A288" t="s">
        <v>615</v>
      </c>
      <c r="B288" t="s">
        <v>132</v>
      </c>
      <c r="C288" t="s">
        <v>48</v>
      </c>
      <c r="D288" t="s">
        <v>49</v>
      </c>
      <c r="E288" t="s">
        <v>82</v>
      </c>
      <c r="F288" t="s">
        <v>102</v>
      </c>
      <c r="G288">
        <v>1</v>
      </c>
      <c r="H288">
        <v>47</v>
      </c>
      <c r="I288">
        <v>10</v>
      </c>
      <c r="J288">
        <v>3.35</v>
      </c>
      <c r="K288">
        <v>1</v>
      </c>
      <c r="L288">
        <v>1.45</v>
      </c>
      <c r="M288">
        <v>0.75</v>
      </c>
      <c r="N288">
        <v>6.55</v>
      </c>
      <c r="O288">
        <v>3.45</v>
      </c>
      <c r="P288">
        <v>16.21</v>
      </c>
      <c r="Q288" s="4">
        <v>0.34486</v>
      </c>
      <c r="R288" t="s">
        <v>616</v>
      </c>
    </row>
    <row r="289" spans="1:18">
      <c r="A289" t="s">
        <v>617</v>
      </c>
      <c r="B289" t="s">
        <v>132</v>
      </c>
      <c r="C289" t="s">
        <v>43</v>
      </c>
      <c r="D289" t="s">
        <v>44</v>
      </c>
      <c r="E289" t="s">
        <v>82</v>
      </c>
      <c r="F289" t="s">
        <v>86</v>
      </c>
      <c r="G289">
        <v>1</v>
      </c>
      <c r="H289">
        <v>158</v>
      </c>
      <c r="I289">
        <v>33.619999999999997</v>
      </c>
      <c r="J289">
        <v>13.4</v>
      </c>
      <c r="K289">
        <v>1</v>
      </c>
      <c r="L289">
        <v>4.3499999999999996</v>
      </c>
      <c r="M289">
        <v>2.52</v>
      </c>
      <c r="N289">
        <v>21.27</v>
      </c>
      <c r="O289">
        <v>12.34</v>
      </c>
      <c r="P289">
        <v>58.02</v>
      </c>
      <c r="Q289" s="4">
        <v>0.36720000000000003</v>
      </c>
      <c r="R289" t="s">
        <v>618</v>
      </c>
    </row>
    <row r="290" spans="1:18">
      <c r="A290" t="s">
        <v>619</v>
      </c>
      <c r="B290" t="s">
        <v>107</v>
      </c>
      <c r="C290" t="s">
        <v>39</v>
      </c>
      <c r="D290" t="s">
        <v>40</v>
      </c>
      <c r="E290" t="s">
        <v>137</v>
      </c>
      <c r="F290" t="s">
        <v>491</v>
      </c>
      <c r="G290">
        <v>1</v>
      </c>
      <c r="H290">
        <v>68</v>
      </c>
      <c r="I290">
        <v>14.47</v>
      </c>
      <c r="J290">
        <v>6.7</v>
      </c>
      <c r="K290">
        <v>1</v>
      </c>
      <c r="L290">
        <v>2</v>
      </c>
      <c r="M290">
        <v>1.08</v>
      </c>
      <c r="N290">
        <v>10.79</v>
      </c>
      <c r="O290">
        <v>3.68</v>
      </c>
      <c r="P290">
        <v>17.309999999999999</v>
      </c>
      <c r="Q290" s="4">
        <v>0.25455</v>
      </c>
      <c r="R290" t="s">
        <v>620</v>
      </c>
    </row>
    <row r="291" spans="1:18">
      <c r="A291" t="s">
        <v>621</v>
      </c>
      <c r="B291" t="s">
        <v>622</v>
      </c>
      <c r="C291" t="s">
        <v>47</v>
      </c>
      <c r="D291" t="s">
        <v>40</v>
      </c>
      <c r="E291" t="s">
        <v>82</v>
      </c>
      <c r="F291" t="s">
        <v>90</v>
      </c>
      <c r="G291">
        <v>1</v>
      </c>
      <c r="H291">
        <v>63.48</v>
      </c>
      <c r="I291">
        <v>13.51</v>
      </c>
      <c r="J291">
        <v>6.7</v>
      </c>
      <c r="K291">
        <v>1</v>
      </c>
      <c r="L291">
        <v>1.88</v>
      </c>
      <c r="M291">
        <v>1.01</v>
      </c>
      <c r="N291">
        <v>10.59</v>
      </c>
      <c r="O291">
        <v>2.91</v>
      </c>
      <c r="P291">
        <v>13.68</v>
      </c>
      <c r="Q291" s="4">
        <v>0.21556</v>
      </c>
      <c r="R291" t="s">
        <v>623</v>
      </c>
    </row>
    <row r="292" spans="1:18">
      <c r="A292" t="s">
        <v>624</v>
      </c>
      <c r="B292" t="s">
        <v>107</v>
      </c>
      <c r="C292" t="s">
        <v>48</v>
      </c>
      <c r="D292" t="s">
        <v>49</v>
      </c>
      <c r="E292" t="s">
        <v>82</v>
      </c>
      <c r="F292" t="s">
        <v>102</v>
      </c>
      <c r="G292">
        <v>1</v>
      </c>
      <c r="H292">
        <v>47</v>
      </c>
      <c r="I292">
        <v>10</v>
      </c>
      <c r="J292">
        <v>3.35</v>
      </c>
      <c r="K292">
        <v>1</v>
      </c>
      <c r="L292">
        <v>1.45</v>
      </c>
      <c r="M292">
        <v>0.75</v>
      </c>
      <c r="N292">
        <v>6.55</v>
      </c>
      <c r="O292">
        <v>3.45</v>
      </c>
      <c r="P292">
        <v>16.21</v>
      </c>
      <c r="Q292" s="4">
        <v>0.34486</v>
      </c>
      <c r="R292" t="s">
        <v>625</v>
      </c>
    </row>
    <row r="293" spans="1:18">
      <c r="A293" t="s">
        <v>626</v>
      </c>
      <c r="B293" t="s">
        <v>622</v>
      </c>
      <c r="C293" t="s">
        <v>41</v>
      </c>
      <c r="D293" t="s">
        <v>42</v>
      </c>
      <c r="E293" t="s">
        <v>122</v>
      </c>
      <c r="F293" t="s">
        <v>123</v>
      </c>
      <c r="G293">
        <v>2</v>
      </c>
      <c r="H293">
        <v>126</v>
      </c>
      <c r="I293">
        <v>26.81</v>
      </c>
      <c r="J293">
        <v>21.45</v>
      </c>
      <c r="K293">
        <v>1</v>
      </c>
      <c r="L293">
        <v>3.52</v>
      </c>
      <c r="M293">
        <v>2.0099999999999998</v>
      </c>
      <c r="N293">
        <v>27.98</v>
      </c>
      <c r="O293">
        <v>-1.17</v>
      </c>
      <c r="P293">
        <v>-5.5</v>
      </c>
      <c r="Q293" s="4">
        <v>-4.3679999999999997E-2</v>
      </c>
      <c r="R293" t="s">
        <v>627</v>
      </c>
    </row>
    <row r="294" spans="1:18">
      <c r="A294" t="s">
        <v>628</v>
      </c>
      <c r="B294" t="s">
        <v>622</v>
      </c>
      <c r="C294" t="s">
        <v>43</v>
      </c>
      <c r="D294" t="s">
        <v>44</v>
      </c>
      <c r="E294" t="s">
        <v>82</v>
      </c>
      <c r="F294" t="s">
        <v>86</v>
      </c>
      <c r="G294">
        <v>1</v>
      </c>
      <c r="H294">
        <v>125</v>
      </c>
      <c r="I294">
        <v>26.6</v>
      </c>
      <c r="J294">
        <v>13.4</v>
      </c>
      <c r="K294">
        <v>1</v>
      </c>
      <c r="L294">
        <v>3.49</v>
      </c>
      <c r="M294">
        <v>1.99</v>
      </c>
      <c r="N294">
        <v>19.88</v>
      </c>
      <c r="O294">
        <v>6.71</v>
      </c>
      <c r="P294">
        <v>31.55</v>
      </c>
      <c r="Q294" s="4">
        <v>0.25235999999999997</v>
      </c>
      <c r="R294" t="s">
        <v>629</v>
      </c>
    </row>
    <row r="295" spans="1:18">
      <c r="A295" t="s">
        <v>630</v>
      </c>
      <c r="B295" t="s">
        <v>622</v>
      </c>
      <c r="C295" t="s">
        <v>50</v>
      </c>
      <c r="D295" t="s">
        <v>51</v>
      </c>
      <c r="E295" t="s">
        <v>82</v>
      </c>
      <c r="F295" t="s">
        <v>92</v>
      </c>
      <c r="G295">
        <v>1</v>
      </c>
      <c r="H295">
        <v>94</v>
      </c>
      <c r="I295">
        <v>20</v>
      </c>
      <c r="J295">
        <v>3.35</v>
      </c>
      <c r="K295">
        <v>1</v>
      </c>
      <c r="L295">
        <v>2.68</v>
      </c>
      <c r="M295">
        <v>1.5</v>
      </c>
      <c r="N295">
        <v>8.5299999999999994</v>
      </c>
      <c r="O295">
        <v>11.47</v>
      </c>
      <c r="P295">
        <v>53.91</v>
      </c>
      <c r="Q295" s="4">
        <v>0.57352999999999998</v>
      </c>
      <c r="R295" t="s">
        <v>631</v>
      </c>
    </row>
    <row r="296" spans="1:18">
      <c r="A296" t="s">
        <v>630</v>
      </c>
      <c r="B296" t="s">
        <v>622</v>
      </c>
      <c r="C296" t="s">
        <v>48</v>
      </c>
      <c r="D296" t="s">
        <v>49</v>
      </c>
      <c r="E296" t="s">
        <v>82</v>
      </c>
      <c r="F296" t="s">
        <v>102</v>
      </c>
      <c r="G296">
        <v>1</v>
      </c>
      <c r="H296">
        <v>94</v>
      </c>
      <c r="I296">
        <v>20</v>
      </c>
      <c r="J296">
        <v>3.35</v>
      </c>
      <c r="K296">
        <v>1</v>
      </c>
      <c r="L296">
        <v>2.68</v>
      </c>
      <c r="M296">
        <v>1.5</v>
      </c>
      <c r="N296">
        <v>8.5299999999999994</v>
      </c>
      <c r="O296">
        <v>11.47</v>
      </c>
      <c r="P296">
        <v>53.91</v>
      </c>
      <c r="Q296" s="4">
        <v>0.57352999999999998</v>
      </c>
      <c r="R296" t="s">
        <v>631</v>
      </c>
    </row>
    <row r="297" spans="1:18">
      <c r="A297" t="s">
        <v>632</v>
      </c>
      <c r="B297" t="s">
        <v>622</v>
      </c>
      <c r="C297" t="s">
        <v>39</v>
      </c>
      <c r="D297" t="s">
        <v>40</v>
      </c>
      <c r="E297" t="s">
        <v>82</v>
      </c>
      <c r="F297" t="s">
        <v>83</v>
      </c>
      <c r="G297">
        <v>1</v>
      </c>
      <c r="H297">
        <v>69</v>
      </c>
      <c r="I297">
        <v>14.68</v>
      </c>
      <c r="J297">
        <v>6.7</v>
      </c>
      <c r="K297">
        <v>1</v>
      </c>
      <c r="L297">
        <v>2.0299999999999998</v>
      </c>
      <c r="M297">
        <v>1.1000000000000001</v>
      </c>
      <c r="N297">
        <v>10.83</v>
      </c>
      <c r="O297">
        <v>3.85</v>
      </c>
      <c r="P297">
        <v>18.11</v>
      </c>
      <c r="Q297" s="4">
        <v>0.26249</v>
      </c>
      <c r="R297" t="s">
        <v>633</v>
      </c>
    </row>
    <row r="298" spans="1:18">
      <c r="A298" t="s">
        <v>634</v>
      </c>
      <c r="B298" t="s">
        <v>107</v>
      </c>
      <c r="C298" t="s">
        <v>45</v>
      </c>
      <c r="D298" t="s">
        <v>46</v>
      </c>
      <c r="E298" t="s">
        <v>82</v>
      </c>
      <c r="F298" t="s">
        <v>97</v>
      </c>
      <c r="G298">
        <v>3</v>
      </c>
      <c r="H298">
        <v>481</v>
      </c>
      <c r="I298">
        <v>102.34</v>
      </c>
      <c r="J298">
        <v>60.3</v>
      </c>
      <c r="K298">
        <v>1</v>
      </c>
      <c r="L298">
        <v>12.8</v>
      </c>
      <c r="M298">
        <v>7.67</v>
      </c>
      <c r="N298">
        <v>81.77</v>
      </c>
      <c r="O298">
        <v>20.57</v>
      </c>
      <c r="P298">
        <v>96.7</v>
      </c>
      <c r="Q298" s="4">
        <v>0.20104</v>
      </c>
      <c r="R298" t="s">
        <v>635</v>
      </c>
    </row>
    <row r="299" spans="1:18">
      <c r="A299" t="s">
        <v>636</v>
      </c>
      <c r="B299" t="s">
        <v>622</v>
      </c>
      <c r="C299" t="s">
        <v>43</v>
      </c>
      <c r="D299" t="s">
        <v>44</v>
      </c>
      <c r="E299" t="s">
        <v>82</v>
      </c>
      <c r="F299" t="s">
        <v>86</v>
      </c>
      <c r="G299">
        <v>1</v>
      </c>
      <c r="H299">
        <v>125</v>
      </c>
      <c r="I299">
        <v>26.6</v>
      </c>
      <c r="J299">
        <v>13.4</v>
      </c>
      <c r="K299">
        <v>1</v>
      </c>
      <c r="L299">
        <v>3.49</v>
      </c>
      <c r="M299">
        <v>1.99</v>
      </c>
      <c r="N299">
        <v>19.88</v>
      </c>
      <c r="O299">
        <v>6.71</v>
      </c>
      <c r="P299">
        <v>31.55</v>
      </c>
      <c r="Q299" s="4">
        <v>0.25235999999999997</v>
      </c>
      <c r="R299" t="s">
        <v>637</v>
      </c>
    </row>
    <row r="300" spans="1:18">
      <c r="A300" t="s">
        <v>638</v>
      </c>
      <c r="B300" t="s">
        <v>622</v>
      </c>
      <c r="C300" t="s">
        <v>52</v>
      </c>
      <c r="D300" t="s">
        <v>53</v>
      </c>
      <c r="E300" t="s">
        <v>133</v>
      </c>
      <c r="F300" t="s">
        <v>145</v>
      </c>
      <c r="G300">
        <v>1</v>
      </c>
      <c r="H300">
        <v>365</v>
      </c>
      <c r="I300">
        <v>77.66</v>
      </c>
      <c r="J300">
        <v>45.5</v>
      </c>
      <c r="K300">
        <v>2</v>
      </c>
      <c r="L300">
        <v>9.77</v>
      </c>
      <c r="M300">
        <v>5.82</v>
      </c>
      <c r="N300">
        <v>63.08</v>
      </c>
      <c r="O300">
        <v>14.58</v>
      </c>
      <c r="P300">
        <v>68.510000000000005</v>
      </c>
      <c r="Q300" s="4">
        <v>0.18769</v>
      </c>
      <c r="R300" t="s">
        <v>639</v>
      </c>
    </row>
    <row r="301" spans="1:18">
      <c r="A301" t="s">
        <v>640</v>
      </c>
      <c r="B301" t="s">
        <v>622</v>
      </c>
      <c r="C301" t="s">
        <v>48</v>
      </c>
      <c r="D301" t="s">
        <v>49</v>
      </c>
      <c r="E301" t="s">
        <v>82</v>
      </c>
      <c r="F301" t="s">
        <v>102</v>
      </c>
      <c r="G301">
        <v>1</v>
      </c>
      <c r="H301">
        <v>47</v>
      </c>
      <c r="I301">
        <v>10</v>
      </c>
      <c r="J301">
        <v>3.35</v>
      </c>
      <c r="K301">
        <v>1</v>
      </c>
      <c r="L301">
        <v>1.45</v>
      </c>
      <c r="M301">
        <v>0.75</v>
      </c>
      <c r="N301">
        <v>6.55</v>
      </c>
      <c r="O301">
        <v>3.45</v>
      </c>
      <c r="P301">
        <v>16.21</v>
      </c>
      <c r="Q301" s="4">
        <v>0.34486</v>
      </c>
      <c r="R301" t="s">
        <v>641</v>
      </c>
    </row>
    <row r="302" spans="1:18">
      <c r="A302" t="s">
        <v>642</v>
      </c>
      <c r="B302" t="s">
        <v>622</v>
      </c>
      <c r="C302" t="s">
        <v>52</v>
      </c>
      <c r="D302" t="s">
        <v>53</v>
      </c>
      <c r="E302" t="s">
        <v>133</v>
      </c>
      <c r="F302" t="s">
        <v>145</v>
      </c>
      <c r="G302">
        <v>1</v>
      </c>
      <c r="H302">
        <v>367.78</v>
      </c>
      <c r="I302">
        <v>78.25</v>
      </c>
      <c r="J302">
        <v>45.5</v>
      </c>
      <c r="K302">
        <v>2</v>
      </c>
      <c r="L302">
        <v>9.84</v>
      </c>
      <c r="M302">
        <v>5.86</v>
      </c>
      <c r="N302">
        <v>63.2</v>
      </c>
      <c r="O302">
        <v>15.05</v>
      </c>
      <c r="P302">
        <v>70.739999999999995</v>
      </c>
      <c r="Q302" s="4">
        <v>0.19234000000000001</v>
      </c>
      <c r="R302" t="s">
        <v>643</v>
      </c>
    </row>
    <row r="303" spans="1:18">
      <c r="A303" t="s">
        <v>644</v>
      </c>
      <c r="B303" t="s">
        <v>622</v>
      </c>
      <c r="C303" t="s">
        <v>48</v>
      </c>
      <c r="D303" t="s">
        <v>49</v>
      </c>
      <c r="E303" t="s">
        <v>82</v>
      </c>
      <c r="F303" t="s">
        <v>102</v>
      </c>
      <c r="G303">
        <v>1</v>
      </c>
      <c r="H303">
        <v>46.9</v>
      </c>
      <c r="I303">
        <v>9.98</v>
      </c>
      <c r="J303">
        <v>3.35</v>
      </c>
      <c r="K303">
        <v>1</v>
      </c>
      <c r="L303">
        <v>1.45</v>
      </c>
      <c r="M303">
        <v>0.75</v>
      </c>
      <c r="N303">
        <v>6.55</v>
      </c>
      <c r="O303">
        <v>3.43</v>
      </c>
      <c r="P303">
        <v>16.13</v>
      </c>
      <c r="Q303" s="4">
        <v>0.34388000000000002</v>
      </c>
      <c r="R303" t="s">
        <v>645</v>
      </c>
    </row>
    <row r="304" spans="1:18">
      <c r="A304" t="s">
        <v>646</v>
      </c>
      <c r="B304" t="s">
        <v>622</v>
      </c>
      <c r="C304" t="s">
        <v>41</v>
      </c>
      <c r="D304" t="s">
        <v>42</v>
      </c>
      <c r="E304" t="s">
        <v>122</v>
      </c>
      <c r="F304" t="s">
        <v>123</v>
      </c>
      <c r="G304">
        <v>1</v>
      </c>
      <c r="H304">
        <v>70</v>
      </c>
      <c r="I304">
        <v>14.89</v>
      </c>
      <c r="J304">
        <v>10.73</v>
      </c>
      <c r="K304">
        <v>1</v>
      </c>
      <c r="L304">
        <v>2.0499999999999998</v>
      </c>
      <c r="M304">
        <v>1.1200000000000001</v>
      </c>
      <c r="N304">
        <v>14.9</v>
      </c>
      <c r="O304">
        <v>0</v>
      </c>
      <c r="P304">
        <v>-0.01</v>
      </c>
      <c r="Q304" s="4">
        <v>-1.6000000000000001E-4</v>
      </c>
      <c r="R304" t="s">
        <v>647</v>
      </c>
    </row>
    <row r="305" spans="1:18">
      <c r="A305" t="s">
        <v>648</v>
      </c>
      <c r="B305" t="s">
        <v>622</v>
      </c>
      <c r="C305" t="s">
        <v>55</v>
      </c>
      <c r="D305" t="s">
        <v>46</v>
      </c>
      <c r="E305" t="s">
        <v>82</v>
      </c>
      <c r="F305" t="s">
        <v>158</v>
      </c>
      <c r="G305">
        <v>2</v>
      </c>
      <c r="H305">
        <v>344</v>
      </c>
      <c r="I305">
        <v>73.19</v>
      </c>
      <c r="J305">
        <v>40.200000000000003</v>
      </c>
      <c r="K305">
        <v>1</v>
      </c>
      <c r="L305">
        <v>9.2200000000000006</v>
      </c>
      <c r="M305">
        <v>5.48</v>
      </c>
      <c r="N305">
        <v>55.9</v>
      </c>
      <c r="O305">
        <v>17.29</v>
      </c>
      <c r="P305">
        <v>81.27</v>
      </c>
      <c r="Q305" s="4">
        <v>0.23624000000000001</v>
      </c>
      <c r="R305" t="s">
        <v>649</v>
      </c>
    </row>
    <row r="306" spans="1:18">
      <c r="A306" t="s">
        <v>650</v>
      </c>
      <c r="B306" t="s">
        <v>622</v>
      </c>
      <c r="C306" t="s">
        <v>45</v>
      </c>
      <c r="D306" t="s">
        <v>46</v>
      </c>
      <c r="E306" t="s">
        <v>82</v>
      </c>
      <c r="F306" t="s">
        <v>97</v>
      </c>
      <c r="G306">
        <v>1</v>
      </c>
      <c r="H306">
        <v>167</v>
      </c>
      <c r="I306">
        <v>35.53</v>
      </c>
      <c r="J306">
        <v>20.100000000000001</v>
      </c>
      <c r="K306">
        <v>1</v>
      </c>
      <c r="L306">
        <v>4.59</v>
      </c>
      <c r="M306">
        <v>2.66</v>
      </c>
      <c r="N306">
        <v>28.35</v>
      </c>
      <c r="O306">
        <v>7.18</v>
      </c>
      <c r="P306">
        <v>33.75</v>
      </c>
      <c r="Q306" s="4">
        <v>0.20208000000000001</v>
      </c>
      <c r="R306" t="s">
        <v>651</v>
      </c>
    </row>
    <row r="307" spans="1:18">
      <c r="A307" t="s">
        <v>652</v>
      </c>
      <c r="B307" t="s">
        <v>107</v>
      </c>
      <c r="C307" t="s">
        <v>58</v>
      </c>
      <c r="D307" t="s">
        <v>59</v>
      </c>
      <c r="E307" t="s">
        <v>154</v>
      </c>
      <c r="F307" t="s">
        <v>155</v>
      </c>
      <c r="G307">
        <v>1</v>
      </c>
      <c r="H307">
        <v>92.92</v>
      </c>
      <c r="I307">
        <v>19.77</v>
      </c>
      <c r="J307">
        <v>12.2</v>
      </c>
      <c r="K307">
        <v>0.5</v>
      </c>
      <c r="L307">
        <v>2.65</v>
      </c>
      <c r="M307">
        <v>1.48</v>
      </c>
      <c r="N307">
        <v>16.829999999999998</v>
      </c>
      <c r="O307">
        <v>2.94</v>
      </c>
      <c r="P307">
        <v>13.8</v>
      </c>
      <c r="Q307" s="4">
        <v>0.14852000000000001</v>
      </c>
      <c r="R307" t="s">
        <v>653</v>
      </c>
    </row>
    <row r="308" spans="1:18">
      <c r="A308" t="s">
        <v>654</v>
      </c>
      <c r="B308" t="s">
        <v>132</v>
      </c>
      <c r="C308" t="s">
        <v>50</v>
      </c>
      <c r="D308" t="s">
        <v>51</v>
      </c>
      <c r="E308" t="s">
        <v>82</v>
      </c>
      <c r="F308" t="s">
        <v>92</v>
      </c>
      <c r="G308">
        <v>1</v>
      </c>
      <c r="H308">
        <v>94</v>
      </c>
      <c r="I308">
        <v>20</v>
      </c>
      <c r="J308">
        <v>3.35</v>
      </c>
      <c r="K308">
        <v>1</v>
      </c>
      <c r="L308">
        <v>2.68</v>
      </c>
      <c r="M308">
        <v>1.5</v>
      </c>
      <c r="N308">
        <v>8.5299999999999994</v>
      </c>
      <c r="O308">
        <v>11.47</v>
      </c>
      <c r="P308">
        <v>53.91</v>
      </c>
      <c r="Q308" s="4">
        <v>0.57352999999999998</v>
      </c>
      <c r="R308" t="s">
        <v>655</v>
      </c>
    </row>
    <row r="309" spans="1:18">
      <c r="A309" t="s">
        <v>654</v>
      </c>
      <c r="B309" t="s">
        <v>132</v>
      </c>
      <c r="C309" t="s">
        <v>48</v>
      </c>
      <c r="D309" t="s">
        <v>49</v>
      </c>
      <c r="E309" t="s">
        <v>82</v>
      </c>
      <c r="F309" t="s">
        <v>102</v>
      </c>
      <c r="G309">
        <v>1</v>
      </c>
      <c r="H309">
        <v>94</v>
      </c>
      <c r="I309">
        <v>20</v>
      </c>
      <c r="J309">
        <v>3.35</v>
      </c>
      <c r="K309">
        <v>1</v>
      </c>
      <c r="L309">
        <v>2.68</v>
      </c>
      <c r="M309">
        <v>1.5</v>
      </c>
      <c r="N309">
        <v>8.5299999999999994</v>
      </c>
      <c r="O309">
        <v>11.47</v>
      </c>
      <c r="P309">
        <v>53.91</v>
      </c>
      <c r="Q309" s="4">
        <v>0.57352999999999998</v>
      </c>
      <c r="R309" t="s">
        <v>655</v>
      </c>
    </row>
    <row r="310" spans="1:18">
      <c r="A310" t="s">
        <v>656</v>
      </c>
      <c r="B310" t="s">
        <v>622</v>
      </c>
      <c r="C310" t="s">
        <v>39</v>
      </c>
      <c r="D310" t="s">
        <v>40</v>
      </c>
      <c r="E310" t="s">
        <v>82</v>
      </c>
      <c r="F310" t="s">
        <v>83</v>
      </c>
      <c r="G310">
        <v>1</v>
      </c>
      <c r="H310">
        <v>69</v>
      </c>
      <c r="I310">
        <v>14.68</v>
      </c>
      <c r="J310">
        <v>6.7</v>
      </c>
      <c r="K310">
        <v>1</v>
      </c>
      <c r="L310">
        <v>2.0299999999999998</v>
      </c>
      <c r="M310">
        <v>1.1000000000000001</v>
      </c>
      <c r="N310">
        <v>10.83</v>
      </c>
      <c r="O310">
        <v>3.85</v>
      </c>
      <c r="P310">
        <v>18.11</v>
      </c>
      <c r="Q310" s="4">
        <v>0.26249</v>
      </c>
      <c r="R310" t="s">
        <v>657</v>
      </c>
    </row>
    <row r="311" spans="1:18">
      <c r="A311" t="s">
        <v>658</v>
      </c>
      <c r="B311" t="s">
        <v>622</v>
      </c>
      <c r="C311" t="s">
        <v>43</v>
      </c>
      <c r="D311" t="s">
        <v>44</v>
      </c>
      <c r="E311" t="s">
        <v>82</v>
      </c>
      <c r="F311" t="s">
        <v>86</v>
      </c>
      <c r="G311">
        <v>1</v>
      </c>
      <c r="H311">
        <v>72</v>
      </c>
      <c r="I311">
        <v>15.32</v>
      </c>
      <c r="J311">
        <v>13.4</v>
      </c>
      <c r="K311">
        <v>1</v>
      </c>
      <c r="L311">
        <v>2.11</v>
      </c>
      <c r="M311">
        <v>1.1499999999999999</v>
      </c>
      <c r="N311">
        <v>17.649999999999999</v>
      </c>
      <c r="O311">
        <v>-2.33</v>
      </c>
      <c r="P311">
        <v>-10.97</v>
      </c>
      <c r="Q311" s="4">
        <v>-0.15237999999999999</v>
      </c>
      <c r="R311" t="s">
        <v>659</v>
      </c>
    </row>
    <row r="312" spans="1:18">
      <c r="A312" t="s">
        <v>660</v>
      </c>
      <c r="B312" t="s">
        <v>107</v>
      </c>
      <c r="C312" t="s">
        <v>45</v>
      </c>
      <c r="D312" t="s">
        <v>46</v>
      </c>
      <c r="E312" t="s">
        <v>82</v>
      </c>
      <c r="F312" t="s">
        <v>97</v>
      </c>
      <c r="G312">
        <v>1</v>
      </c>
      <c r="H312">
        <v>172</v>
      </c>
      <c r="I312">
        <v>36.6</v>
      </c>
      <c r="J312">
        <v>20.100000000000001</v>
      </c>
      <c r="K312">
        <v>1</v>
      </c>
      <c r="L312">
        <v>4.72</v>
      </c>
      <c r="M312">
        <v>2.74</v>
      </c>
      <c r="N312">
        <v>28.56</v>
      </c>
      <c r="O312">
        <v>8.0299999999999994</v>
      </c>
      <c r="P312">
        <v>37.76</v>
      </c>
      <c r="Q312" s="4">
        <v>0.21953</v>
      </c>
      <c r="R312" t="s">
        <v>661</v>
      </c>
    </row>
    <row r="313" spans="1:18">
      <c r="A313" t="s">
        <v>662</v>
      </c>
      <c r="B313" t="s">
        <v>622</v>
      </c>
      <c r="C313" t="s">
        <v>39</v>
      </c>
      <c r="D313" t="s">
        <v>40</v>
      </c>
      <c r="E313" t="s">
        <v>82</v>
      </c>
      <c r="F313" t="s">
        <v>83</v>
      </c>
      <c r="G313">
        <v>1</v>
      </c>
      <c r="H313">
        <v>106.4</v>
      </c>
      <c r="I313">
        <v>22.64</v>
      </c>
      <c r="J313">
        <v>6.7</v>
      </c>
      <c r="K313">
        <v>1</v>
      </c>
      <c r="L313">
        <v>3.01</v>
      </c>
      <c r="M313">
        <v>1.7</v>
      </c>
      <c r="N313">
        <v>12.4</v>
      </c>
      <c r="O313">
        <v>10.24</v>
      </c>
      <c r="P313">
        <v>48.11</v>
      </c>
      <c r="Q313" s="4">
        <v>0.45219999999999999</v>
      </c>
      <c r="R313" t="s">
        <v>663</v>
      </c>
    </row>
    <row r="314" spans="1:18">
      <c r="A314" t="s">
        <v>662</v>
      </c>
      <c r="B314" t="s">
        <v>622</v>
      </c>
      <c r="C314" t="s">
        <v>47</v>
      </c>
      <c r="D314" t="s">
        <v>40</v>
      </c>
      <c r="E314" t="s">
        <v>82</v>
      </c>
      <c r="F314" t="s">
        <v>90</v>
      </c>
      <c r="G314">
        <v>1</v>
      </c>
      <c r="H314">
        <v>106.4</v>
      </c>
      <c r="I314">
        <v>22.64</v>
      </c>
      <c r="J314">
        <v>6.7</v>
      </c>
      <c r="K314">
        <v>1</v>
      </c>
      <c r="L314">
        <v>3.01</v>
      </c>
      <c r="M314">
        <v>1.7</v>
      </c>
      <c r="N314">
        <v>12.4</v>
      </c>
      <c r="O314">
        <v>10.24</v>
      </c>
      <c r="P314">
        <v>48.11</v>
      </c>
      <c r="Q314" s="4">
        <v>0.45219999999999999</v>
      </c>
      <c r="R314" t="s">
        <v>663</v>
      </c>
    </row>
    <row r="315" spans="1:18">
      <c r="A315" t="s">
        <v>664</v>
      </c>
      <c r="B315" t="s">
        <v>107</v>
      </c>
      <c r="C315" t="s">
        <v>54</v>
      </c>
      <c r="D315" t="s">
        <v>44</v>
      </c>
      <c r="E315" t="s">
        <v>82</v>
      </c>
      <c r="F315" t="s">
        <v>164</v>
      </c>
      <c r="G315">
        <v>1</v>
      </c>
      <c r="H315">
        <v>120</v>
      </c>
      <c r="I315">
        <v>25.53</v>
      </c>
      <c r="J315">
        <v>13.4</v>
      </c>
      <c r="K315">
        <v>1</v>
      </c>
      <c r="L315">
        <v>3.36</v>
      </c>
      <c r="M315">
        <v>1.91</v>
      </c>
      <c r="N315">
        <v>19.670000000000002</v>
      </c>
      <c r="O315">
        <v>5.86</v>
      </c>
      <c r="P315">
        <v>27.53</v>
      </c>
      <c r="Q315" s="4">
        <v>0.22944999999999999</v>
      </c>
      <c r="R315" t="s">
        <v>665</v>
      </c>
    </row>
    <row r="316" spans="1:18">
      <c r="A316" t="s">
        <v>666</v>
      </c>
      <c r="B316" t="s">
        <v>622</v>
      </c>
      <c r="C316" t="s">
        <v>39</v>
      </c>
      <c r="D316" t="s">
        <v>40</v>
      </c>
      <c r="E316" t="s">
        <v>82</v>
      </c>
      <c r="F316" t="s">
        <v>83</v>
      </c>
      <c r="G316">
        <v>2</v>
      </c>
      <c r="H316">
        <v>276</v>
      </c>
      <c r="I316">
        <v>58.72</v>
      </c>
      <c r="J316">
        <v>13.4</v>
      </c>
      <c r="K316">
        <v>1</v>
      </c>
      <c r="L316">
        <v>7.44</v>
      </c>
      <c r="M316">
        <v>4.4000000000000004</v>
      </c>
      <c r="N316">
        <v>26.24</v>
      </c>
      <c r="O316">
        <v>32.479999999999997</v>
      </c>
      <c r="P316">
        <v>152.68</v>
      </c>
      <c r="Q316" s="4">
        <v>0.55318000000000001</v>
      </c>
      <c r="R316" t="s">
        <v>667</v>
      </c>
    </row>
    <row r="317" spans="1:18">
      <c r="A317" t="s">
        <v>666</v>
      </c>
      <c r="B317" t="s">
        <v>622</v>
      </c>
      <c r="C317" t="s">
        <v>47</v>
      </c>
      <c r="D317" t="s">
        <v>40</v>
      </c>
      <c r="E317" t="s">
        <v>82</v>
      </c>
      <c r="F317" t="s">
        <v>90</v>
      </c>
      <c r="G317">
        <v>2</v>
      </c>
      <c r="H317">
        <v>276</v>
      </c>
      <c r="I317">
        <v>58.72</v>
      </c>
      <c r="J317">
        <v>13.4</v>
      </c>
      <c r="K317">
        <v>1</v>
      </c>
      <c r="L317">
        <v>7.44</v>
      </c>
      <c r="M317">
        <v>4.4000000000000004</v>
      </c>
      <c r="N317">
        <v>26.24</v>
      </c>
      <c r="O317">
        <v>32.479999999999997</v>
      </c>
      <c r="P317">
        <v>152.68</v>
      </c>
      <c r="Q317" s="4">
        <v>0.55318000000000001</v>
      </c>
      <c r="R317" t="s">
        <v>667</v>
      </c>
    </row>
    <row r="318" spans="1:18">
      <c r="A318" t="s">
        <v>668</v>
      </c>
      <c r="B318" t="s">
        <v>622</v>
      </c>
      <c r="C318" t="s">
        <v>41</v>
      </c>
      <c r="D318" t="s">
        <v>42</v>
      </c>
      <c r="E318" t="s">
        <v>122</v>
      </c>
      <c r="F318" t="s">
        <v>123</v>
      </c>
      <c r="G318">
        <v>1</v>
      </c>
      <c r="H318">
        <v>70</v>
      </c>
      <c r="I318">
        <v>14.89</v>
      </c>
      <c r="J318">
        <v>10.73</v>
      </c>
      <c r="K318">
        <v>1</v>
      </c>
      <c r="L318">
        <v>2.0499999999999998</v>
      </c>
      <c r="M318">
        <v>1.1200000000000001</v>
      </c>
      <c r="N318">
        <v>14.9</v>
      </c>
      <c r="O318">
        <v>0</v>
      </c>
      <c r="P318">
        <v>-0.01</v>
      </c>
      <c r="Q318" s="4">
        <v>-1.6000000000000001E-4</v>
      </c>
      <c r="R318" t="s">
        <v>669</v>
      </c>
    </row>
    <row r="319" spans="1:18">
      <c r="A319" t="s">
        <v>670</v>
      </c>
      <c r="B319" t="s">
        <v>622</v>
      </c>
      <c r="C319" t="s">
        <v>39</v>
      </c>
      <c r="D319" t="s">
        <v>40</v>
      </c>
      <c r="E319" t="s">
        <v>82</v>
      </c>
      <c r="F319" t="s">
        <v>83</v>
      </c>
      <c r="G319">
        <v>1</v>
      </c>
      <c r="H319">
        <v>69</v>
      </c>
      <c r="I319">
        <v>14.68</v>
      </c>
      <c r="J319">
        <v>6.7</v>
      </c>
      <c r="K319">
        <v>1</v>
      </c>
      <c r="L319">
        <v>2.0299999999999998</v>
      </c>
      <c r="M319">
        <v>1.1000000000000001</v>
      </c>
      <c r="N319">
        <v>10.83</v>
      </c>
      <c r="O319">
        <v>3.85</v>
      </c>
      <c r="P319">
        <v>18.11</v>
      </c>
      <c r="Q319" s="4">
        <v>0.26249</v>
      </c>
      <c r="R319" t="s">
        <v>671</v>
      </c>
    </row>
    <row r="320" spans="1:18">
      <c r="A320" t="s">
        <v>672</v>
      </c>
      <c r="B320" t="s">
        <v>622</v>
      </c>
      <c r="C320" t="s">
        <v>39</v>
      </c>
      <c r="D320" t="s">
        <v>40</v>
      </c>
      <c r="E320" t="s">
        <v>82</v>
      </c>
      <c r="F320" t="s">
        <v>83</v>
      </c>
      <c r="G320">
        <v>1</v>
      </c>
      <c r="H320">
        <v>69</v>
      </c>
      <c r="I320">
        <v>14.68</v>
      </c>
      <c r="J320">
        <v>6.7</v>
      </c>
      <c r="K320">
        <v>1</v>
      </c>
      <c r="L320">
        <v>2.0299999999999998</v>
      </c>
      <c r="M320">
        <v>1.1000000000000001</v>
      </c>
      <c r="N320">
        <v>10.83</v>
      </c>
      <c r="O320">
        <v>3.85</v>
      </c>
      <c r="P320">
        <v>18.11</v>
      </c>
      <c r="Q320" s="4">
        <v>0.26249</v>
      </c>
      <c r="R320" t="s">
        <v>673</v>
      </c>
    </row>
    <row r="321" spans="1:18">
      <c r="A321" t="s">
        <v>674</v>
      </c>
      <c r="B321" t="s">
        <v>622</v>
      </c>
      <c r="C321" t="s">
        <v>43</v>
      </c>
      <c r="D321" t="s">
        <v>44</v>
      </c>
      <c r="E321" t="s">
        <v>82</v>
      </c>
      <c r="F321" t="s">
        <v>86</v>
      </c>
      <c r="G321">
        <v>1</v>
      </c>
      <c r="H321">
        <v>185</v>
      </c>
      <c r="I321">
        <v>39.36</v>
      </c>
      <c r="J321">
        <v>13.4</v>
      </c>
      <c r="K321">
        <v>1</v>
      </c>
      <c r="L321">
        <v>5.0599999999999996</v>
      </c>
      <c r="M321">
        <v>2.95</v>
      </c>
      <c r="N321">
        <v>22.41</v>
      </c>
      <c r="O321">
        <v>16.95</v>
      </c>
      <c r="P321">
        <v>79.680000000000007</v>
      </c>
      <c r="Q321" s="4">
        <v>0.43069000000000002</v>
      </c>
      <c r="R321" t="s">
        <v>675</v>
      </c>
    </row>
    <row r="322" spans="1:18">
      <c r="A322" t="s">
        <v>674</v>
      </c>
      <c r="B322" t="s">
        <v>622</v>
      </c>
      <c r="C322" t="s">
        <v>54</v>
      </c>
      <c r="D322" t="s">
        <v>44</v>
      </c>
      <c r="E322" t="s">
        <v>82</v>
      </c>
      <c r="F322" t="s">
        <v>164</v>
      </c>
      <c r="G322">
        <v>1</v>
      </c>
      <c r="H322">
        <v>185</v>
      </c>
      <c r="I322">
        <v>39.36</v>
      </c>
      <c r="J322">
        <v>13.4</v>
      </c>
      <c r="K322">
        <v>1</v>
      </c>
      <c r="L322">
        <v>5.0599999999999996</v>
      </c>
      <c r="M322">
        <v>2.95</v>
      </c>
      <c r="N322">
        <v>22.41</v>
      </c>
      <c r="O322">
        <v>16.95</v>
      </c>
      <c r="P322">
        <v>79.680000000000007</v>
      </c>
      <c r="Q322" s="4">
        <v>0.43069000000000002</v>
      </c>
      <c r="R322" t="s">
        <v>675</v>
      </c>
    </row>
    <row r="323" spans="1:18">
      <c r="A323" t="s">
        <v>676</v>
      </c>
      <c r="B323" t="s">
        <v>622</v>
      </c>
      <c r="C323" t="s">
        <v>50</v>
      </c>
      <c r="D323" t="s">
        <v>51</v>
      </c>
      <c r="E323" t="s">
        <v>82</v>
      </c>
      <c r="F323" t="s">
        <v>92</v>
      </c>
      <c r="G323">
        <v>1</v>
      </c>
      <c r="H323">
        <v>47</v>
      </c>
      <c r="I323">
        <v>10</v>
      </c>
      <c r="J323">
        <v>3.35</v>
      </c>
      <c r="K323">
        <v>1</v>
      </c>
      <c r="L323">
        <v>1.45</v>
      </c>
      <c r="M323">
        <v>0.75</v>
      </c>
      <c r="N323">
        <v>6.55</v>
      </c>
      <c r="O323">
        <v>3.45</v>
      </c>
      <c r="P323">
        <v>16.21</v>
      </c>
      <c r="Q323" s="4">
        <v>0.34486</v>
      </c>
      <c r="R323" t="s">
        <v>677</v>
      </c>
    </row>
    <row r="324" spans="1:18">
      <c r="A324" t="s">
        <v>678</v>
      </c>
      <c r="B324" t="s">
        <v>622</v>
      </c>
      <c r="C324" t="s">
        <v>39</v>
      </c>
      <c r="D324" t="s">
        <v>40</v>
      </c>
      <c r="E324" t="s">
        <v>82</v>
      </c>
      <c r="F324" t="s">
        <v>83</v>
      </c>
      <c r="G324">
        <v>1</v>
      </c>
      <c r="H324">
        <v>69</v>
      </c>
      <c r="I324">
        <v>14.68</v>
      </c>
      <c r="J324">
        <v>6.7</v>
      </c>
      <c r="K324">
        <v>1</v>
      </c>
      <c r="L324">
        <v>2.0299999999999998</v>
      </c>
      <c r="M324">
        <v>1.1000000000000001</v>
      </c>
      <c r="N324">
        <v>10.83</v>
      </c>
      <c r="O324">
        <v>3.85</v>
      </c>
      <c r="P324">
        <v>18.11</v>
      </c>
      <c r="Q324" s="4">
        <v>0.26249</v>
      </c>
      <c r="R324" t="s">
        <v>679</v>
      </c>
    </row>
    <row r="325" spans="1:18">
      <c r="A325" t="s">
        <v>680</v>
      </c>
      <c r="B325" t="s">
        <v>622</v>
      </c>
      <c r="C325" t="s">
        <v>39</v>
      </c>
      <c r="D325" t="s">
        <v>40</v>
      </c>
      <c r="E325" t="s">
        <v>82</v>
      </c>
      <c r="F325" t="s">
        <v>83</v>
      </c>
      <c r="G325">
        <v>1</v>
      </c>
      <c r="H325">
        <v>69</v>
      </c>
      <c r="I325">
        <v>14.68</v>
      </c>
      <c r="J325">
        <v>6.7</v>
      </c>
      <c r="K325">
        <v>1</v>
      </c>
      <c r="L325">
        <v>2.0299999999999998</v>
      </c>
      <c r="M325">
        <v>1.1000000000000001</v>
      </c>
      <c r="N325">
        <v>10.83</v>
      </c>
      <c r="O325">
        <v>3.85</v>
      </c>
      <c r="P325">
        <v>18.11</v>
      </c>
      <c r="Q325" s="4">
        <v>0.26249</v>
      </c>
      <c r="R325" t="s">
        <v>681</v>
      </c>
    </row>
    <row r="326" spans="1:18">
      <c r="A326" t="s">
        <v>682</v>
      </c>
      <c r="B326" t="s">
        <v>622</v>
      </c>
      <c r="C326" t="s">
        <v>39</v>
      </c>
      <c r="D326" t="s">
        <v>40</v>
      </c>
      <c r="E326" t="s">
        <v>82</v>
      </c>
      <c r="F326" t="s">
        <v>83</v>
      </c>
      <c r="G326">
        <v>1</v>
      </c>
      <c r="H326">
        <v>69</v>
      </c>
      <c r="I326">
        <v>14.68</v>
      </c>
      <c r="J326">
        <v>6.7</v>
      </c>
      <c r="K326">
        <v>1</v>
      </c>
      <c r="L326">
        <v>2.0299999999999998</v>
      </c>
      <c r="M326">
        <v>1.1000000000000001</v>
      </c>
      <c r="N326">
        <v>10.83</v>
      </c>
      <c r="O326">
        <v>3.85</v>
      </c>
      <c r="P326">
        <v>18.11</v>
      </c>
      <c r="Q326" s="4">
        <v>0.26249</v>
      </c>
      <c r="R326" t="s">
        <v>683</v>
      </c>
    </row>
    <row r="327" spans="1:18">
      <c r="A327" t="s">
        <v>684</v>
      </c>
      <c r="B327" t="s">
        <v>622</v>
      </c>
      <c r="C327" t="s">
        <v>41</v>
      </c>
      <c r="D327" t="s">
        <v>42</v>
      </c>
      <c r="E327" t="s">
        <v>122</v>
      </c>
      <c r="F327" t="s">
        <v>123</v>
      </c>
      <c r="G327">
        <v>1</v>
      </c>
      <c r="H327">
        <v>55</v>
      </c>
      <c r="I327">
        <v>11.7</v>
      </c>
      <c r="J327">
        <v>10.73</v>
      </c>
      <c r="K327">
        <v>1</v>
      </c>
      <c r="L327">
        <v>1.66</v>
      </c>
      <c r="M327">
        <v>0.88</v>
      </c>
      <c r="N327">
        <v>14.26</v>
      </c>
      <c r="O327">
        <v>-2.56</v>
      </c>
      <c r="P327">
        <v>-12.04</v>
      </c>
      <c r="Q327" s="4">
        <v>-0.21898999999999999</v>
      </c>
      <c r="R327" t="s">
        <v>685</v>
      </c>
    </row>
    <row r="328" spans="1:18">
      <c r="A328" t="s">
        <v>686</v>
      </c>
      <c r="B328" t="s">
        <v>622</v>
      </c>
      <c r="C328" t="s">
        <v>48</v>
      </c>
      <c r="D328" t="s">
        <v>49</v>
      </c>
      <c r="E328" t="s">
        <v>82</v>
      </c>
      <c r="F328" t="s">
        <v>102</v>
      </c>
      <c r="G328">
        <v>1</v>
      </c>
      <c r="H328">
        <v>47</v>
      </c>
      <c r="I328">
        <v>10</v>
      </c>
      <c r="J328">
        <v>3.35</v>
      </c>
      <c r="K328">
        <v>1</v>
      </c>
      <c r="L328">
        <v>1.45</v>
      </c>
      <c r="M328">
        <v>0.75</v>
      </c>
      <c r="N328">
        <v>6.55</v>
      </c>
      <c r="O328">
        <v>3.45</v>
      </c>
      <c r="P328">
        <v>16.21</v>
      </c>
      <c r="Q328" s="4">
        <v>0.34486</v>
      </c>
      <c r="R328" t="s">
        <v>687</v>
      </c>
    </row>
    <row r="329" spans="1:18">
      <c r="A329" t="s">
        <v>688</v>
      </c>
      <c r="B329" t="s">
        <v>622</v>
      </c>
      <c r="C329" t="s">
        <v>39</v>
      </c>
      <c r="D329" t="s">
        <v>40</v>
      </c>
      <c r="E329" t="s">
        <v>82</v>
      </c>
      <c r="F329" t="s">
        <v>83</v>
      </c>
      <c r="G329">
        <v>1</v>
      </c>
      <c r="H329">
        <v>138</v>
      </c>
      <c r="I329">
        <v>29.36</v>
      </c>
      <c r="J329">
        <v>6.7</v>
      </c>
      <c r="K329">
        <v>1</v>
      </c>
      <c r="L329">
        <v>3.83</v>
      </c>
      <c r="M329">
        <v>2.2000000000000002</v>
      </c>
      <c r="N329">
        <v>13.73</v>
      </c>
      <c r="O329">
        <v>15.63</v>
      </c>
      <c r="P329">
        <v>73.459999999999994</v>
      </c>
      <c r="Q329" s="4">
        <v>0.53234000000000004</v>
      </c>
      <c r="R329" t="s">
        <v>689</v>
      </c>
    </row>
    <row r="330" spans="1:18">
      <c r="A330" t="s">
        <v>688</v>
      </c>
      <c r="B330" t="s">
        <v>622</v>
      </c>
      <c r="C330" t="s">
        <v>47</v>
      </c>
      <c r="D330" t="s">
        <v>40</v>
      </c>
      <c r="E330" t="s">
        <v>82</v>
      </c>
      <c r="F330" t="s">
        <v>90</v>
      </c>
      <c r="G330">
        <v>1</v>
      </c>
      <c r="H330">
        <v>138</v>
      </c>
      <c r="I330">
        <v>29.36</v>
      </c>
      <c r="J330">
        <v>6.7</v>
      </c>
      <c r="K330">
        <v>1</v>
      </c>
      <c r="L330">
        <v>3.83</v>
      </c>
      <c r="M330">
        <v>2.2000000000000002</v>
      </c>
      <c r="N330">
        <v>13.73</v>
      </c>
      <c r="O330">
        <v>15.63</v>
      </c>
      <c r="P330">
        <v>73.459999999999994</v>
      </c>
      <c r="Q330" s="4">
        <v>0.53234000000000004</v>
      </c>
      <c r="R330" t="s">
        <v>689</v>
      </c>
    </row>
    <row r="331" spans="1:18">
      <c r="A331" t="s">
        <v>690</v>
      </c>
      <c r="B331" t="s">
        <v>622</v>
      </c>
      <c r="C331" t="s">
        <v>41</v>
      </c>
      <c r="D331" t="s">
        <v>42</v>
      </c>
      <c r="E331" t="s">
        <v>122</v>
      </c>
      <c r="F331" t="s">
        <v>123</v>
      </c>
      <c r="G331">
        <v>1</v>
      </c>
      <c r="H331">
        <v>70</v>
      </c>
      <c r="I331">
        <v>14.89</v>
      </c>
      <c r="J331">
        <v>10.73</v>
      </c>
      <c r="K331">
        <v>1</v>
      </c>
      <c r="L331">
        <v>2.0499999999999998</v>
      </c>
      <c r="M331">
        <v>1.1200000000000001</v>
      </c>
      <c r="N331">
        <v>14.9</v>
      </c>
      <c r="O331">
        <v>0</v>
      </c>
      <c r="P331">
        <v>-0.01</v>
      </c>
      <c r="Q331" s="4">
        <v>-1.6000000000000001E-4</v>
      </c>
      <c r="R331" t="s">
        <v>691</v>
      </c>
    </row>
    <row r="332" spans="1:18">
      <c r="A332" t="s">
        <v>692</v>
      </c>
      <c r="B332" t="s">
        <v>622</v>
      </c>
      <c r="C332" t="s">
        <v>41</v>
      </c>
      <c r="D332" t="s">
        <v>42</v>
      </c>
      <c r="E332" t="s">
        <v>122</v>
      </c>
      <c r="F332" t="s">
        <v>123</v>
      </c>
      <c r="G332">
        <v>2</v>
      </c>
      <c r="H332">
        <v>170</v>
      </c>
      <c r="I332">
        <v>36.17</v>
      </c>
      <c r="J332">
        <v>21.45</v>
      </c>
      <c r="K332">
        <v>1</v>
      </c>
      <c r="L332">
        <v>4.67</v>
      </c>
      <c r="M332">
        <v>2.71</v>
      </c>
      <c r="N332">
        <v>29.83</v>
      </c>
      <c r="O332">
        <v>6.34</v>
      </c>
      <c r="P332">
        <v>29.79</v>
      </c>
      <c r="Q332" s="4">
        <v>0.17526</v>
      </c>
      <c r="R332" t="s">
        <v>693</v>
      </c>
    </row>
    <row r="333" spans="1:18">
      <c r="A333" t="s">
        <v>694</v>
      </c>
      <c r="B333" t="s">
        <v>622</v>
      </c>
      <c r="C333" t="s">
        <v>39</v>
      </c>
      <c r="D333" t="s">
        <v>40</v>
      </c>
      <c r="E333" t="s">
        <v>82</v>
      </c>
      <c r="F333" t="s">
        <v>83</v>
      </c>
      <c r="G333">
        <v>1</v>
      </c>
      <c r="H333">
        <v>64.86</v>
      </c>
      <c r="I333">
        <v>13.8</v>
      </c>
      <c r="J333">
        <v>6.7</v>
      </c>
      <c r="K333">
        <v>1</v>
      </c>
      <c r="L333">
        <v>1.92</v>
      </c>
      <c r="M333">
        <v>1.03</v>
      </c>
      <c r="N333">
        <v>10.65</v>
      </c>
      <c r="O333">
        <v>3.15</v>
      </c>
      <c r="P333">
        <v>14.79</v>
      </c>
      <c r="Q333" s="4">
        <v>0.22803999999999999</v>
      </c>
      <c r="R333" t="s">
        <v>695</v>
      </c>
    </row>
    <row r="334" spans="1:18">
      <c r="A334" t="s">
        <v>696</v>
      </c>
      <c r="B334" t="s">
        <v>622</v>
      </c>
      <c r="C334" t="s">
        <v>56</v>
      </c>
      <c r="D334" t="s">
        <v>57</v>
      </c>
      <c r="E334" t="s">
        <v>133</v>
      </c>
      <c r="F334" t="s">
        <v>134</v>
      </c>
      <c r="G334">
        <v>1</v>
      </c>
      <c r="H334">
        <v>405</v>
      </c>
      <c r="I334">
        <v>86.17</v>
      </c>
      <c r="J334">
        <v>40.25</v>
      </c>
      <c r="K334">
        <v>2</v>
      </c>
      <c r="L334">
        <v>10.81</v>
      </c>
      <c r="M334">
        <v>6.45</v>
      </c>
      <c r="N334">
        <v>59.52</v>
      </c>
      <c r="O334">
        <v>26.65</v>
      </c>
      <c r="P334">
        <v>125.25</v>
      </c>
      <c r="Q334" s="4">
        <v>0.30925999999999998</v>
      </c>
      <c r="R334" t="s">
        <v>697</v>
      </c>
    </row>
    <row r="335" spans="1:18">
      <c r="A335" t="s">
        <v>698</v>
      </c>
      <c r="B335" t="s">
        <v>622</v>
      </c>
      <c r="C335" t="s">
        <v>52</v>
      </c>
      <c r="D335" t="s">
        <v>53</v>
      </c>
      <c r="E335" t="s">
        <v>133</v>
      </c>
      <c r="F335" t="s">
        <v>145</v>
      </c>
      <c r="G335">
        <v>1</v>
      </c>
      <c r="H335">
        <v>405</v>
      </c>
      <c r="I335">
        <v>86.17</v>
      </c>
      <c r="J335">
        <v>45.5</v>
      </c>
      <c r="K335">
        <v>2</v>
      </c>
      <c r="L335">
        <v>10.81</v>
      </c>
      <c r="M335">
        <v>6.45</v>
      </c>
      <c r="N335">
        <v>64.77</v>
      </c>
      <c r="O335">
        <v>21.4</v>
      </c>
      <c r="P335">
        <v>100.6</v>
      </c>
      <c r="Q335" s="4">
        <v>0.24839</v>
      </c>
      <c r="R335" t="s">
        <v>699</v>
      </c>
    </row>
    <row r="336" spans="1:18">
      <c r="A336" t="s">
        <v>700</v>
      </c>
      <c r="B336" t="s">
        <v>622</v>
      </c>
      <c r="C336" t="s">
        <v>41</v>
      </c>
      <c r="D336" t="s">
        <v>42</v>
      </c>
      <c r="E336" t="s">
        <v>122</v>
      </c>
      <c r="F336" t="s">
        <v>123</v>
      </c>
      <c r="G336">
        <v>1</v>
      </c>
      <c r="H336">
        <v>100</v>
      </c>
      <c r="I336">
        <v>21.28</v>
      </c>
      <c r="J336">
        <v>10.73</v>
      </c>
      <c r="K336">
        <v>1</v>
      </c>
      <c r="L336">
        <v>2.84</v>
      </c>
      <c r="M336">
        <v>1.59</v>
      </c>
      <c r="N336">
        <v>16.16</v>
      </c>
      <c r="O336">
        <v>5.12</v>
      </c>
      <c r="P336">
        <v>24.05</v>
      </c>
      <c r="Q336" s="4">
        <v>0.24055000000000001</v>
      </c>
      <c r="R336" t="s">
        <v>701</v>
      </c>
    </row>
    <row r="337" spans="1:18">
      <c r="A337" t="s">
        <v>702</v>
      </c>
      <c r="B337" t="s">
        <v>622</v>
      </c>
      <c r="C337" t="s">
        <v>52</v>
      </c>
      <c r="D337" t="s">
        <v>53</v>
      </c>
      <c r="E337" t="s">
        <v>133</v>
      </c>
      <c r="F337" t="s">
        <v>145</v>
      </c>
      <c r="G337">
        <v>1</v>
      </c>
      <c r="H337">
        <v>320</v>
      </c>
      <c r="I337">
        <v>68.09</v>
      </c>
      <c r="J337">
        <v>45.5</v>
      </c>
      <c r="K337">
        <v>2</v>
      </c>
      <c r="L337">
        <v>8.59</v>
      </c>
      <c r="M337">
        <v>5.0999999999999996</v>
      </c>
      <c r="N337">
        <v>61.19</v>
      </c>
      <c r="O337">
        <v>6.9</v>
      </c>
      <c r="P337">
        <v>32.409999999999997</v>
      </c>
      <c r="Q337" s="4">
        <v>0.10128</v>
      </c>
      <c r="R337" t="s">
        <v>703</v>
      </c>
    </row>
    <row r="338" spans="1:18">
      <c r="A338" t="s">
        <v>704</v>
      </c>
      <c r="B338" t="s">
        <v>622</v>
      </c>
      <c r="C338" t="s">
        <v>64</v>
      </c>
      <c r="D338" t="s">
        <v>65</v>
      </c>
      <c r="E338" t="s">
        <v>705</v>
      </c>
      <c r="F338" t="s">
        <v>706</v>
      </c>
      <c r="G338">
        <v>1</v>
      </c>
      <c r="H338">
        <v>150</v>
      </c>
      <c r="I338">
        <v>31.91</v>
      </c>
      <c r="J338">
        <v>18.3</v>
      </c>
      <c r="K338">
        <v>0.5</v>
      </c>
      <c r="L338">
        <v>4.1500000000000004</v>
      </c>
      <c r="M338">
        <v>2.39</v>
      </c>
      <c r="N338">
        <v>25.34</v>
      </c>
      <c r="O338">
        <v>6.58</v>
      </c>
      <c r="P338">
        <v>30.92</v>
      </c>
      <c r="Q338" s="4">
        <v>0.20613000000000001</v>
      </c>
      <c r="R338" t="s">
        <v>707</v>
      </c>
    </row>
    <row r="339" spans="1:18">
      <c r="A339" t="s">
        <v>708</v>
      </c>
      <c r="B339" t="s">
        <v>622</v>
      </c>
      <c r="C339" t="s">
        <v>52</v>
      </c>
      <c r="D339" t="s">
        <v>53</v>
      </c>
      <c r="E339" t="s">
        <v>133</v>
      </c>
      <c r="F339" t="s">
        <v>145</v>
      </c>
      <c r="G339">
        <v>1</v>
      </c>
      <c r="H339">
        <v>320</v>
      </c>
      <c r="I339">
        <v>68.09</v>
      </c>
      <c r="J339">
        <v>45.5</v>
      </c>
      <c r="K339">
        <v>2</v>
      </c>
      <c r="L339">
        <v>8.59</v>
      </c>
      <c r="M339">
        <v>5.0999999999999996</v>
      </c>
      <c r="N339">
        <v>61.19</v>
      </c>
      <c r="O339">
        <v>6.9</v>
      </c>
      <c r="P339">
        <v>32.409999999999997</v>
      </c>
      <c r="Q339" s="4">
        <v>0.10128</v>
      </c>
      <c r="R339" t="s">
        <v>709</v>
      </c>
    </row>
    <row r="340" spans="1:18">
      <c r="A340" t="s">
        <v>710</v>
      </c>
      <c r="B340" t="s">
        <v>622</v>
      </c>
      <c r="C340" t="s">
        <v>39</v>
      </c>
      <c r="D340" t="s">
        <v>40</v>
      </c>
      <c r="E340" t="s">
        <v>82</v>
      </c>
      <c r="F340" t="s">
        <v>83</v>
      </c>
      <c r="G340">
        <v>1</v>
      </c>
      <c r="H340">
        <v>69</v>
      </c>
      <c r="I340">
        <v>14.68</v>
      </c>
      <c r="J340">
        <v>6.7</v>
      </c>
      <c r="K340">
        <v>1</v>
      </c>
      <c r="L340">
        <v>2.0299999999999998</v>
      </c>
      <c r="M340">
        <v>1.1000000000000001</v>
      </c>
      <c r="N340">
        <v>10.83</v>
      </c>
      <c r="O340">
        <v>3.85</v>
      </c>
      <c r="P340">
        <v>18.11</v>
      </c>
      <c r="Q340" s="4">
        <v>0.26249</v>
      </c>
      <c r="R340" t="s">
        <v>711</v>
      </c>
    </row>
    <row r="341" spans="1:18">
      <c r="A341" t="s">
        <v>712</v>
      </c>
      <c r="B341" t="s">
        <v>107</v>
      </c>
      <c r="C341" t="s">
        <v>43</v>
      </c>
      <c r="D341" t="s">
        <v>44</v>
      </c>
      <c r="E341" t="s">
        <v>82</v>
      </c>
      <c r="F341" t="s">
        <v>86</v>
      </c>
      <c r="G341">
        <v>1</v>
      </c>
      <c r="H341">
        <v>125</v>
      </c>
      <c r="I341">
        <v>26.6</v>
      </c>
      <c r="J341">
        <v>13.4</v>
      </c>
      <c r="K341">
        <v>1</v>
      </c>
      <c r="L341">
        <v>3.49</v>
      </c>
      <c r="M341">
        <v>1.99</v>
      </c>
      <c r="N341">
        <v>19.88</v>
      </c>
      <c r="O341">
        <v>6.71</v>
      </c>
      <c r="P341">
        <v>31.55</v>
      </c>
      <c r="Q341" s="4">
        <v>0.25235999999999997</v>
      </c>
      <c r="R341" t="s">
        <v>713</v>
      </c>
    </row>
    <row r="342" spans="1:18">
      <c r="A342" t="s">
        <v>714</v>
      </c>
      <c r="B342" t="s">
        <v>622</v>
      </c>
      <c r="C342" t="s">
        <v>47</v>
      </c>
      <c r="D342" t="s">
        <v>40</v>
      </c>
      <c r="E342" t="s">
        <v>82</v>
      </c>
      <c r="F342" t="s">
        <v>90</v>
      </c>
      <c r="G342">
        <v>1</v>
      </c>
      <c r="H342">
        <v>138</v>
      </c>
      <c r="I342">
        <v>29.36</v>
      </c>
      <c r="J342">
        <v>6.7</v>
      </c>
      <c r="K342">
        <v>1</v>
      </c>
      <c r="L342">
        <v>3.83</v>
      </c>
      <c r="M342">
        <v>2.2000000000000002</v>
      </c>
      <c r="N342">
        <v>13.73</v>
      </c>
      <c r="O342">
        <v>15.63</v>
      </c>
      <c r="P342">
        <v>73.459999999999994</v>
      </c>
      <c r="Q342" s="4">
        <v>0.53234000000000004</v>
      </c>
      <c r="R342" t="s">
        <v>715</v>
      </c>
    </row>
    <row r="343" spans="1:18">
      <c r="A343" t="s">
        <v>714</v>
      </c>
      <c r="B343" t="s">
        <v>622</v>
      </c>
      <c r="C343" t="s">
        <v>39</v>
      </c>
      <c r="D343" t="s">
        <v>40</v>
      </c>
      <c r="E343" t="s">
        <v>82</v>
      </c>
      <c r="F343" t="s">
        <v>83</v>
      </c>
      <c r="G343">
        <v>1</v>
      </c>
      <c r="H343">
        <v>138</v>
      </c>
      <c r="I343">
        <v>29.36</v>
      </c>
      <c r="J343">
        <v>6.7</v>
      </c>
      <c r="K343">
        <v>1</v>
      </c>
      <c r="L343">
        <v>3.83</v>
      </c>
      <c r="M343">
        <v>2.2000000000000002</v>
      </c>
      <c r="N343">
        <v>13.73</v>
      </c>
      <c r="O343">
        <v>15.63</v>
      </c>
      <c r="P343">
        <v>73.459999999999994</v>
      </c>
      <c r="Q343" s="4">
        <v>0.53234000000000004</v>
      </c>
      <c r="R343" t="s">
        <v>715</v>
      </c>
    </row>
    <row r="344" spans="1:18">
      <c r="A344" t="s">
        <v>716</v>
      </c>
      <c r="B344" t="s">
        <v>622</v>
      </c>
      <c r="C344" t="s">
        <v>45</v>
      </c>
      <c r="D344" t="s">
        <v>46</v>
      </c>
      <c r="E344" t="s">
        <v>82</v>
      </c>
      <c r="F344" t="s">
        <v>97</v>
      </c>
      <c r="G344">
        <v>1</v>
      </c>
      <c r="H344">
        <v>156.97999999999999</v>
      </c>
      <c r="I344">
        <v>33.4</v>
      </c>
      <c r="J344">
        <v>20.100000000000001</v>
      </c>
      <c r="K344">
        <v>1</v>
      </c>
      <c r="L344">
        <v>4.33</v>
      </c>
      <c r="M344">
        <v>2.5</v>
      </c>
      <c r="N344">
        <v>27.93</v>
      </c>
      <c r="O344">
        <v>5.47</v>
      </c>
      <c r="P344">
        <v>25.71</v>
      </c>
      <c r="Q344" s="4">
        <v>0.16377</v>
      </c>
      <c r="R344" t="s">
        <v>717</v>
      </c>
    </row>
    <row r="345" spans="1:18">
      <c r="A345" t="s">
        <v>718</v>
      </c>
      <c r="B345" t="s">
        <v>622</v>
      </c>
      <c r="C345" t="s">
        <v>47</v>
      </c>
      <c r="D345" t="s">
        <v>40</v>
      </c>
      <c r="E345" t="s">
        <v>82</v>
      </c>
      <c r="F345" t="s">
        <v>90</v>
      </c>
      <c r="G345">
        <v>1</v>
      </c>
      <c r="H345">
        <v>69</v>
      </c>
      <c r="I345">
        <v>14.68</v>
      </c>
      <c r="J345">
        <v>6.7</v>
      </c>
      <c r="K345">
        <v>1</v>
      </c>
      <c r="L345">
        <v>2.0299999999999998</v>
      </c>
      <c r="M345">
        <v>1.1000000000000001</v>
      </c>
      <c r="N345">
        <v>10.83</v>
      </c>
      <c r="O345">
        <v>3.85</v>
      </c>
      <c r="P345">
        <v>18.11</v>
      </c>
      <c r="Q345" s="4">
        <v>0.26249</v>
      </c>
      <c r="R345" t="s">
        <v>719</v>
      </c>
    </row>
    <row r="346" spans="1:18">
      <c r="A346" t="s">
        <v>720</v>
      </c>
      <c r="B346" t="s">
        <v>622</v>
      </c>
      <c r="C346" t="s">
        <v>39</v>
      </c>
      <c r="D346" t="s">
        <v>40</v>
      </c>
      <c r="E346" t="s">
        <v>82</v>
      </c>
      <c r="F346" t="s">
        <v>83</v>
      </c>
      <c r="G346">
        <v>1</v>
      </c>
      <c r="H346">
        <v>69</v>
      </c>
      <c r="I346">
        <v>14.68</v>
      </c>
      <c r="J346">
        <v>6.7</v>
      </c>
      <c r="K346">
        <v>1</v>
      </c>
      <c r="L346">
        <v>2.0299999999999998</v>
      </c>
      <c r="M346">
        <v>1.1000000000000001</v>
      </c>
      <c r="N346">
        <v>10.83</v>
      </c>
      <c r="O346">
        <v>3.85</v>
      </c>
      <c r="P346">
        <v>18.11</v>
      </c>
      <c r="Q346" s="4">
        <v>0.26249</v>
      </c>
      <c r="R346" t="s">
        <v>721</v>
      </c>
    </row>
    <row r="347" spans="1:18">
      <c r="A347" t="s">
        <v>722</v>
      </c>
      <c r="B347" t="s">
        <v>622</v>
      </c>
      <c r="C347" t="s">
        <v>47</v>
      </c>
      <c r="D347" t="s">
        <v>40</v>
      </c>
      <c r="E347" t="s">
        <v>82</v>
      </c>
      <c r="F347" t="s">
        <v>90</v>
      </c>
      <c r="G347">
        <v>1</v>
      </c>
      <c r="H347">
        <v>126.35</v>
      </c>
      <c r="I347">
        <v>26.88</v>
      </c>
      <c r="J347">
        <v>6.7</v>
      </c>
      <c r="K347">
        <v>1</v>
      </c>
      <c r="L347">
        <v>3.53</v>
      </c>
      <c r="M347">
        <v>2.0099999999999998</v>
      </c>
      <c r="N347">
        <v>13.24</v>
      </c>
      <c r="O347">
        <v>13.64</v>
      </c>
      <c r="P347">
        <v>64.12</v>
      </c>
      <c r="Q347" s="4">
        <v>0.50746000000000002</v>
      </c>
      <c r="R347" t="s">
        <v>723</v>
      </c>
    </row>
    <row r="348" spans="1:18">
      <c r="A348" t="s">
        <v>722</v>
      </c>
      <c r="B348" t="s">
        <v>622</v>
      </c>
      <c r="C348" t="s">
        <v>39</v>
      </c>
      <c r="D348" t="s">
        <v>40</v>
      </c>
      <c r="E348" t="s">
        <v>82</v>
      </c>
      <c r="F348" t="s">
        <v>83</v>
      </c>
      <c r="G348">
        <v>1</v>
      </c>
      <c r="H348">
        <v>126.35</v>
      </c>
      <c r="I348">
        <v>26.88</v>
      </c>
      <c r="J348">
        <v>6.7</v>
      </c>
      <c r="K348">
        <v>1</v>
      </c>
      <c r="L348">
        <v>3.53</v>
      </c>
      <c r="M348">
        <v>2.0099999999999998</v>
      </c>
      <c r="N348">
        <v>13.24</v>
      </c>
      <c r="O348">
        <v>13.64</v>
      </c>
      <c r="P348">
        <v>64.12</v>
      </c>
      <c r="Q348" s="4">
        <v>0.50746000000000002</v>
      </c>
      <c r="R348" t="s">
        <v>723</v>
      </c>
    </row>
    <row r="349" spans="1:18">
      <c r="A349" t="s">
        <v>724</v>
      </c>
      <c r="B349" t="s">
        <v>622</v>
      </c>
      <c r="C349" t="s">
        <v>50</v>
      </c>
      <c r="D349" t="s">
        <v>51</v>
      </c>
      <c r="E349" t="s">
        <v>82</v>
      </c>
      <c r="F349" t="s">
        <v>92</v>
      </c>
      <c r="G349">
        <v>1</v>
      </c>
      <c r="H349">
        <v>82</v>
      </c>
      <c r="I349">
        <v>17.45</v>
      </c>
      <c r="J349">
        <v>3.35</v>
      </c>
      <c r="K349">
        <v>1</v>
      </c>
      <c r="L349">
        <v>2.37</v>
      </c>
      <c r="M349">
        <v>1.31</v>
      </c>
      <c r="N349">
        <v>8.02</v>
      </c>
      <c r="O349">
        <v>9.42</v>
      </c>
      <c r="P349">
        <v>44.29</v>
      </c>
      <c r="Q349" s="4">
        <v>0.54007000000000005</v>
      </c>
      <c r="R349" t="s">
        <v>725</v>
      </c>
    </row>
    <row r="350" spans="1:18">
      <c r="A350" t="s">
        <v>726</v>
      </c>
      <c r="B350" t="s">
        <v>622</v>
      </c>
      <c r="C350" t="s">
        <v>50</v>
      </c>
      <c r="D350" t="s">
        <v>51</v>
      </c>
      <c r="E350" t="s">
        <v>82</v>
      </c>
      <c r="F350" t="s">
        <v>92</v>
      </c>
      <c r="G350">
        <v>1</v>
      </c>
      <c r="H350">
        <v>82</v>
      </c>
      <c r="I350">
        <v>17.45</v>
      </c>
      <c r="J350">
        <v>3.35</v>
      </c>
      <c r="K350">
        <v>1</v>
      </c>
      <c r="L350">
        <v>2.37</v>
      </c>
      <c r="M350">
        <v>1.31</v>
      </c>
      <c r="N350">
        <v>8.02</v>
      </c>
      <c r="O350">
        <v>9.42</v>
      </c>
      <c r="P350">
        <v>44.29</v>
      </c>
      <c r="Q350" s="4">
        <v>0.54007000000000005</v>
      </c>
      <c r="R350" t="s">
        <v>727</v>
      </c>
    </row>
    <row r="351" spans="1:18">
      <c r="A351" t="s">
        <v>728</v>
      </c>
      <c r="B351" t="s">
        <v>622</v>
      </c>
      <c r="C351" t="s">
        <v>39</v>
      </c>
      <c r="D351" t="s">
        <v>40</v>
      </c>
      <c r="E351" t="s">
        <v>82</v>
      </c>
      <c r="F351" t="s">
        <v>83</v>
      </c>
      <c r="G351">
        <v>1</v>
      </c>
      <c r="H351">
        <v>133</v>
      </c>
      <c r="I351">
        <v>28.3</v>
      </c>
      <c r="J351">
        <v>6.7</v>
      </c>
      <c r="K351">
        <v>1</v>
      </c>
      <c r="L351">
        <v>3.7</v>
      </c>
      <c r="M351">
        <v>2.12</v>
      </c>
      <c r="N351">
        <v>13.52</v>
      </c>
      <c r="O351">
        <v>14.78</v>
      </c>
      <c r="P351">
        <v>69.45</v>
      </c>
      <c r="Q351" s="4">
        <v>0.5222</v>
      </c>
      <c r="R351" t="s">
        <v>729</v>
      </c>
    </row>
    <row r="352" spans="1:18">
      <c r="A352" t="s">
        <v>728</v>
      </c>
      <c r="B352" t="s">
        <v>622</v>
      </c>
      <c r="C352" t="s">
        <v>47</v>
      </c>
      <c r="D352" t="s">
        <v>40</v>
      </c>
      <c r="E352" t="s">
        <v>82</v>
      </c>
      <c r="F352" t="s">
        <v>90</v>
      </c>
      <c r="G352">
        <v>1</v>
      </c>
      <c r="H352">
        <v>133</v>
      </c>
      <c r="I352">
        <v>28.3</v>
      </c>
      <c r="J352">
        <v>6.7</v>
      </c>
      <c r="K352">
        <v>1</v>
      </c>
      <c r="L352">
        <v>3.7</v>
      </c>
      <c r="M352">
        <v>2.12</v>
      </c>
      <c r="N352">
        <v>13.52</v>
      </c>
      <c r="O352">
        <v>14.78</v>
      </c>
      <c r="P352">
        <v>69.45</v>
      </c>
      <c r="Q352" s="4">
        <v>0.5222</v>
      </c>
      <c r="R352" t="s">
        <v>729</v>
      </c>
    </row>
    <row r="353" spans="1:18">
      <c r="A353" t="s">
        <v>730</v>
      </c>
      <c r="B353" t="s">
        <v>622</v>
      </c>
      <c r="C353" t="s">
        <v>39</v>
      </c>
      <c r="D353" t="s">
        <v>40</v>
      </c>
      <c r="E353" t="s">
        <v>82</v>
      </c>
      <c r="F353" t="s">
        <v>83</v>
      </c>
      <c r="G353">
        <v>1</v>
      </c>
      <c r="H353">
        <v>69</v>
      </c>
      <c r="I353">
        <v>14.68</v>
      </c>
      <c r="J353">
        <v>6.7</v>
      </c>
      <c r="K353">
        <v>1</v>
      </c>
      <c r="L353">
        <v>2.0299999999999998</v>
      </c>
      <c r="M353">
        <v>1.1000000000000001</v>
      </c>
      <c r="N353">
        <v>10.83</v>
      </c>
      <c r="O353">
        <v>3.85</v>
      </c>
      <c r="P353">
        <v>18.11</v>
      </c>
      <c r="Q353" s="4">
        <v>0.26249</v>
      </c>
      <c r="R353" t="s">
        <v>731</v>
      </c>
    </row>
    <row r="354" spans="1:18">
      <c r="A354" t="s">
        <v>732</v>
      </c>
      <c r="B354" t="s">
        <v>107</v>
      </c>
      <c r="C354" t="s">
        <v>45</v>
      </c>
      <c r="D354" t="s">
        <v>46</v>
      </c>
      <c r="E354" t="s">
        <v>82</v>
      </c>
      <c r="F354" t="s">
        <v>97</v>
      </c>
      <c r="G354">
        <v>1</v>
      </c>
      <c r="H354">
        <v>172</v>
      </c>
      <c r="I354">
        <v>36.6</v>
      </c>
      <c r="J354">
        <v>20.100000000000001</v>
      </c>
      <c r="K354">
        <v>1</v>
      </c>
      <c r="L354">
        <v>4.72</v>
      </c>
      <c r="M354">
        <v>2.74</v>
      </c>
      <c r="N354">
        <v>28.56</v>
      </c>
      <c r="O354">
        <v>8.0299999999999994</v>
      </c>
      <c r="P354">
        <v>37.76</v>
      </c>
      <c r="Q354" s="4">
        <v>0.21953</v>
      </c>
      <c r="R354" t="s">
        <v>733</v>
      </c>
    </row>
    <row r="355" spans="1:18">
      <c r="A355" t="s">
        <v>734</v>
      </c>
      <c r="B355" t="s">
        <v>622</v>
      </c>
      <c r="C355" t="s">
        <v>39</v>
      </c>
      <c r="D355" t="s">
        <v>40</v>
      </c>
      <c r="E355" t="s">
        <v>82</v>
      </c>
      <c r="F355" t="s">
        <v>83</v>
      </c>
      <c r="G355">
        <v>1</v>
      </c>
      <c r="H355">
        <v>69</v>
      </c>
      <c r="I355">
        <v>14.68</v>
      </c>
      <c r="J355">
        <v>6.7</v>
      </c>
      <c r="K355">
        <v>1</v>
      </c>
      <c r="L355">
        <v>2.0299999999999998</v>
      </c>
      <c r="M355">
        <v>1.1000000000000001</v>
      </c>
      <c r="N355">
        <v>10.83</v>
      </c>
      <c r="O355">
        <v>3.85</v>
      </c>
      <c r="P355">
        <v>18.11</v>
      </c>
      <c r="Q355" s="4">
        <v>0.26249</v>
      </c>
      <c r="R355" t="s">
        <v>735</v>
      </c>
    </row>
    <row r="356" spans="1:18">
      <c r="A356" t="s">
        <v>736</v>
      </c>
      <c r="B356" t="s">
        <v>622</v>
      </c>
      <c r="C356" t="s">
        <v>43</v>
      </c>
      <c r="D356" t="s">
        <v>44</v>
      </c>
      <c r="E356" t="s">
        <v>82</v>
      </c>
      <c r="F356" t="s">
        <v>86</v>
      </c>
      <c r="G356">
        <v>1</v>
      </c>
      <c r="H356">
        <v>125</v>
      </c>
      <c r="I356">
        <v>26.6</v>
      </c>
      <c r="J356">
        <v>13.4</v>
      </c>
      <c r="K356">
        <v>1</v>
      </c>
      <c r="L356">
        <v>3.49</v>
      </c>
      <c r="M356">
        <v>1.99</v>
      </c>
      <c r="N356">
        <v>19.88</v>
      </c>
      <c r="O356">
        <v>6.71</v>
      </c>
      <c r="P356">
        <v>31.55</v>
      </c>
      <c r="Q356" s="4">
        <v>0.25235999999999997</v>
      </c>
      <c r="R356" t="s">
        <v>737</v>
      </c>
    </row>
    <row r="357" spans="1:18">
      <c r="A357" t="s">
        <v>738</v>
      </c>
      <c r="B357" t="s">
        <v>622</v>
      </c>
      <c r="C357" t="s">
        <v>45</v>
      </c>
      <c r="D357" t="s">
        <v>46</v>
      </c>
      <c r="E357" t="s">
        <v>82</v>
      </c>
      <c r="F357" t="s">
        <v>97</v>
      </c>
      <c r="G357">
        <v>1</v>
      </c>
      <c r="H357">
        <v>158.65</v>
      </c>
      <c r="I357">
        <v>33.76</v>
      </c>
      <c r="J357">
        <v>20.100000000000001</v>
      </c>
      <c r="K357">
        <v>1</v>
      </c>
      <c r="L357">
        <v>4.37</v>
      </c>
      <c r="M357">
        <v>2.5299999999999998</v>
      </c>
      <c r="N357">
        <v>28</v>
      </c>
      <c r="O357">
        <v>5.76</v>
      </c>
      <c r="P357">
        <v>27.05</v>
      </c>
      <c r="Q357" s="4">
        <v>0.17049</v>
      </c>
      <c r="R357" t="s">
        <v>739</v>
      </c>
    </row>
    <row r="358" spans="1:18">
      <c r="A358" t="s">
        <v>740</v>
      </c>
      <c r="B358" t="s">
        <v>622</v>
      </c>
      <c r="C358" t="s">
        <v>39</v>
      </c>
      <c r="D358" t="s">
        <v>40</v>
      </c>
      <c r="E358" t="s">
        <v>82</v>
      </c>
      <c r="F358" t="s">
        <v>83</v>
      </c>
      <c r="G358">
        <v>2</v>
      </c>
      <c r="H358">
        <v>181.82</v>
      </c>
      <c r="I358">
        <v>38.69</v>
      </c>
      <c r="J358">
        <v>13.4</v>
      </c>
      <c r="K358">
        <v>1</v>
      </c>
      <c r="L358">
        <v>4.9800000000000004</v>
      </c>
      <c r="M358">
        <v>2.9</v>
      </c>
      <c r="N358">
        <v>22.28</v>
      </c>
      <c r="O358">
        <v>16.41</v>
      </c>
      <c r="P358">
        <v>77.13</v>
      </c>
      <c r="Q358" s="4">
        <v>0.42419000000000001</v>
      </c>
      <c r="R358" t="s">
        <v>741</v>
      </c>
    </row>
    <row r="359" spans="1:18">
      <c r="A359" t="s">
        <v>740</v>
      </c>
      <c r="B359" t="s">
        <v>622</v>
      </c>
      <c r="C359" t="s">
        <v>47</v>
      </c>
      <c r="D359" t="s">
        <v>40</v>
      </c>
      <c r="E359" t="s">
        <v>82</v>
      </c>
      <c r="F359" t="s">
        <v>90</v>
      </c>
      <c r="G359">
        <v>1</v>
      </c>
      <c r="H359">
        <v>181.82</v>
      </c>
      <c r="I359">
        <v>38.69</v>
      </c>
      <c r="J359">
        <v>6.7</v>
      </c>
      <c r="K359">
        <v>1</v>
      </c>
      <c r="L359">
        <v>4.9800000000000004</v>
      </c>
      <c r="M359">
        <v>2.9</v>
      </c>
      <c r="N359">
        <v>15.58</v>
      </c>
      <c r="O359">
        <v>23.11</v>
      </c>
      <c r="P359">
        <v>108.62</v>
      </c>
      <c r="Q359" s="4">
        <v>0.59738000000000002</v>
      </c>
      <c r="R359" t="s">
        <v>741</v>
      </c>
    </row>
    <row r="360" spans="1:18">
      <c r="A360" t="s">
        <v>742</v>
      </c>
      <c r="B360" t="s">
        <v>622</v>
      </c>
      <c r="C360" t="s">
        <v>41</v>
      </c>
      <c r="D360" t="s">
        <v>42</v>
      </c>
      <c r="E360" t="s">
        <v>122</v>
      </c>
      <c r="F360" t="s">
        <v>123</v>
      </c>
      <c r="G360">
        <v>1</v>
      </c>
      <c r="H360">
        <v>130</v>
      </c>
      <c r="I360">
        <v>27.66</v>
      </c>
      <c r="J360">
        <v>10.73</v>
      </c>
      <c r="K360">
        <v>1</v>
      </c>
      <c r="L360">
        <v>3.62</v>
      </c>
      <c r="M360">
        <v>2.0699999999999998</v>
      </c>
      <c r="N360">
        <v>17.420000000000002</v>
      </c>
      <c r="O360">
        <v>10.24</v>
      </c>
      <c r="P360">
        <v>48.12</v>
      </c>
      <c r="Q360" s="4">
        <v>0.37015999999999999</v>
      </c>
      <c r="R360" t="s">
        <v>743</v>
      </c>
    </row>
    <row r="361" spans="1:18">
      <c r="A361" t="s">
        <v>744</v>
      </c>
      <c r="B361" t="s">
        <v>622</v>
      </c>
      <c r="C361" t="s">
        <v>47</v>
      </c>
      <c r="D361" t="s">
        <v>40</v>
      </c>
      <c r="E361" t="s">
        <v>82</v>
      </c>
      <c r="F361" t="s">
        <v>90</v>
      </c>
      <c r="G361">
        <v>1</v>
      </c>
      <c r="H361">
        <v>69</v>
      </c>
      <c r="I361">
        <v>14.68</v>
      </c>
      <c r="J361">
        <v>6.7</v>
      </c>
      <c r="K361">
        <v>1</v>
      </c>
      <c r="L361">
        <v>2.0299999999999998</v>
      </c>
      <c r="M361">
        <v>1.1000000000000001</v>
      </c>
      <c r="N361">
        <v>10.83</v>
      </c>
      <c r="O361">
        <v>3.85</v>
      </c>
      <c r="P361">
        <v>18.11</v>
      </c>
      <c r="Q361" s="4">
        <v>0.26249</v>
      </c>
      <c r="R361" t="s">
        <v>745</v>
      </c>
    </row>
    <row r="362" spans="1:18">
      <c r="A362" t="s">
        <v>746</v>
      </c>
      <c r="B362" t="s">
        <v>622</v>
      </c>
      <c r="C362" t="s">
        <v>43</v>
      </c>
      <c r="D362" t="s">
        <v>44</v>
      </c>
      <c r="E362" t="s">
        <v>82</v>
      </c>
      <c r="F362" t="s">
        <v>86</v>
      </c>
      <c r="G362">
        <v>1</v>
      </c>
      <c r="H362">
        <v>100</v>
      </c>
      <c r="I362">
        <v>21.28</v>
      </c>
      <c r="J362">
        <v>13.4</v>
      </c>
      <c r="K362">
        <v>1</v>
      </c>
      <c r="L362">
        <v>2.84</v>
      </c>
      <c r="M362">
        <v>1.59</v>
      </c>
      <c r="N362">
        <v>18.829999999999998</v>
      </c>
      <c r="O362">
        <v>2.44</v>
      </c>
      <c r="P362">
        <v>11.49</v>
      </c>
      <c r="Q362" s="4">
        <v>0.1149</v>
      </c>
      <c r="R362" t="s">
        <v>747</v>
      </c>
    </row>
    <row r="363" spans="1:18">
      <c r="A363" t="s">
        <v>748</v>
      </c>
      <c r="B363" t="s">
        <v>622</v>
      </c>
      <c r="C363" t="s">
        <v>43</v>
      </c>
      <c r="D363" t="s">
        <v>44</v>
      </c>
      <c r="E363" t="s">
        <v>82</v>
      </c>
      <c r="F363" t="s">
        <v>86</v>
      </c>
      <c r="G363">
        <v>1</v>
      </c>
      <c r="H363">
        <v>120</v>
      </c>
      <c r="I363">
        <v>25.53</v>
      </c>
      <c r="J363">
        <v>13.4</v>
      </c>
      <c r="K363">
        <v>1</v>
      </c>
      <c r="L363">
        <v>3.36</v>
      </c>
      <c r="M363">
        <v>1.91</v>
      </c>
      <c r="N363">
        <v>19.670000000000002</v>
      </c>
      <c r="O363">
        <v>5.86</v>
      </c>
      <c r="P363">
        <v>27.53</v>
      </c>
      <c r="Q363" s="4">
        <v>0.22944999999999999</v>
      </c>
      <c r="R363" t="s">
        <v>749</v>
      </c>
    </row>
    <row r="364" spans="1:18">
      <c r="A364" t="s">
        <v>750</v>
      </c>
      <c r="B364" t="s">
        <v>622</v>
      </c>
      <c r="C364" t="s">
        <v>43</v>
      </c>
      <c r="D364" t="s">
        <v>44</v>
      </c>
      <c r="E364" t="s">
        <v>82</v>
      </c>
      <c r="F364" t="s">
        <v>86</v>
      </c>
      <c r="G364">
        <v>1</v>
      </c>
      <c r="H364">
        <v>121</v>
      </c>
      <c r="I364">
        <v>25.74</v>
      </c>
      <c r="J364">
        <v>13.4</v>
      </c>
      <c r="K364">
        <v>1</v>
      </c>
      <c r="L364">
        <v>3.39</v>
      </c>
      <c r="M364">
        <v>1.93</v>
      </c>
      <c r="N364">
        <v>19.72</v>
      </c>
      <c r="O364">
        <v>6.03</v>
      </c>
      <c r="P364">
        <v>28.34</v>
      </c>
      <c r="Q364" s="4">
        <v>0.23418</v>
      </c>
      <c r="R364" t="s">
        <v>751</v>
      </c>
    </row>
    <row r="365" spans="1:18">
      <c r="A365" t="s">
        <v>752</v>
      </c>
      <c r="B365" t="s">
        <v>622</v>
      </c>
      <c r="C365" t="s">
        <v>48</v>
      </c>
      <c r="D365" t="s">
        <v>49</v>
      </c>
      <c r="E365" t="s">
        <v>82</v>
      </c>
      <c r="F365" t="s">
        <v>102</v>
      </c>
      <c r="G365">
        <v>1</v>
      </c>
      <c r="H365">
        <v>42.77</v>
      </c>
      <c r="I365">
        <v>9.1</v>
      </c>
      <c r="J365">
        <v>3.35</v>
      </c>
      <c r="K365">
        <v>1</v>
      </c>
      <c r="L365">
        <v>1.34</v>
      </c>
      <c r="M365">
        <v>0.68</v>
      </c>
      <c r="N365">
        <v>6.37</v>
      </c>
      <c r="O365">
        <v>2.73</v>
      </c>
      <c r="P365">
        <v>12.82</v>
      </c>
      <c r="Q365" s="4">
        <v>0.29963000000000001</v>
      </c>
      <c r="R365" t="s">
        <v>753</v>
      </c>
    </row>
    <row r="366" spans="1:18">
      <c r="A366" t="s">
        <v>754</v>
      </c>
      <c r="B366" t="s">
        <v>622</v>
      </c>
      <c r="C366" t="s">
        <v>39</v>
      </c>
      <c r="D366" t="s">
        <v>40</v>
      </c>
      <c r="E366" t="s">
        <v>82</v>
      </c>
      <c r="F366" t="s">
        <v>83</v>
      </c>
      <c r="G366">
        <v>1</v>
      </c>
      <c r="H366">
        <v>69</v>
      </c>
      <c r="I366">
        <v>14.68</v>
      </c>
      <c r="J366">
        <v>6.7</v>
      </c>
      <c r="K366">
        <v>1</v>
      </c>
      <c r="L366">
        <v>2.0299999999999998</v>
      </c>
      <c r="M366">
        <v>1.1000000000000001</v>
      </c>
      <c r="N366">
        <v>10.83</v>
      </c>
      <c r="O366">
        <v>3.85</v>
      </c>
      <c r="P366">
        <v>18.11</v>
      </c>
      <c r="Q366" s="4">
        <v>0.26249</v>
      </c>
      <c r="R366" t="s">
        <v>755</v>
      </c>
    </row>
    <row r="367" spans="1:18">
      <c r="A367" t="s">
        <v>756</v>
      </c>
      <c r="B367" t="s">
        <v>622</v>
      </c>
      <c r="C367" t="s">
        <v>56</v>
      </c>
      <c r="D367" t="s">
        <v>57</v>
      </c>
      <c r="E367" t="s">
        <v>133</v>
      </c>
      <c r="F367" t="s">
        <v>134</v>
      </c>
      <c r="G367">
        <v>1</v>
      </c>
      <c r="H367">
        <v>300</v>
      </c>
      <c r="I367">
        <v>63.83</v>
      </c>
      <c r="J367">
        <v>40.25</v>
      </c>
      <c r="K367">
        <v>2</v>
      </c>
      <c r="L367">
        <v>8.07</v>
      </c>
      <c r="M367">
        <v>4.78</v>
      </c>
      <c r="N367">
        <v>55.1</v>
      </c>
      <c r="O367">
        <v>8.73</v>
      </c>
      <c r="P367">
        <v>41.02</v>
      </c>
      <c r="Q367" s="4">
        <v>0.13672999999999999</v>
      </c>
      <c r="R367" t="s">
        <v>757</v>
      </c>
    </row>
    <row r="368" spans="1:18">
      <c r="A368" t="s">
        <v>758</v>
      </c>
      <c r="B368" t="s">
        <v>622</v>
      </c>
      <c r="C368" t="s">
        <v>56</v>
      </c>
      <c r="D368" t="s">
        <v>57</v>
      </c>
      <c r="E368" t="s">
        <v>759</v>
      </c>
      <c r="F368" t="s">
        <v>123</v>
      </c>
      <c r="G368">
        <v>1</v>
      </c>
      <c r="H368">
        <v>295.5</v>
      </c>
      <c r="I368">
        <v>62.87</v>
      </c>
      <c r="J368">
        <v>40.25</v>
      </c>
      <c r="K368">
        <v>2</v>
      </c>
      <c r="L368">
        <v>7.95</v>
      </c>
      <c r="M368">
        <v>4.71</v>
      </c>
      <c r="N368">
        <v>54.91</v>
      </c>
      <c r="O368">
        <v>7.96</v>
      </c>
      <c r="P368">
        <v>37.409999999999997</v>
      </c>
      <c r="Q368" s="4">
        <v>0.12659999999999999</v>
      </c>
      <c r="R368" t="s">
        <v>760</v>
      </c>
    </row>
    <row r="369" spans="1:18">
      <c r="A369" t="s">
        <v>761</v>
      </c>
      <c r="B369" t="s">
        <v>622</v>
      </c>
      <c r="C369" t="s">
        <v>48</v>
      </c>
      <c r="D369" t="s">
        <v>49</v>
      </c>
      <c r="E369" t="s">
        <v>82</v>
      </c>
      <c r="F369" t="s">
        <v>102</v>
      </c>
      <c r="G369">
        <v>1</v>
      </c>
      <c r="H369">
        <v>104</v>
      </c>
      <c r="I369">
        <v>22.13</v>
      </c>
      <c r="J369">
        <v>3.35</v>
      </c>
      <c r="K369">
        <v>1</v>
      </c>
      <c r="L369">
        <v>2.94</v>
      </c>
      <c r="M369">
        <v>1.66</v>
      </c>
      <c r="N369">
        <v>8.9499999999999993</v>
      </c>
      <c r="O369">
        <v>13.18</v>
      </c>
      <c r="P369">
        <v>61.93</v>
      </c>
      <c r="Q369" s="4">
        <v>0.59552000000000005</v>
      </c>
      <c r="R369" t="s">
        <v>762</v>
      </c>
    </row>
    <row r="370" spans="1:18">
      <c r="A370" t="s">
        <v>761</v>
      </c>
      <c r="B370" t="s">
        <v>622</v>
      </c>
      <c r="C370" t="s">
        <v>50</v>
      </c>
      <c r="D370" t="s">
        <v>51</v>
      </c>
      <c r="E370" t="s">
        <v>82</v>
      </c>
      <c r="F370" t="s">
        <v>92</v>
      </c>
      <c r="G370">
        <v>1</v>
      </c>
      <c r="H370">
        <v>104</v>
      </c>
      <c r="I370">
        <v>22.13</v>
      </c>
      <c r="J370">
        <v>3.35</v>
      </c>
      <c r="K370">
        <v>1</v>
      </c>
      <c r="L370">
        <v>2.94</v>
      </c>
      <c r="M370">
        <v>1.66</v>
      </c>
      <c r="N370">
        <v>8.9499999999999993</v>
      </c>
      <c r="O370">
        <v>13.18</v>
      </c>
      <c r="P370">
        <v>61.93</v>
      </c>
      <c r="Q370" s="4">
        <v>0.59552000000000005</v>
      </c>
      <c r="R370" t="s">
        <v>762</v>
      </c>
    </row>
    <row r="371" spans="1:18">
      <c r="A371" t="s">
        <v>763</v>
      </c>
      <c r="B371" t="s">
        <v>107</v>
      </c>
      <c r="C371" t="s">
        <v>39</v>
      </c>
      <c r="D371" t="s">
        <v>40</v>
      </c>
      <c r="E371" t="s">
        <v>82</v>
      </c>
      <c r="F371" t="s">
        <v>83</v>
      </c>
      <c r="G371">
        <v>1</v>
      </c>
      <c r="H371">
        <v>143</v>
      </c>
      <c r="I371">
        <v>30.43</v>
      </c>
      <c r="J371">
        <v>6.7</v>
      </c>
      <c r="K371">
        <v>1</v>
      </c>
      <c r="L371">
        <v>3.96</v>
      </c>
      <c r="M371">
        <v>2.2799999999999998</v>
      </c>
      <c r="N371">
        <v>13.94</v>
      </c>
      <c r="O371">
        <v>16.48</v>
      </c>
      <c r="P371">
        <v>77.47</v>
      </c>
      <c r="Q371" s="4">
        <v>0.54178000000000004</v>
      </c>
      <c r="R371" t="s">
        <v>764</v>
      </c>
    </row>
    <row r="372" spans="1:18">
      <c r="A372" t="s">
        <v>763</v>
      </c>
      <c r="B372" t="s">
        <v>107</v>
      </c>
      <c r="C372" t="s">
        <v>47</v>
      </c>
      <c r="D372" t="s">
        <v>40</v>
      </c>
      <c r="E372" t="s">
        <v>82</v>
      </c>
      <c r="F372" t="s">
        <v>90</v>
      </c>
      <c r="G372">
        <v>1</v>
      </c>
      <c r="H372">
        <v>143</v>
      </c>
      <c r="I372">
        <v>30.43</v>
      </c>
      <c r="J372">
        <v>6.7</v>
      </c>
      <c r="K372">
        <v>1</v>
      </c>
      <c r="L372">
        <v>3.96</v>
      </c>
      <c r="M372">
        <v>2.2799999999999998</v>
      </c>
      <c r="N372">
        <v>13.94</v>
      </c>
      <c r="O372">
        <v>16.48</v>
      </c>
      <c r="P372">
        <v>77.47</v>
      </c>
      <c r="Q372" s="4">
        <v>0.54178000000000004</v>
      </c>
      <c r="R372" t="s">
        <v>764</v>
      </c>
    </row>
    <row r="373" spans="1:18">
      <c r="A373" t="s">
        <v>765</v>
      </c>
      <c r="B373" t="s">
        <v>622</v>
      </c>
      <c r="C373" t="s">
        <v>52</v>
      </c>
      <c r="D373" t="s">
        <v>53</v>
      </c>
      <c r="E373" t="s">
        <v>133</v>
      </c>
      <c r="F373" t="s">
        <v>145</v>
      </c>
      <c r="G373">
        <v>1</v>
      </c>
      <c r="H373">
        <v>805</v>
      </c>
      <c r="I373">
        <v>171.28</v>
      </c>
      <c r="J373">
        <v>45.5</v>
      </c>
      <c r="K373">
        <v>2</v>
      </c>
      <c r="L373">
        <v>21.27</v>
      </c>
      <c r="M373">
        <v>12.83</v>
      </c>
      <c r="N373">
        <v>81.599999999999994</v>
      </c>
      <c r="O373">
        <v>89.68</v>
      </c>
      <c r="P373">
        <v>421.48</v>
      </c>
      <c r="Q373" s="4">
        <v>0.52356999999999998</v>
      </c>
      <c r="R373" t="s">
        <v>766</v>
      </c>
    </row>
    <row r="374" spans="1:18">
      <c r="A374" t="s">
        <v>765</v>
      </c>
      <c r="B374" t="s">
        <v>622</v>
      </c>
      <c r="C374" t="s">
        <v>56</v>
      </c>
      <c r="D374" t="s">
        <v>57</v>
      </c>
      <c r="E374" t="s">
        <v>133</v>
      </c>
      <c r="F374" t="s">
        <v>134</v>
      </c>
      <c r="G374">
        <v>1</v>
      </c>
      <c r="H374">
        <v>805</v>
      </c>
      <c r="I374">
        <v>171.28</v>
      </c>
      <c r="J374">
        <v>40.25</v>
      </c>
      <c r="K374">
        <v>2</v>
      </c>
      <c r="L374">
        <v>21.27</v>
      </c>
      <c r="M374">
        <v>12.83</v>
      </c>
      <c r="N374">
        <v>76.36</v>
      </c>
      <c r="O374">
        <v>94.92</v>
      </c>
      <c r="P374">
        <v>446.13</v>
      </c>
      <c r="Q374" s="4">
        <v>0.55420000000000003</v>
      </c>
      <c r="R374" t="s">
        <v>766</v>
      </c>
    </row>
    <row r="375" spans="1:18">
      <c r="A375" t="s">
        <v>767</v>
      </c>
      <c r="B375" t="s">
        <v>622</v>
      </c>
      <c r="C375" t="s">
        <v>47</v>
      </c>
      <c r="D375" t="s">
        <v>40</v>
      </c>
      <c r="E375" t="s">
        <v>82</v>
      </c>
      <c r="F375" t="s">
        <v>90</v>
      </c>
      <c r="G375">
        <v>1</v>
      </c>
      <c r="H375">
        <v>69</v>
      </c>
      <c r="I375">
        <v>14.68</v>
      </c>
      <c r="J375">
        <v>6.7</v>
      </c>
      <c r="K375">
        <v>1</v>
      </c>
      <c r="L375">
        <v>2.0299999999999998</v>
      </c>
      <c r="M375">
        <v>1.1000000000000001</v>
      </c>
      <c r="N375">
        <v>10.83</v>
      </c>
      <c r="O375">
        <v>3.85</v>
      </c>
      <c r="P375">
        <v>18.11</v>
      </c>
      <c r="Q375" s="4">
        <v>0.26249</v>
      </c>
      <c r="R375" t="s">
        <v>768</v>
      </c>
    </row>
    <row r="376" spans="1:18">
      <c r="A376" t="s">
        <v>769</v>
      </c>
      <c r="B376" t="s">
        <v>622</v>
      </c>
      <c r="C376" t="s">
        <v>41</v>
      </c>
      <c r="D376" t="s">
        <v>42</v>
      </c>
      <c r="E376" t="s">
        <v>122</v>
      </c>
      <c r="F376" t="s">
        <v>123</v>
      </c>
      <c r="G376">
        <v>1</v>
      </c>
      <c r="H376">
        <v>81.25</v>
      </c>
      <c r="I376">
        <v>17.29</v>
      </c>
      <c r="J376">
        <v>10.73</v>
      </c>
      <c r="K376">
        <v>1</v>
      </c>
      <c r="L376">
        <v>2.35</v>
      </c>
      <c r="M376">
        <v>1.29</v>
      </c>
      <c r="N376">
        <v>15.37</v>
      </c>
      <c r="O376">
        <v>1.92</v>
      </c>
      <c r="P376">
        <v>9.01</v>
      </c>
      <c r="Q376" s="4">
        <v>0.11094</v>
      </c>
      <c r="R376" t="s">
        <v>770</v>
      </c>
    </row>
    <row r="377" spans="1:18">
      <c r="A377" t="s">
        <v>771</v>
      </c>
      <c r="B377" t="s">
        <v>107</v>
      </c>
      <c r="C377" t="s">
        <v>47</v>
      </c>
      <c r="D377" t="s">
        <v>40</v>
      </c>
      <c r="E377" t="s">
        <v>82</v>
      </c>
      <c r="F377" t="s">
        <v>90</v>
      </c>
      <c r="G377">
        <v>1</v>
      </c>
      <c r="H377">
        <v>69</v>
      </c>
      <c r="I377">
        <v>14.68</v>
      </c>
      <c r="J377">
        <v>6.7</v>
      </c>
      <c r="K377">
        <v>1</v>
      </c>
      <c r="L377">
        <v>2.0299999999999998</v>
      </c>
      <c r="M377">
        <v>1.1000000000000001</v>
      </c>
      <c r="N377">
        <v>10.83</v>
      </c>
      <c r="O377">
        <v>3.85</v>
      </c>
      <c r="P377">
        <v>18.11</v>
      </c>
      <c r="Q377" s="4">
        <v>0.26249</v>
      </c>
      <c r="R377" t="s">
        <v>772</v>
      </c>
    </row>
    <row r="378" spans="1:18">
      <c r="A378" t="s">
        <v>773</v>
      </c>
      <c r="B378" t="s">
        <v>622</v>
      </c>
      <c r="C378" t="s">
        <v>43</v>
      </c>
      <c r="D378" t="s">
        <v>44</v>
      </c>
      <c r="E378" t="s">
        <v>82</v>
      </c>
      <c r="F378" t="s">
        <v>86</v>
      </c>
      <c r="G378">
        <v>1</v>
      </c>
      <c r="H378">
        <v>245</v>
      </c>
      <c r="I378">
        <v>52.13</v>
      </c>
      <c r="J378">
        <v>13.4</v>
      </c>
      <c r="K378">
        <v>1</v>
      </c>
      <c r="L378">
        <v>6.63</v>
      </c>
      <c r="M378">
        <v>3.9</v>
      </c>
      <c r="N378">
        <v>24.93</v>
      </c>
      <c r="O378">
        <v>27.19</v>
      </c>
      <c r="P378">
        <v>127.81</v>
      </c>
      <c r="Q378" s="4">
        <v>0.52166999999999997</v>
      </c>
      <c r="R378" t="s">
        <v>774</v>
      </c>
    </row>
    <row r="379" spans="1:18">
      <c r="A379" t="s">
        <v>773</v>
      </c>
      <c r="B379" t="s">
        <v>622</v>
      </c>
      <c r="C379" t="s">
        <v>54</v>
      </c>
      <c r="D379" t="s">
        <v>44</v>
      </c>
      <c r="E379" t="s">
        <v>82</v>
      </c>
      <c r="F379" t="s">
        <v>164</v>
      </c>
      <c r="G379">
        <v>1</v>
      </c>
      <c r="H379">
        <v>245</v>
      </c>
      <c r="I379">
        <v>52.13</v>
      </c>
      <c r="J379">
        <v>13.4</v>
      </c>
      <c r="K379">
        <v>1</v>
      </c>
      <c r="L379">
        <v>6.63</v>
      </c>
      <c r="M379">
        <v>3.9</v>
      </c>
      <c r="N379">
        <v>24.93</v>
      </c>
      <c r="O379">
        <v>27.19</v>
      </c>
      <c r="P379">
        <v>127.81</v>
      </c>
      <c r="Q379" s="4">
        <v>0.52166999999999997</v>
      </c>
      <c r="R379" t="s">
        <v>774</v>
      </c>
    </row>
    <row r="380" spans="1:18">
      <c r="A380" t="s">
        <v>775</v>
      </c>
      <c r="B380" t="s">
        <v>622</v>
      </c>
      <c r="C380" t="s">
        <v>56</v>
      </c>
      <c r="D380" t="s">
        <v>57</v>
      </c>
      <c r="E380" t="s">
        <v>133</v>
      </c>
      <c r="F380" t="s">
        <v>134</v>
      </c>
      <c r="G380">
        <v>1</v>
      </c>
      <c r="H380">
        <v>280</v>
      </c>
      <c r="I380">
        <v>59.57</v>
      </c>
      <c r="J380">
        <v>40.25</v>
      </c>
      <c r="K380">
        <v>2</v>
      </c>
      <c r="L380">
        <v>7.55</v>
      </c>
      <c r="M380">
        <v>4.46</v>
      </c>
      <c r="N380">
        <v>54.26</v>
      </c>
      <c r="O380">
        <v>5.31</v>
      </c>
      <c r="P380">
        <v>24.98</v>
      </c>
      <c r="Q380" s="4">
        <v>8.9200000000000002E-2</v>
      </c>
      <c r="R380" t="s">
        <v>776</v>
      </c>
    </row>
    <row r="381" spans="1:18">
      <c r="A381" t="s">
        <v>777</v>
      </c>
      <c r="B381" t="s">
        <v>622</v>
      </c>
      <c r="C381" t="s">
        <v>48</v>
      </c>
      <c r="D381" t="s">
        <v>49</v>
      </c>
      <c r="E381" t="s">
        <v>82</v>
      </c>
      <c r="F381" t="s">
        <v>102</v>
      </c>
      <c r="G381">
        <v>1</v>
      </c>
      <c r="H381">
        <v>47</v>
      </c>
      <c r="I381">
        <v>10</v>
      </c>
      <c r="J381">
        <v>3.35</v>
      </c>
      <c r="K381">
        <v>1</v>
      </c>
      <c r="L381">
        <v>1.45</v>
      </c>
      <c r="M381">
        <v>0.75</v>
      </c>
      <c r="N381">
        <v>6.55</v>
      </c>
      <c r="O381">
        <v>3.45</v>
      </c>
      <c r="P381">
        <v>16.21</v>
      </c>
      <c r="Q381" s="4">
        <v>0.34486</v>
      </c>
      <c r="R381" t="s">
        <v>778</v>
      </c>
    </row>
    <row r="382" spans="1:18">
      <c r="A382" t="s">
        <v>779</v>
      </c>
      <c r="B382" t="s">
        <v>622</v>
      </c>
      <c r="C382" t="s">
        <v>50</v>
      </c>
      <c r="D382" t="s">
        <v>51</v>
      </c>
      <c r="E382" t="s">
        <v>82</v>
      </c>
      <c r="F382" t="s">
        <v>92</v>
      </c>
      <c r="G382">
        <v>1</v>
      </c>
      <c r="H382">
        <v>47</v>
      </c>
      <c r="I382">
        <v>10</v>
      </c>
      <c r="J382">
        <v>3.35</v>
      </c>
      <c r="K382">
        <v>1</v>
      </c>
      <c r="L382">
        <v>1.45</v>
      </c>
      <c r="M382">
        <v>0.75</v>
      </c>
      <c r="N382">
        <v>6.55</v>
      </c>
      <c r="O382">
        <v>3.45</v>
      </c>
      <c r="P382">
        <v>16.21</v>
      </c>
      <c r="Q382" s="4">
        <v>0.34486</v>
      </c>
      <c r="R382" t="s">
        <v>780</v>
      </c>
    </row>
    <row r="383" spans="1:18">
      <c r="A383" t="s">
        <v>781</v>
      </c>
      <c r="B383" t="s">
        <v>107</v>
      </c>
      <c r="C383" t="s">
        <v>43</v>
      </c>
      <c r="D383" t="s">
        <v>44</v>
      </c>
      <c r="E383" t="s">
        <v>82</v>
      </c>
      <c r="F383" t="s">
        <v>86</v>
      </c>
      <c r="G383">
        <v>1</v>
      </c>
      <c r="H383">
        <v>120</v>
      </c>
      <c r="I383">
        <v>25.53</v>
      </c>
      <c r="J383">
        <v>13.4</v>
      </c>
      <c r="K383">
        <v>1</v>
      </c>
      <c r="L383">
        <v>3.36</v>
      </c>
      <c r="M383">
        <v>1.91</v>
      </c>
      <c r="N383">
        <v>19.670000000000002</v>
      </c>
      <c r="O383">
        <v>5.86</v>
      </c>
      <c r="P383">
        <v>27.53</v>
      </c>
      <c r="Q383" s="4">
        <v>0.22944999999999999</v>
      </c>
      <c r="R383" t="s">
        <v>782</v>
      </c>
    </row>
    <row r="384" spans="1:18">
      <c r="A384" t="s">
        <v>783</v>
      </c>
      <c r="B384" t="s">
        <v>622</v>
      </c>
      <c r="C384" t="s">
        <v>45</v>
      </c>
      <c r="D384" t="s">
        <v>46</v>
      </c>
      <c r="E384" t="s">
        <v>82</v>
      </c>
      <c r="F384" t="s">
        <v>97</v>
      </c>
      <c r="G384">
        <v>1</v>
      </c>
      <c r="H384">
        <v>146.19999999999999</v>
      </c>
      <c r="I384">
        <v>31.11</v>
      </c>
      <c r="J384">
        <v>20.100000000000001</v>
      </c>
      <c r="K384">
        <v>1</v>
      </c>
      <c r="L384">
        <v>4.05</v>
      </c>
      <c r="M384">
        <v>2.33</v>
      </c>
      <c r="N384">
        <v>27.48</v>
      </c>
      <c r="O384">
        <v>3.63</v>
      </c>
      <c r="P384">
        <v>17.059999999999999</v>
      </c>
      <c r="Q384" s="4">
        <v>0.1167</v>
      </c>
      <c r="R384" t="s">
        <v>784</v>
      </c>
    </row>
    <row r="385" spans="1:18">
      <c r="A385" t="s">
        <v>785</v>
      </c>
      <c r="B385" t="s">
        <v>622</v>
      </c>
      <c r="C385" t="s">
        <v>58</v>
      </c>
      <c r="D385" t="s">
        <v>59</v>
      </c>
      <c r="E385" t="s">
        <v>705</v>
      </c>
      <c r="F385" t="s">
        <v>155</v>
      </c>
      <c r="G385">
        <v>1</v>
      </c>
      <c r="H385">
        <v>97</v>
      </c>
      <c r="I385">
        <v>20.64</v>
      </c>
      <c r="J385">
        <v>12.2</v>
      </c>
      <c r="K385">
        <v>0.5</v>
      </c>
      <c r="L385">
        <v>2.76</v>
      </c>
      <c r="M385">
        <v>1.55</v>
      </c>
      <c r="N385">
        <v>17.010000000000002</v>
      </c>
      <c r="O385">
        <v>3.63</v>
      </c>
      <c r="P385">
        <v>17.07</v>
      </c>
      <c r="Q385" s="4">
        <v>0.17601</v>
      </c>
      <c r="R385" t="s">
        <v>786</v>
      </c>
    </row>
    <row r="386" spans="1:18">
      <c r="A386" t="s">
        <v>787</v>
      </c>
      <c r="B386" t="s">
        <v>622</v>
      </c>
      <c r="C386" t="s">
        <v>43</v>
      </c>
      <c r="D386" t="s">
        <v>44</v>
      </c>
      <c r="E386" t="s">
        <v>82</v>
      </c>
      <c r="F386" t="s">
        <v>86</v>
      </c>
      <c r="G386">
        <v>5</v>
      </c>
      <c r="H386">
        <v>885.4</v>
      </c>
      <c r="I386">
        <v>188.38</v>
      </c>
      <c r="J386">
        <v>67</v>
      </c>
      <c r="K386">
        <v>1</v>
      </c>
      <c r="L386">
        <v>23.38</v>
      </c>
      <c r="M386">
        <v>14.11</v>
      </c>
      <c r="N386">
        <v>105.49</v>
      </c>
      <c r="O386">
        <v>82.9</v>
      </c>
      <c r="P386">
        <v>389.62</v>
      </c>
      <c r="Q386" s="4">
        <v>0.44005</v>
      </c>
      <c r="R386" t="s">
        <v>788</v>
      </c>
    </row>
    <row r="387" spans="1:18">
      <c r="A387" t="s">
        <v>787</v>
      </c>
      <c r="B387" t="s">
        <v>622</v>
      </c>
      <c r="C387" t="s">
        <v>54</v>
      </c>
      <c r="D387" t="s">
        <v>44</v>
      </c>
      <c r="E387" t="s">
        <v>82</v>
      </c>
      <c r="F387" t="s">
        <v>164</v>
      </c>
      <c r="G387">
        <v>3</v>
      </c>
      <c r="H387">
        <v>885.4</v>
      </c>
      <c r="I387">
        <v>188.38</v>
      </c>
      <c r="J387">
        <v>40.200000000000003</v>
      </c>
      <c r="K387">
        <v>1</v>
      </c>
      <c r="L387">
        <v>23.38</v>
      </c>
      <c r="M387">
        <v>14.11</v>
      </c>
      <c r="N387">
        <v>78.69</v>
      </c>
      <c r="O387">
        <v>109.7</v>
      </c>
      <c r="P387">
        <v>515.58000000000004</v>
      </c>
      <c r="Q387" s="4">
        <v>0.58230999999999999</v>
      </c>
      <c r="R387" t="s">
        <v>788</v>
      </c>
    </row>
    <row r="388" spans="1:18">
      <c r="A388" t="s">
        <v>789</v>
      </c>
      <c r="B388" t="s">
        <v>107</v>
      </c>
      <c r="C388" t="s">
        <v>45</v>
      </c>
      <c r="D388" t="s">
        <v>46</v>
      </c>
      <c r="E388" t="s">
        <v>82</v>
      </c>
      <c r="F388" t="s">
        <v>97</v>
      </c>
      <c r="G388">
        <v>1</v>
      </c>
      <c r="H388">
        <v>172</v>
      </c>
      <c r="I388">
        <v>36.6</v>
      </c>
      <c r="J388">
        <v>20.100000000000001</v>
      </c>
      <c r="K388">
        <v>1</v>
      </c>
      <c r="L388">
        <v>4.72</v>
      </c>
      <c r="M388">
        <v>2.74</v>
      </c>
      <c r="N388">
        <v>28.56</v>
      </c>
      <c r="O388">
        <v>8.0299999999999994</v>
      </c>
      <c r="P388">
        <v>37.76</v>
      </c>
      <c r="Q388" s="4">
        <v>0.21953</v>
      </c>
      <c r="R388" t="s">
        <v>790</v>
      </c>
    </row>
    <row r="389" spans="1:18">
      <c r="A389" t="s">
        <v>791</v>
      </c>
      <c r="B389" t="s">
        <v>622</v>
      </c>
      <c r="C389" t="s">
        <v>41</v>
      </c>
      <c r="D389" t="s">
        <v>42</v>
      </c>
      <c r="E389" t="s">
        <v>122</v>
      </c>
      <c r="F389" t="s">
        <v>123</v>
      </c>
      <c r="G389">
        <v>2</v>
      </c>
      <c r="H389">
        <v>216.75</v>
      </c>
      <c r="I389">
        <v>46.12</v>
      </c>
      <c r="J389">
        <v>21.45</v>
      </c>
      <c r="K389">
        <v>1</v>
      </c>
      <c r="L389">
        <v>5.89</v>
      </c>
      <c r="M389">
        <v>3.45</v>
      </c>
      <c r="N389">
        <v>31.8</v>
      </c>
      <c r="O389">
        <v>14.32</v>
      </c>
      <c r="P389">
        <v>67.3</v>
      </c>
      <c r="Q389" s="4">
        <v>0.31047999999999998</v>
      </c>
      <c r="R389" t="s">
        <v>792</v>
      </c>
    </row>
    <row r="390" spans="1:18">
      <c r="A390" t="s">
        <v>793</v>
      </c>
      <c r="B390" t="s">
        <v>107</v>
      </c>
      <c r="C390" t="s">
        <v>41</v>
      </c>
      <c r="D390" t="s">
        <v>42</v>
      </c>
      <c r="E390" t="s">
        <v>122</v>
      </c>
      <c r="F390" t="s">
        <v>123</v>
      </c>
      <c r="G390">
        <v>1</v>
      </c>
      <c r="H390">
        <v>100</v>
      </c>
      <c r="I390">
        <v>21.28</v>
      </c>
      <c r="J390">
        <v>10.73</v>
      </c>
      <c r="K390">
        <v>1</v>
      </c>
      <c r="L390">
        <v>2.84</v>
      </c>
      <c r="M390">
        <v>1.59</v>
      </c>
      <c r="N390">
        <v>16.16</v>
      </c>
      <c r="O390">
        <v>5.12</v>
      </c>
      <c r="P390">
        <v>24.05</v>
      </c>
      <c r="Q390" s="4">
        <v>0.24055000000000001</v>
      </c>
      <c r="R390" t="s">
        <v>794</v>
      </c>
    </row>
    <row r="391" spans="1:18">
      <c r="A391" t="s">
        <v>795</v>
      </c>
      <c r="B391" t="s">
        <v>622</v>
      </c>
      <c r="C391" t="s">
        <v>39</v>
      </c>
      <c r="D391" t="s">
        <v>40</v>
      </c>
      <c r="E391" t="s">
        <v>82</v>
      </c>
      <c r="F391" t="s">
        <v>83</v>
      </c>
      <c r="G391">
        <v>2</v>
      </c>
      <c r="H391">
        <v>123.05</v>
      </c>
      <c r="I391">
        <v>26.18</v>
      </c>
      <c r="J391">
        <v>13.4</v>
      </c>
      <c r="K391">
        <v>1</v>
      </c>
      <c r="L391">
        <v>3.44</v>
      </c>
      <c r="M391">
        <v>1.96</v>
      </c>
      <c r="N391">
        <v>19.8</v>
      </c>
      <c r="O391">
        <v>6.38</v>
      </c>
      <c r="P391">
        <v>29.98</v>
      </c>
      <c r="Q391" s="4">
        <v>0.24365000000000001</v>
      </c>
      <c r="R391" t="s">
        <v>796</v>
      </c>
    </row>
    <row r="392" spans="1:18">
      <c r="A392" t="s">
        <v>797</v>
      </c>
      <c r="B392" t="s">
        <v>622</v>
      </c>
      <c r="C392" t="s">
        <v>41</v>
      </c>
      <c r="D392" t="s">
        <v>42</v>
      </c>
      <c r="E392" t="s">
        <v>122</v>
      </c>
      <c r="F392" t="s">
        <v>123</v>
      </c>
      <c r="G392">
        <v>1</v>
      </c>
      <c r="H392">
        <v>125</v>
      </c>
      <c r="I392">
        <v>26.6</v>
      </c>
      <c r="J392">
        <v>10.73</v>
      </c>
      <c r="K392">
        <v>1</v>
      </c>
      <c r="L392">
        <v>3.49</v>
      </c>
      <c r="M392">
        <v>1.99</v>
      </c>
      <c r="N392">
        <v>17.21</v>
      </c>
      <c r="O392">
        <v>9.39</v>
      </c>
      <c r="P392">
        <v>44.11</v>
      </c>
      <c r="Q392" s="4">
        <v>0.35288000000000003</v>
      </c>
      <c r="R392" t="s">
        <v>798</v>
      </c>
    </row>
    <row r="393" spans="1:18">
      <c r="A393" t="s">
        <v>799</v>
      </c>
      <c r="B393" t="s">
        <v>622</v>
      </c>
      <c r="C393" t="s">
        <v>45</v>
      </c>
      <c r="D393" t="s">
        <v>46</v>
      </c>
      <c r="E393" t="s">
        <v>82</v>
      </c>
      <c r="F393" t="s">
        <v>97</v>
      </c>
      <c r="G393">
        <v>1</v>
      </c>
      <c r="H393">
        <v>172</v>
      </c>
      <c r="I393">
        <v>36.6</v>
      </c>
      <c r="J393">
        <v>20.100000000000001</v>
      </c>
      <c r="K393">
        <v>1</v>
      </c>
      <c r="L393">
        <v>4.72</v>
      </c>
      <c r="M393">
        <v>2.74</v>
      </c>
      <c r="N393">
        <v>28.56</v>
      </c>
      <c r="O393">
        <v>8.0299999999999994</v>
      </c>
      <c r="P393">
        <v>37.76</v>
      </c>
      <c r="Q393" s="4">
        <v>0.21953</v>
      </c>
      <c r="R393" t="s">
        <v>800</v>
      </c>
    </row>
    <row r="394" spans="1:18">
      <c r="A394" t="s">
        <v>801</v>
      </c>
      <c r="B394" t="s">
        <v>622</v>
      </c>
      <c r="C394" t="s">
        <v>50</v>
      </c>
      <c r="D394" t="s">
        <v>51</v>
      </c>
      <c r="E394" t="s">
        <v>82</v>
      </c>
      <c r="F394" t="s">
        <v>92</v>
      </c>
      <c r="G394">
        <v>2</v>
      </c>
      <c r="H394">
        <v>104</v>
      </c>
      <c r="I394">
        <v>22.13</v>
      </c>
      <c r="J394">
        <v>6.7</v>
      </c>
      <c r="K394">
        <v>1</v>
      </c>
      <c r="L394">
        <v>2.94</v>
      </c>
      <c r="M394">
        <v>1.66</v>
      </c>
      <c r="N394">
        <v>12.3</v>
      </c>
      <c r="O394">
        <v>9.83</v>
      </c>
      <c r="P394">
        <v>46.19</v>
      </c>
      <c r="Q394" s="4">
        <v>0.44412000000000001</v>
      </c>
      <c r="R394" t="s">
        <v>802</v>
      </c>
    </row>
    <row r="395" spans="1:18">
      <c r="A395" t="s">
        <v>803</v>
      </c>
      <c r="B395" t="s">
        <v>622</v>
      </c>
      <c r="C395" t="s">
        <v>48</v>
      </c>
      <c r="D395" t="s">
        <v>49</v>
      </c>
      <c r="E395" t="s">
        <v>82</v>
      </c>
      <c r="F395" t="s">
        <v>102</v>
      </c>
      <c r="G395">
        <v>2</v>
      </c>
      <c r="H395">
        <v>104</v>
      </c>
      <c r="I395">
        <v>22.13</v>
      </c>
      <c r="J395">
        <v>6.7</v>
      </c>
      <c r="K395">
        <v>1</v>
      </c>
      <c r="L395">
        <v>2.94</v>
      </c>
      <c r="M395">
        <v>1.66</v>
      </c>
      <c r="N395">
        <v>12.3</v>
      </c>
      <c r="O395">
        <v>9.83</v>
      </c>
      <c r="P395">
        <v>46.19</v>
      </c>
      <c r="Q395" s="4">
        <v>0.44412000000000001</v>
      </c>
      <c r="R395" t="s">
        <v>804</v>
      </c>
    </row>
    <row r="396" spans="1:18">
      <c r="A396" t="s">
        <v>805</v>
      </c>
      <c r="B396" t="s">
        <v>622</v>
      </c>
      <c r="C396" t="s">
        <v>47</v>
      </c>
      <c r="D396" t="s">
        <v>40</v>
      </c>
      <c r="E396" t="s">
        <v>82</v>
      </c>
      <c r="F396" t="s">
        <v>90</v>
      </c>
      <c r="G396">
        <v>1</v>
      </c>
      <c r="H396">
        <v>69</v>
      </c>
      <c r="I396">
        <v>14.68</v>
      </c>
      <c r="J396">
        <v>6.7</v>
      </c>
      <c r="K396">
        <v>1</v>
      </c>
      <c r="L396">
        <v>2.0299999999999998</v>
      </c>
      <c r="M396">
        <v>1.1000000000000001</v>
      </c>
      <c r="N396">
        <v>10.83</v>
      </c>
      <c r="O396">
        <v>3.85</v>
      </c>
      <c r="P396">
        <v>18.11</v>
      </c>
      <c r="Q396" s="4">
        <v>0.26249</v>
      </c>
      <c r="R396" t="s">
        <v>806</v>
      </c>
    </row>
    <row r="397" spans="1:18">
      <c r="A397" t="s">
        <v>807</v>
      </c>
      <c r="B397" t="s">
        <v>622</v>
      </c>
      <c r="C397" t="s">
        <v>47</v>
      </c>
      <c r="D397" t="s">
        <v>40</v>
      </c>
      <c r="E397" t="s">
        <v>82</v>
      </c>
      <c r="F397" t="s">
        <v>90</v>
      </c>
      <c r="G397">
        <v>1</v>
      </c>
      <c r="H397">
        <v>105</v>
      </c>
      <c r="I397">
        <v>22.34</v>
      </c>
      <c r="J397">
        <v>6.7</v>
      </c>
      <c r="K397">
        <v>1</v>
      </c>
      <c r="L397">
        <v>2.97</v>
      </c>
      <c r="M397">
        <v>1.67</v>
      </c>
      <c r="N397">
        <v>12.34</v>
      </c>
      <c r="O397">
        <v>10</v>
      </c>
      <c r="P397">
        <v>46.99</v>
      </c>
      <c r="Q397" s="4">
        <v>0.44752999999999998</v>
      </c>
      <c r="R397" t="s">
        <v>808</v>
      </c>
    </row>
    <row r="398" spans="1:18">
      <c r="A398" t="s">
        <v>807</v>
      </c>
      <c r="B398" t="s">
        <v>622</v>
      </c>
      <c r="C398" t="s">
        <v>39</v>
      </c>
      <c r="D398" t="s">
        <v>40</v>
      </c>
      <c r="E398" t="s">
        <v>82</v>
      </c>
      <c r="F398" t="s">
        <v>83</v>
      </c>
      <c r="G398">
        <v>1</v>
      </c>
      <c r="H398">
        <v>105</v>
      </c>
      <c r="I398">
        <v>22.34</v>
      </c>
      <c r="J398">
        <v>6.7</v>
      </c>
      <c r="K398">
        <v>1</v>
      </c>
      <c r="L398">
        <v>2.97</v>
      </c>
      <c r="M398">
        <v>1.67</v>
      </c>
      <c r="N398">
        <v>12.34</v>
      </c>
      <c r="O398">
        <v>10</v>
      </c>
      <c r="P398">
        <v>46.99</v>
      </c>
      <c r="Q398" s="4">
        <v>0.44752999999999998</v>
      </c>
      <c r="R398" t="s">
        <v>808</v>
      </c>
    </row>
    <row r="399" spans="1:18">
      <c r="A399" t="s">
        <v>809</v>
      </c>
      <c r="B399" t="s">
        <v>622</v>
      </c>
      <c r="C399" t="s">
        <v>56</v>
      </c>
      <c r="D399" t="s">
        <v>57</v>
      </c>
      <c r="E399" t="s">
        <v>133</v>
      </c>
      <c r="F399" t="s">
        <v>134</v>
      </c>
      <c r="G399">
        <v>1</v>
      </c>
      <c r="H399">
        <v>340</v>
      </c>
      <c r="I399">
        <v>72.34</v>
      </c>
      <c r="J399">
        <v>40.25</v>
      </c>
      <c r="K399">
        <v>2</v>
      </c>
      <c r="L399">
        <v>9.11</v>
      </c>
      <c r="M399">
        <v>5.42</v>
      </c>
      <c r="N399">
        <v>56.79</v>
      </c>
      <c r="O399">
        <v>15.55</v>
      </c>
      <c r="P399">
        <v>73.11</v>
      </c>
      <c r="Q399" s="4">
        <v>0.21501999999999999</v>
      </c>
      <c r="R399" t="s">
        <v>810</v>
      </c>
    </row>
    <row r="400" spans="1:18">
      <c r="A400" t="s">
        <v>811</v>
      </c>
      <c r="B400" t="s">
        <v>622</v>
      </c>
      <c r="C400" t="s">
        <v>47</v>
      </c>
      <c r="D400" t="s">
        <v>40</v>
      </c>
      <c r="E400" t="s">
        <v>82</v>
      </c>
      <c r="F400" t="s">
        <v>90</v>
      </c>
      <c r="G400">
        <v>1</v>
      </c>
      <c r="H400">
        <v>69</v>
      </c>
      <c r="I400">
        <v>14.68</v>
      </c>
      <c r="J400">
        <v>6.7</v>
      </c>
      <c r="K400">
        <v>1</v>
      </c>
      <c r="L400">
        <v>2.0299999999999998</v>
      </c>
      <c r="M400">
        <v>1.1000000000000001</v>
      </c>
      <c r="N400">
        <v>10.83</v>
      </c>
      <c r="O400">
        <v>3.85</v>
      </c>
      <c r="P400">
        <v>18.11</v>
      </c>
      <c r="Q400" s="4">
        <v>0.26249</v>
      </c>
      <c r="R400" t="s">
        <v>812</v>
      </c>
    </row>
    <row r="401" spans="1:18">
      <c r="A401" t="s">
        <v>813</v>
      </c>
      <c r="B401" t="s">
        <v>622</v>
      </c>
      <c r="C401" t="s">
        <v>39</v>
      </c>
      <c r="D401" t="s">
        <v>40</v>
      </c>
      <c r="E401" t="s">
        <v>82</v>
      </c>
      <c r="F401" t="s">
        <v>83</v>
      </c>
      <c r="G401">
        <v>1</v>
      </c>
      <c r="H401">
        <v>65.55</v>
      </c>
      <c r="I401">
        <v>13.95</v>
      </c>
      <c r="J401">
        <v>6.7</v>
      </c>
      <c r="K401">
        <v>1</v>
      </c>
      <c r="L401">
        <v>1.94</v>
      </c>
      <c r="M401">
        <v>1.04</v>
      </c>
      <c r="N401">
        <v>10.68</v>
      </c>
      <c r="O401">
        <v>3.26</v>
      </c>
      <c r="P401">
        <v>15.34</v>
      </c>
      <c r="Q401" s="4">
        <v>0.23408000000000001</v>
      </c>
      <c r="R401" t="s">
        <v>814</v>
      </c>
    </row>
    <row r="402" spans="1:18">
      <c r="A402" t="s">
        <v>815</v>
      </c>
      <c r="B402" t="s">
        <v>622</v>
      </c>
      <c r="C402" t="s">
        <v>39</v>
      </c>
      <c r="D402" t="s">
        <v>40</v>
      </c>
      <c r="E402" t="s">
        <v>82</v>
      </c>
      <c r="F402" t="s">
        <v>83</v>
      </c>
      <c r="G402">
        <v>1</v>
      </c>
      <c r="H402">
        <v>69</v>
      </c>
      <c r="I402">
        <v>14.68</v>
      </c>
      <c r="J402">
        <v>6.7</v>
      </c>
      <c r="K402">
        <v>1</v>
      </c>
      <c r="L402">
        <v>2.0299999999999998</v>
      </c>
      <c r="M402">
        <v>1.1000000000000001</v>
      </c>
      <c r="N402">
        <v>10.83</v>
      </c>
      <c r="O402">
        <v>3.85</v>
      </c>
      <c r="P402">
        <v>18.11</v>
      </c>
      <c r="Q402" s="4">
        <v>0.26249</v>
      </c>
      <c r="R402" t="s">
        <v>816</v>
      </c>
    </row>
    <row r="403" spans="1:18">
      <c r="A403" t="s">
        <v>817</v>
      </c>
      <c r="B403" t="s">
        <v>622</v>
      </c>
      <c r="C403" t="s">
        <v>39</v>
      </c>
      <c r="D403" t="s">
        <v>40</v>
      </c>
      <c r="E403" t="s">
        <v>82</v>
      </c>
      <c r="F403" t="s">
        <v>83</v>
      </c>
      <c r="G403">
        <v>1</v>
      </c>
      <c r="H403">
        <v>69</v>
      </c>
      <c r="I403">
        <v>14.68</v>
      </c>
      <c r="J403">
        <v>6.7</v>
      </c>
      <c r="K403">
        <v>1</v>
      </c>
      <c r="L403">
        <v>2.0299999999999998</v>
      </c>
      <c r="M403">
        <v>1.1000000000000001</v>
      </c>
      <c r="N403">
        <v>10.83</v>
      </c>
      <c r="O403">
        <v>3.85</v>
      </c>
      <c r="P403">
        <v>18.11</v>
      </c>
      <c r="Q403" s="4">
        <v>0.26249</v>
      </c>
      <c r="R403" t="s">
        <v>818</v>
      </c>
    </row>
    <row r="404" spans="1:18">
      <c r="A404" t="s">
        <v>819</v>
      </c>
      <c r="B404" t="s">
        <v>622</v>
      </c>
      <c r="C404" t="s">
        <v>43</v>
      </c>
      <c r="D404" t="s">
        <v>44</v>
      </c>
      <c r="E404" t="s">
        <v>82</v>
      </c>
      <c r="F404" t="s">
        <v>86</v>
      </c>
      <c r="G404">
        <v>1</v>
      </c>
      <c r="H404">
        <v>120</v>
      </c>
      <c r="I404">
        <v>25.53</v>
      </c>
      <c r="J404">
        <v>13.4</v>
      </c>
      <c r="K404">
        <v>1</v>
      </c>
      <c r="L404">
        <v>3.36</v>
      </c>
      <c r="M404">
        <v>1.91</v>
      </c>
      <c r="N404">
        <v>19.670000000000002</v>
      </c>
      <c r="O404">
        <v>5.86</v>
      </c>
      <c r="P404">
        <v>27.53</v>
      </c>
      <c r="Q404" s="4">
        <v>0.22944999999999999</v>
      </c>
      <c r="R404" t="s">
        <v>820</v>
      </c>
    </row>
    <row r="405" spans="1:18">
      <c r="A405" t="s">
        <v>821</v>
      </c>
      <c r="B405" t="s">
        <v>622</v>
      </c>
      <c r="C405" t="s">
        <v>60</v>
      </c>
      <c r="D405" t="s">
        <v>61</v>
      </c>
      <c r="E405" t="s">
        <v>705</v>
      </c>
      <c r="F405" t="s">
        <v>354</v>
      </c>
      <c r="G405">
        <v>1</v>
      </c>
      <c r="H405">
        <v>48.76</v>
      </c>
      <c r="I405">
        <v>10.37</v>
      </c>
      <c r="J405">
        <v>6.1</v>
      </c>
      <c r="K405">
        <v>0.5</v>
      </c>
      <c r="L405">
        <v>1.5</v>
      </c>
      <c r="M405">
        <v>0.78</v>
      </c>
      <c r="N405">
        <v>8.8800000000000008</v>
      </c>
      <c r="O405">
        <v>1.5</v>
      </c>
      <c r="P405">
        <v>7.05</v>
      </c>
      <c r="Q405" s="4">
        <v>0.14449000000000001</v>
      </c>
      <c r="R405" t="s">
        <v>822</v>
      </c>
    </row>
    <row r="406" spans="1:18">
      <c r="A406" t="s">
        <v>823</v>
      </c>
      <c r="B406" t="s">
        <v>622</v>
      </c>
      <c r="C406" t="s">
        <v>52</v>
      </c>
      <c r="D406" t="s">
        <v>53</v>
      </c>
      <c r="E406" t="s">
        <v>133</v>
      </c>
      <c r="F406" t="s">
        <v>145</v>
      </c>
      <c r="G406">
        <v>1</v>
      </c>
      <c r="H406">
        <v>300</v>
      </c>
      <c r="I406">
        <v>63.83</v>
      </c>
      <c r="J406">
        <v>45.5</v>
      </c>
      <c r="K406">
        <v>2</v>
      </c>
      <c r="L406">
        <v>8.07</v>
      </c>
      <c r="M406">
        <v>4.78</v>
      </c>
      <c r="N406">
        <v>60.35</v>
      </c>
      <c r="O406">
        <v>3.48</v>
      </c>
      <c r="P406">
        <v>16.37</v>
      </c>
      <c r="Q406" s="4">
        <v>5.4550000000000001E-2</v>
      </c>
      <c r="R406" t="s">
        <v>824</v>
      </c>
    </row>
    <row r="407" spans="1:18">
      <c r="A407" t="s">
        <v>825</v>
      </c>
      <c r="B407" t="s">
        <v>622</v>
      </c>
      <c r="C407" t="s">
        <v>48</v>
      </c>
      <c r="D407" t="s">
        <v>49</v>
      </c>
      <c r="E407" t="s">
        <v>82</v>
      </c>
      <c r="F407" t="s">
        <v>102</v>
      </c>
      <c r="G407">
        <v>1</v>
      </c>
      <c r="H407">
        <v>17</v>
      </c>
      <c r="I407">
        <v>3.62</v>
      </c>
      <c r="J407">
        <v>3.35</v>
      </c>
      <c r="K407">
        <v>1</v>
      </c>
      <c r="L407">
        <v>0.67</v>
      </c>
      <c r="M407">
        <v>0.27</v>
      </c>
      <c r="N407">
        <v>5.29</v>
      </c>
      <c r="O407">
        <v>-1.67</v>
      </c>
      <c r="P407">
        <v>-7.86</v>
      </c>
      <c r="Q407" s="4">
        <v>-0.46221000000000001</v>
      </c>
      <c r="R407" t="s">
        <v>826</v>
      </c>
    </row>
    <row r="408" spans="1:18">
      <c r="A408" t="s">
        <v>827</v>
      </c>
      <c r="B408" t="s">
        <v>622</v>
      </c>
      <c r="C408" t="s">
        <v>48</v>
      </c>
      <c r="D408" t="s">
        <v>49</v>
      </c>
      <c r="E408" t="s">
        <v>82</v>
      </c>
      <c r="F408" t="s">
        <v>102</v>
      </c>
      <c r="G408">
        <v>1</v>
      </c>
      <c r="H408">
        <v>47</v>
      </c>
      <c r="I408">
        <v>10</v>
      </c>
      <c r="J408">
        <v>3.35</v>
      </c>
      <c r="K408">
        <v>1</v>
      </c>
      <c r="L408">
        <v>1.45</v>
      </c>
      <c r="M408">
        <v>0.75</v>
      </c>
      <c r="N408">
        <v>6.55</v>
      </c>
      <c r="O408">
        <v>3.45</v>
      </c>
      <c r="P408">
        <v>16.21</v>
      </c>
      <c r="Q408" s="4">
        <v>0.34486</v>
      </c>
      <c r="R408" t="s">
        <v>828</v>
      </c>
    </row>
    <row r="409" spans="1:18">
      <c r="A409" t="s">
        <v>829</v>
      </c>
      <c r="B409" t="s">
        <v>622</v>
      </c>
      <c r="C409" t="s">
        <v>50</v>
      </c>
      <c r="D409" t="s">
        <v>51</v>
      </c>
      <c r="E409" t="s">
        <v>82</v>
      </c>
      <c r="F409" t="s">
        <v>92</v>
      </c>
      <c r="G409">
        <v>1</v>
      </c>
      <c r="H409">
        <v>47</v>
      </c>
      <c r="I409">
        <v>10</v>
      </c>
      <c r="J409">
        <v>3.35</v>
      </c>
      <c r="K409">
        <v>1</v>
      </c>
      <c r="L409">
        <v>1.45</v>
      </c>
      <c r="M409">
        <v>0.75</v>
      </c>
      <c r="N409">
        <v>6.55</v>
      </c>
      <c r="O409">
        <v>3.45</v>
      </c>
      <c r="P409">
        <v>16.21</v>
      </c>
      <c r="Q409" s="4">
        <v>0.34486</v>
      </c>
      <c r="R409" t="s">
        <v>830</v>
      </c>
    </row>
    <row r="410" spans="1:18">
      <c r="A410" t="s">
        <v>831</v>
      </c>
      <c r="B410" t="s">
        <v>622</v>
      </c>
      <c r="C410" t="s">
        <v>39</v>
      </c>
      <c r="D410" t="s">
        <v>40</v>
      </c>
      <c r="E410" t="s">
        <v>82</v>
      </c>
      <c r="F410" t="s">
        <v>83</v>
      </c>
      <c r="G410">
        <v>1</v>
      </c>
      <c r="H410">
        <v>69</v>
      </c>
      <c r="I410">
        <v>14.68</v>
      </c>
      <c r="J410">
        <v>6.7</v>
      </c>
      <c r="K410">
        <v>1</v>
      </c>
      <c r="L410">
        <v>2.0299999999999998</v>
      </c>
      <c r="M410">
        <v>1.1000000000000001</v>
      </c>
      <c r="N410">
        <v>10.83</v>
      </c>
      <c r="O410">
        <v>3.85</v>
      </c>
      <c r="P410">
        <v>18.11</v>
      </c>
      <c r="Q410" s="4">
        <v>0.26249</v>
      </c>
      <c r="R410" t="s">
        <v>832</v>
      </c>
    </row>
    <row r="411" spans="1:18">
      <c r="A411" t="s">
        <v>833</v>
      </c>
      <c r="B411" t="s">
        <v>622</v>
      </c>
      <c r="C411" t="s">
        <v>39</v>
      </c>
      <c r="D411" t="s">
        <v>40</v>
      </c>
      <c r="E411" t="s">
        <v>82</v>
      </c>
      <c r="F411" t="s">
        <v>83</v>
      </c>
      <c r="G411">
        <v>1</v>
      </c>
      <c r="H411">
        <v>69</v>
      </c>
      <c r="I411">
        <v>14.68</v>
      </c>
      <c r="J411">
        <v>6.7</v>
      </c>
      <c r="K411">
        <v>1</v>
      </c>
      <c r="L411">
        <v>2.0299999999999998</v>
      </c>
      <c r="M411">
        <v>1.1000000000000001</v>
      </c>
      <c r="N411">
        <v>10.83</v>
      </c>
      <c r="O411">
        <v>3.85</v>
      </c>
      <c r="P411">
        <v>18.11</v>
      </c>
      <c r="Q411" s="4">
        <v>0.26249</v>
      </c>
      <c r="R411" t="s">
        <v>834</v>
      </c>
    </row>
    <row r="412" spans="1:18">
      <c r="A412" t="s">
        <v>835</v>
      </c>
      <c r="B412" t="s">
        <v>622</v>
      </c>
      <c r="C412" t="s">
        <v>47</v>
      </c>
      <c r="D412" t="s">
        <v>40</v>
      </c>
      <c r="E412" t="s">
        <v>82</v>
      </c>
      <c r="F412" t="s">
        <v>90</v>
      </c>
      <c r="G412">
        <v>1</v>
      </c>
      <c r="H412">
        <v>133</v>
      </c>
      <c r="I412">
        <v>28.3</v>
      </c>
      <c r="J412">
        <v>6.7</v>
      </c>
      <c r="K412">
        <v>1</v>
      </c>
      <c r="L412">
        <v>3.7</v>
      </c>
      <c r="M412">
        <v>2.12</v>
      </c>
      <c r="N412">
        <v>13.52</v>
      </c>
      <c r="O412">
        <v>14.78</v>
      </c>
      <c r="P412">
        <v>69.45</v>
      </c>
      <c r="Q412" s="4">
        <v>0.5222</v>
      </c>
      <c r="R412" t="s">
        <v>836</v>
      </c>
    </row>
    <row r="413" spans="1:18">
      <c r="A413" t="s">
        <v>835</v>
      </c>
      <c r="B413" t="s">
        <v>622</v>
      </c>
      <c r="C413" t="s">
        <v>39</v>
      </c>
      <c r="D413" t="s">
        <v>40</v>
      </c>
      <c r="E413" t="s">
        <v>82</v>
      </c>
      <c r="F413" t="s">
        <v>83</v>
      </c>
      <c r="G413">
        <v>1</v>
      </c>
      <c r="H413">
        <v>133</v>
      </c>
      <c r="I413">
        <v>28.3</v>
      </c>
      <c r="J413">
        <v>6.7</v>
      </c>
      <c r="K413">
        <v>1</v>
      </c>
      <c r="L413">
        <v>3.7</v>
      </c>
      <c r="M413">
        <v>2.12</v>
      </c>
      <c r="N413">
        <v>13.52</v>
      </c>
      <c r="O413">
        <v>14.78</v>
      </c>
      <c r="P413">
        <v>69.45</v>
      </c>
      <c r="Q413" s="4">
        <v>0.5222</v>
      </c>
      <c r="R413" t="s">
        <v>836</v>
      </c>
    </row>
    <row r="414" spans="1:18">
      <c r="A414" t="s">
        <v>837</v>
      </c>
      <c r="B414" t="s">
        <v>107</v>
      </c>
      <c r="C414" t="s">
        <v>54</v>
      </c>
      <c r="D414" t="s">
        <v>44</v>
      </c>
      <c r="E414" t="s">
        <v>82</v>
      </c>
      <c r="F414" t="s">
        <v>164</v>
      </c>
      <c r="G414">
        <v>1</v>
      </c>
      <c r="H414">
        <v>121</v>
      </c>
      <c r="I414">
        <v>25.74</v>
      </c>
      <c r="J414">
        <v>13.4</v>
      </c>
      <c r="K414">
        <v>1</v>
      </c>
      <c r="L414">
        <v>3.39</v>
      </c>
      <c r="M414">
        <v>1.93</v>
      </c>
      <c r="N414">
        <v>19.72</v>
      </c>
      <c r="O414">
        <v>6.03</v>
      </c>
      <c r="P414">
        <v>28.34</v>
      </c>
      <c r="Q414" s="4">
        <v>0.23418</v>
      </c>
      <c r="R414" t="s">
        <v>838</v>
      </c>
    </row>
    <row r="415" spans="1:18">
      <c r="A415" t="s">
        <v>839</v>
      </c>
      <c r="B415" t="s">
        <v>622</v>
      </c>
      <c r="C415" t="s">
        <v>39</v>
      </c>
      <c r="D415" t="s">
        <v>40</v>
      </c>
      <c r="E415" t="s">
        <v>82</v>
      </c>
      <c r="F415" t="s">
        <v>83</v>
      </c>
      <c r="G415">
        <v>1</v>
      </c>
      <c r="H415">
        <v>69</v>
      </c>
      <c r="I415">
        <v>14.68</v>
      </c>
      <c r="J415">
        <v>6.7</v>
      </c>
      <c r="K415">
        <v>1</v>
      </c>
      <c r="L415">
        <v>2.0299999999999998</v>
      </c>
      <c r="M415">
        <v>1.1000000000000001</v>
      </c>
      <c r="N415">
        <v>10.83</v>
      </c>
      <c r="O415">
        <v>3.85</v>
      </c>
      <c r="P415">
        <v>18.11</v>
      </c>
      <c r="Q415" s="4">
        <v>0.26249</v>
      </c>
      <c r="R415" t="s">
        <v>840</v>
      </c>
    </row>
    <row r="416" spans="1:18">
      <c r="A416" t="s">
        <v>841</v>
      </c>
      <c r="B416" t="s">
        <v>107</v>
      </c>
      <c r="C416" t="s">
        <v>39</v>
      </c>
      <c r="D416" t="s">
        <v>40</v>
      </c>
      <c r="E416" t="s">
        <v>82</v>
      </c>
      <c r="F416" t="s">
        <v>83</v>
      </c>
      <c r="G416">
        <v>1</v>
      </c>
      <c r="H416">
        <v>69</v>
      </c>
      <c r="I416">
        <v>14.68</v>
      </c>
      <c r="J416">
        <v>6.7</v>
      </c>
      <c r="K416">
        <v>1</v>
      </c>
      <c r="L416">
        <v>2.0299999999999998</v>
      </c>
      <c r="M416">
        <v>1.1000000000000001</v>
      </c>
      <c r="N416">
        <v>10.83</v>
      </c>
      <c r="O416">
        <v>3.85</v>
      </c>
      <c r="P416">
        <v>18.11</v>
      </c>
      <c r="Q416" s="4">
        <v>0.26249</v>
      </c>
      <c r="R416" t="s">
        <v>842</v>
      </c>
    </row>
    <row r="417" spans="1:18">
      <c r="A417" t="s">
        <v>843</v>
      </c>
      <c r="B417" t="s">
        <v>622</v>
      </c>
      <c r="C417" t="s">
        <v>43</v>
      </c>
      <c r="D417" t="s">
        <v>44</v>
      </c>
      <c r="E417" t="s">
        <v>82</v>
      </c>
      <c r="F417" t="s">
        <v>86</v>
      </c>
      <c r="G417">
        <v>1</v>
      </c>
      <c r="H417">
        <v>202.4</v>
      </c>
      <c r="I417">
        <v>43.06</v>
      </c>
      <c r="J417">
        <v>13.4</v>
      </c>
      <c r="K417">
        <v>1</v>
      </c>
      <c r="L417">
        <v>5.52</v>
      </c>
      <c r="M417">
        <v>3.23</v>
      </c>
      <c r="N417">
        <v>23.14</v>
      </c>
      <c r="O417">
        <v>19.920000000000002</v>
      </c>
      <c r="P417">
        <v>93.64</v>
      </c>
      <c r="Q417" s="4">
        <v>0.46261999999999998</v>
      </c>
      <c r="R417" t="s">
        <v>844</v>
      </c>
    </row>
    <row r="418" spans="1:18">
      <c r="A418" t="s">
        <v>843</v>
      </c>
      <c r="B418" t="s">
        <v>622</v>
      </c>
      <c r="C418" t="s">
        <v>66</v>
      </c>
      <c r="D418" t="s">
        <v>67</v>
      </c>
      <c r="E418" t="s">
        <v>845</v>
      </c>
      <c r="F418" t="s">
        <v>846</v>
      </c>
      <c r="G418">
        <v>1</v>
      </c>
      <c r="H418">
        <v>202.4</v>
      </c>
      <c r="I418">
        <v>43.06</v>
      </c>
      <c r="J418">
        <v>12</v>
      </c>
      <c r="K418">
        <v>1</v>
      </c>
      <c r="L418">
        <v>5.52</v>
      </c>
      <c r="M418">
        <v>3.23</v>
      </c>
      <c r="N418">
        <v>21.74</v>
      </c>
      <c r="O418">
        <v>21.32</v>
      </c>
      <c r="P418">
        <v>100.22</v>
      </c>
      <c r="Q418" s="4">
        <v>0.49513000000000001</v>
      </c>
      <c r="R418" t="s">
        <v>844</v>
      </c>
    </row>
    <row r="419" spans="1:18">
      <c r="A419" t="s">
        <v>847</v>
      </c>
      <c r="B419" t="s">
        <v>622</v>
      </c>
      <c r="C419" t="s">
        <v>39</v>
      </c>
      <c r="D419" t="s">
        <v>40</v>
      </c>
      <c r="E419" t="s">
        <v>82</v>
      </c>
      <c r="F419" t="s">
        <v>83</v>
      </c>
      <c r="G419">
        <v>1</v>
      </c>
      <c r="H419">
        <v>55.13</v>
      </c>
      <c r="I419">
        <v>11.73</v>
      </c>
      <c r="J419">
        <v>6.7</v>
      </c>
      <c r="K419">
        <v>1</v>
      </c>
      <c r="L419">
        <v>1.66</v>
      </c>
      <c r="M419">
        <v>0.88</v>
      </c>
      <c r="N419">
        <v>10.24</v>
      </c>
      <c r="O419">
        <v>1.49</v>
      </c>
      <c r="P419">
        <v>6.99</v>
      </c>
      <c r="Q419" s="4">
        <v>0.12670999999999999</v>
      </c>
      <c r="R419" t="s">
        <v>848</v>
      </c>
    </row>
    <row r="420" spans="1:18">
      <c r="A420" t="s">
        <v>849</v>
      </c>
      <c r="B420" t="s">
        <v>622</v>
      </c>
      <c r="C420" t="s">
        <v>43</v>
      </c>
      <c r="D420" t="s">
        <v>44</v>
      </c>
      <c r="E420" t="s">
        <v>82</v>
      </c>
      <c r="F420" t="s">
        <v>86</v>
      </c>
      <c r="G420">
        <v>1</v>
      </c>
      <c r="H420">
        <v>120</v>
      </c>
      <c r="I420">
        <v>25.53</v>
      </c>
      <c r="J420">
        <v>13.4</v>
      </c>
      <c r="K420">
        <v>1</v>
      </c>
      <c r="L420">
        <v>3.36</v>
      </c>
      <c r="M420">
        <v>1.91</v>
      </c>
      <c r="N420">
        <v>19.670000000000002</v>
      </c>
      <c r="O420">
        <v>5.86</v>
      </c>
      <c r="P420">
        <v>27.53</v>
      </c>
      <c r="Q420" s="4">
        <v>0.22944999999999999</v>
      </c>
      <c r="R420" t="s">
        <v>850</v>
      </c>
    </row>
    <row r="421" spans="1:18">
      <c r="A421" t="s">
        <v>851</v>
      </c>
      <c r="B421" t="s">
        <v>622</v>
      </c>
      <c r="C421" t="s">
        <v>48</v>
      </c>
      <c r="D421" t="s">
        <v>49</v>
      </c>
      <c r="E421" t="s">
        <v>82</v>
      </c>
      <c r="F421" t="s">
        <v>102</v>
      </c>
      <c r="G421">
        <v>1</v>
      </c>
      <c r="H421">
        <v>47</v>
      </c>
      <c r="I421">
        <v>10</v>
      </c>
      <c r="J421">
        <v>3.35</v>
      </c>
      <c r="K421">
        <v>1</v>
      </c>
      <c r="L421">
        <v>1.45</v>
      </c>
      <c r="M421">
        <v>0.75</v>
      </c>
      <c r="N421">
        <v>6.55</v>
      </c>
      <c r="O421">
        <v>3.45</v>
      </c>
      <c r="P421">
        <v>16.21</v>
      </c>
      <c r="Q421" s="4">
        <v>0.34486</v>
      </c>
      <c r="R421" t="s">
        <v>852</v>
      </c>
    </row>
    <row r="422" spans="1:18">
      <c r="A422" t="s">
        <v>853</v>
      </c>
      <c r="B422" t="s">
        <v>622</v>
      </c>
      <c r="C422" t="s">
        <v>47</v>
      </c>
      <c r="D422" t="s">
        <v>40</v>
      </c>
      <c r="E422" t="s">
        <v>82</v>
      </c>
      <c r="F422" t="s">
        <v>90</v>
      </c>
      <c r="G422">
        <v>1</v>
      </c>
      <c r="H422">
        <v>236</v>
      </c>
      <c r="I422">
        <v>50.21</v>
      </c>
      <c r="J422">
        <v>6.7</v>
      </c>
      <c r="K422">
        <v>1</v>
      </c>
      <c r="L422">
        <v>6.39</v>
      </c>
      <c r="M422">
        <v>3.76</v>
      </c>
      <c r="N422">
        <v>17.86</v>
      </c>
      <c r="O422">
        <v>32.36</v>
      </c>
      <c r="P422">
        <v>152.08000000000001</v>
      </c>
      <c r="Q422" s="4">
        <v>0.64439999999999997</v>
      </c>
      <c r="R422" t="s">
        <v>854</v>
      </c>
    </row>
    <row r="423" spans="1:18">
      <c r="A423" t="s">
        <v>853</v>
      </c>
      <c r="B423" t="s">
        <v>622</v>
      </c>
      <c r="C423" t="s">
        <v>45</v>
      </c>
      <c r="D423" t="s">
        <v>46</v>
      </c>
      <c r="E423" t="s">
        <v>82</v>
      </c>
      <c r="F423" t="s">
        <v>97</v>
      </c>
      <c r="G423">
        <v>1</v>
      </c>
      <c r="H423">
        <v>236</v>
      </c>
      <c r="I423">
        <v>50.21</v>
      </c>
      <c r="J423">
        <v>20.100000000000001</v>
      </c>
      <c r="K423">
        <v>1</v>
      </c>
      <c r="L423">
        <v>6.39</v>
      </c>
      <c r="M423">
        <v>3.76</v>
      </c>
      <c r="N423">
        <v>31.26</v>
      </c>
      <c r="O423">
        <v>18.96</v>
      </c>
      <c r="P423">
        <v>89.1</v>
      </c>
      <c r="Q423" s="4">
        <v>0.37753999999999999</v>
      </c>
      <c r="R423" t="s">
        <v>854</v>
      </c>
    </row>
    <row r="424" spans="1:18">
      <c r="A424" t="s">
        <v>855</v>
      </c>
      <c r="B424" t="s">
        <v>622</v>
      </c>
      <c r="C424" t="s">
        <v>43</v>
      </c>
      <c r="D424" t="s">
        <v>44</v>
      </c>
      <c r="E424" t="s">
        <v>82</v>
      </c>
      <c r="F424" t="s">
        <v>86</v>
      </c>
      <c r="G424">
        <v>1</v>
      </c>
      <c r="H424">
        <v>223.25</v>
      </c>
      <c r="I424">
        <v>47.5</v>
      </c>
      <c r="J424">
        <v>13.4</v>
      </c>
      <c r="K424">
        <v>1</v>
      </c>
      <c r="L424">
        <v>6.06</v>
      </c>
      <c r="M424">
        <v>3.56</v>
      </c>
      <c r="N424">
        <v>24.02</v>
      </c>
      <c r="O424">
        <v>23.48</v>
      </c>
      <c r="P424">
        <v>110.36</v>
      </c>
      <c r="Q424" s="4">
        <v>0.49434</v>
      </c>
      <c r="R424" t="s">
        <v>856</v>
      </c>
    </row>
    <row r="425" spans="1:18">
      <c r="A425" t="s">
        <v>855</v>
      </c>
      <c r="B425" t="s">
        <v>622</v>
      </c>
      <c r="C425" t="s">
        <v>54</v>
      </c>
      <c r="D425" t="s">
        <v>44</v>
      </c>
      <c r="E425" t="s">
        <v>82</v>
      </c>
      <c r="F425" t="s">
        <v>164</v>
      </c>
      <c r="G425">
        <v>1</v>
      </c>
      <c r="H425">
        <v>223.25</v>
      </c>
      <c r="I425">
        <v>47.5</v>
      </c>
      <c r="J425">
        <v>13.4</v>
      </c>
      <c r="K425">
        <v>1</v>
      </c>
      <c r="L425">
        <v>6.06</v>
      </c>
      <c r="M425">
        <v>3.56</v>
      </c>
      <c r="N425">
        <v>24.02</v>
      </c>
      <c r="O425">
        <v>23.48</v>
      </c>
      <c r="P425">
        <v>110.36</v>
      </c>
      <c r="Q425" s="4">
        <v>0.49434</v>
      </c>
      <c r="R425" t="s">
        <v>856</v>
      </c>
    </row>
    <row r="426" spans="1:18">
      <c r="A426" t="s">
        <v>857</v>
      </c>
      <c r="B426" t="s">
        <v>622</v>
      </c>
      <c r="C426" t="s">
        <v>45</v>
      </c>
      <c r="D426" t="s">
        <v>46</v>
      </c>
      <c r="E426" t="s">
        <v>82</v>
      </c>
      <c r="F426" t="s">
        <v>97</v>
      </c>
      <c r="G426">
        <v>1</v>
      </c>
      <c r="H426">
        <v>167</v>
      </c>
      <c r="I426">
        <v>35.53</v>
      </c>
      <c r="J426">
        <v>20.100000000000001</v>
      </c>
      <c r="K426">
        <v>1</v>
      </c>
      <c r="L426">
        <v>4.59</v>
      </c>
      <c r="M426">
        <v>2.66</v>
      </c>
      <c r="N426">
        <v>28.35</v>
      </c>
      <c r="O426">
        <v>7.18</v>
      </c>
      <c r="P426">
        <v>33.75</v>
      </c>
      <c r="Q426" s="4">
        <v>0.20208000000000001</v>
      </c>
      <c r="R426" t="s">
        <v>858</v>
      </c>
    </row>
    <row r="427" spans="1:18">
      <c r="A427" t="s">
        <v>859</v>
      </c>
      <c r="B427" t="s">
        <v>622</v>
      </c>
      <c r="C427" t="s">
        <v>43</v>
      </c>
      <c r="D427" t="s">
        <v>44</v>
      </c>
      <c r="E427" t="s">
        <v>82</v>
      </c>
      <c r="F427" t="s">
        <v>86</v>
      </c>
      <c r="G427">
        <v>2</v>
      </c>
      <c r="H427">
        <v>232.75</v>
      </c>
      <c r="I427">
        <v>49.52</v>
      </c>
      <c r="J427">
        <v>26.8</v>
      </c>
      <c r="K427">
        <v>1</v>
      </c>
      <c r="L427">
        <v>6.31</v>
      </c>
      <c r="M427">
        <v>3.71</v>
      </c>
      <c r="N427">
        <v>37.82</v>
      </c>
      <c r="O427">
        <v>11.7</v>
      </c>
      <c r="P427">
        <v>55</v>
      </c>
      <c r="Q427" s="4">
        <v>0.23630999999999999</v>
      </c>
      <c r="R427" t="s">
        <v>860</v>
      </c>
    </row>
    <row r="428" spans="1:18">
      <c r="A428" t="s">
        <v>861</v>
      </c>
      <c r="B428" t="s">
        <v>622</v>
      </c>
      <c r="C428" t="s">
        <v>43</v>
      </c>
      <c r="D428" t="s">
        <v>44</v>
      </c>
      <c r="E428" t="s">
        <v>82</v>
      </c>
      <c r="F428" t="s">
        <v>86</v>
      </c>
      <c r="G428">
        <v>1</v>
      </c>
      <c r="H428">
        <v>222.85</v>
      </c>
      <c r="I428">
        <v>47.41</v>
      </c>
      <c r="J428">
        <v>13.4</v>
      </c>
      <c r="K428">
        <v>1</v>
      </c>
      <c r="L428">
        <v>6.05</v>
      </c>
      <c r="M428">
        <v>3.55</v>
      </c>
      <c r="N428">
        <v>24</v>
      </c>
      <c r="O428">
        <v>23.41</v>
      </c>
      <c r="P428">
        <v>110.04</v>
      </c>
      <c r="Q428" s="4">
        <v>0.49379000000000001</v>
      </c>
      <c r="R428" t="s">
        <v>862</v>
      </c>
    </row>
    <row r="429" spans="1:18">
      <c r="A429" t="s">
        <v>861</v>
      </c>
      <c r="B429" t="s">
        <v>622</v>
      </c>
      <c r="C429" t="s">
        <v>54</v>
      </c>
      <c r="D429" t="s">
        <v>44</v>
      </c>
      <c r="E429" t="s">
        <v>82</v>
      </c>
      <c r="F429" t="s">
        <v>164</v>
      </c>
      <c r="G429">
        <v>1</v>
      </c>
      <c r="H429">
        <v>222.85</v>
      </c>
      <c r="I429">
        <v>47.41</v>
      </c>
      <c r="J429">
        <v>13.4</v>
      </c>
      <c r="K429">
        <v>1</v>
      </c>
      <c r="L429">
        <v>6.05</v>
      </c>
      <c r="M429">
        <v>3.55</v>
      </c>
      <c r="N429">
        <v>24</v>
      </c>
      <c r="O429">
        <v>23.41</v>
      </c>
      <c r="P429">
        <v>110.04</v>
      </c>
      <c r="Q429" s="4">
        <v>0.49379000000000001</v>
      </c>
      <c r="R429" t="s">
        <v>862</v>
      </c>
    </row>
    <row r="430" spans="1:18">
      <c r="A430" t="s">
        <v>863</v>
      </c>
      <c r="B430" t="s">
        <v>622</v>
      </c>
      <c r="C430" t="s">
        <v>50</v>
      </c>
      <c r="D430" t="s">
        <v>51</v>
      </c>
      <c r="E430" t="s">
        <v>82</v>
      </c>
      <c r="F430" t="s">
        <v>92</v>
      </c>
      <c r="G430">
        <v>1</v>
      </c>
      <c r="H430">
        <v>94</v>
      </c>
      <c r="I430">
        <v>20</v>
      </c>
      <c r="J430">
        <v>3.35</v>
      </c>
      <c r="K430">
        <v>1</v>
      </c>
      <c r="L430">
        <v>2.68</v>
      </c>
      <c r="M430">
        <v>1.5</v>
      </c>
      <c r="N430">
        <v>8.5299999999999994</v>
      </c>
      <c r="O430">
        <v>11.47</v>
      </c>
      <c r="P430">
        <v>53.91</v>
      </c>
      <c r="Q430" s="4">
        <v>0.57352999999999998</v>
      </c>
      <c r="R430" t="s">
        <v>864</v>
      </c>
    </row>
    <row r="431" spans="1:18">
      <c r="A431" t="s">
        <v>863</v>
      </c>
      <c r="B431" t="s">
        <v>622</v>
      </c>
      <c r="C431" t="s">
        <v>48</v>
      </c>
      <c r="D431" t="s">
        <v>49</v>
      </c>
      <c r="E431" t="s">
        <v>82</v>
      </c>
      <c r="F431" t="s">
        <v>102</v>
      </c>
      <c r="G431">
        <v>1</v>
      </c>
      <c r="H431">
        <v>94</v>
      </c>
      <c r="I431">
        <v>20</v>
      </c>
      <c r="J431">
        <v>3.35</v>
      </c>
      <c r="K431">
        <v>1</v>
      </c>
      <c r="L431">
        <v>2.68</v>
      </c>
      <c r="M431">
        <v>1.5</v>
      </c>
      <c r="N431">
        <v>8.5299999999999994</v>
      </c>
      <c r="O431">
        <v>11.47</v>
      </c>
      <c r="P431">
        <v>53.91</v>
      </c>
      <c r="Q431" s="4">
        <v>0.57352999999999998</v>
      </c>
      <c r="R431" t="s">
        <v>864</v>
      </c>
    </row>
    <row r="432" spans="1:18">
      <c r="A432" t="s">
        <v>865</v>
      </c>
      <c r="B432" t="s">
        <v>622</v>
      </c>
      <c r="C432" t="s">
        <v>39</v>
      </c>
      <c r="D432" t="s">
        <v>40</v>
      </c>
      <c r="E432" t="s">
        <v>82</v>
      </c>
      <c r="F432" t="s">
        <v>83</v>
      </c>
      <c r="G432">
        <v>1</v>
      </c>
      <c r="H432">
        <v>69</v>
      </c>
      <c r="I432">
        <v>14.68</v>
      </c>
      <c r="J432">
        <v>6.7</v>
      </c>
      <c r="K432">
        <v>1</v>
      </c>
      <c r="L432">
        <v>2.0299999999999998</v>
      </c>
      <c r="M432">
        <v>1.1000000000000001</v>
      </c>
      <c r="N432">
        <v>10.83</v>
      </c>
      <c r="O432">
        <v>3.85</v>
      </c>
      <c r="P432">
        <v>18.11</v>
      </c>
      <c r="Q432" s="4">
        <v>0.26249</v>
      </c>
      <c r="R432" t="s">
        <v>866</v>
      </c>
    </row>
    <row r="433" spans="1:18">
      <c r="A433" t="s">
        <v>867</v>
      </c>
      <c r="B433" t="s">
        <v>622</v>
      </c>
      <c r="C433" t="s">
        <v>39</v>
      </c>
      <c r="D433" t="s">
        <v>40</v>
      </c>
      <c r="E433" t="s">
        <v>82</v>
      </c>
      <c r="F433" t="s">
        <v>83</v>
      </c>
      <c r="G433">
        <v>1</v>
      </c>
      <c r="H433">
        <v>69</v>
      </c>
      <c r="I433">
        <v>14.68</v>
      </c>
      <c r="J433">
        <v>6.7</v>
      </c>
      <c r="K433">
        <v>1</v>
      </c>
      <c r="L433">
        <v>2.0299999999999998</v>
      </c>
      <c r="M433">
        <v>1.1000000000000001</v>
      </c>
      <c r="N433">
        <v>10.83</v>
      </c>
      <c r="O433">
        <v>3.85</v>
      </c>
      <c r="P433">
        <v>18.11</v>
      </c>
      <c r="Q433" s="4">
        <v>0.26249</v>
      </c>
      <c r="R433" t="s">
        <v>868</v>
      </c>
    </row>
    <row r="434" spans="1:18">
      <c r="A434" t="s">
        <v>869</v>
      </c>
      <c r="B434" t="s">
        <v>107</v>
      </c>
      <c r="C434" t="s">
        <v>50</v>
      </c>
      <c r="D434" t="s">
        <v>51</v>
      </c>
      <c r="E434" t="s">
        <v>82</v>
      </c>
      <c r="F434" t="s">
        <v>92</v>
      </c>
      <c r="G434">
        <v>1</v>
      </c>
      <c r="H434">
        <v>47</v>
      </c>
      <c r="I434">
        <v>10</v>
      </c>
      <c r="J434">
        <v>3.35</v>
      </c>
      <c r="K434">
        <v>1</v>
      </c>
      <c r="L434">
        <v>1.45</v>
      </c>
      <c r="M434">
        <v>0.75</v>
      </c>
      <c r="N434">
        <v>6.55</v>
      </c>
      <c r="O434">
        <v>3.45</v>
      </c>
      <c r="P434">
        <v>16.21</v>
      </c>
      <c r="Q434" s="4">
        <v>0.34486</v>
      </c>
      <c r="R434" t="s">
        <v>870</v>
      </c>
    </row>
    <row r="435" spans="1:18">
      <c r="A435" t="s">
        <v>871</v>
      </c>
      <c r="B435" t="s">
        <v>622</v>
      </c>
      <c r="C435" t="s">
        <v>39</v>
      </c>
      <c r="D435" t="s">
        <v>40</v>
      </c>
      <c r="E435" t="s">
        <v>82</v>
      </c>
      <c r="F435" t="s">
        <v>83</v>
      </c>
      <c r="G435">
        <v>1</v>
      </c>
      <c r="H435">
        <v>69</v>
      </c>
      <c r="I435">
        <v>14.68</v>
      </c>
      <c r="J435">
        <v>6.7</v>
      </c>
      <c r="K435">
        <v>1</v>
      </c>
      <c r="L435">
        <v>2.0299999999999998</v>
      </c>
      <c r="M435">
        <v>1.1000000000000001</v>
      </c>
      <c r="N435">
        <v>10.83</v>
      </c>
      <c r="O435">
        <v>3.85</v>
      </c>
      <c r="P435">
        <v>18.11</v>
      </c>
      <c r="Q435" s="4">
        <v>0.26249</v>
      </c>
      <c r="R435" t="s">
        <v>872</v>
      </c>
    </row>
    <row r="436" spans="1:18">
      <c r="A436" t="s">
        <v>873</v>
      </c>
      <c r="B436" t="s">
        <v>622</v>
      </c>
      <c r="C436" t="s">
        <v>43</v>
      </c>
      <c r="D436" t="s">
        <v>44</v>
      </c>
      <c r="E436" t="s">
        <v>82</v>
      </c>
      <c r="F436" t="s">
        <v>86</v>
      </c>
      <c r="G436">
        <v>1</v>
      </c>
      <c r="H436">
        <v>175</v>
      </c>
      <c r="I436">
        <v>37.229999999999997</v>
      </c>
      <c r="J436">
        <v>13.4</v>
      </c>
      <c r="K436">
        <v>1</v>
      </c>
      <c r="L436">
        <v>4.8</v>
      </c>
      <c r="M436">
        <v>2.79</v>
      </c>
      <c r="N436">
        <v>21.99</v>
      </c>
      <c r="O436">
        <v>15.25</v>
      </c>
      <c r="P436">
        <v>71.650000000000006</v>
      </c>
      <c r="Q436" s="4">
        <v>0.40945999999999999</v>
      </c>
      <c r="R436" t="s">
        <v>874</v>
      </c>
    </row>
    <row r="437" spans="1:18">
      <c r="A437" t="s">
        <v>875</v>
      </c>
      <c r="B437" t="s">
        <v>107</v>
      </c>
      <c r="C437" t="s">
        <v>52</v>
      </c>
      <c r="D437" t="s">
        <v>53</v>
      </c>
      <c r="E437" t="s">
        <v>133</v>
      </c>
      <c r="F437" t="s">
        <v>145</v>
      </c>
      <c r="G437">
        <v>1</v>
      </c>
      <c r="H437">
        <v>300</v>
      </c>
      <c r="I437">
        <v>63.83</v>
      </c>
      <c r="J437">
        <v>45.5</v>
      </c>
      <c r="K437">
        <v>2</v>
      </c>
      <c r="L437">
        <v>8.07</v>
      </c>
      <c r="M437">
        <v>4.78</v>
      </c>
      <c r="N437">
        <v>60.35</v>
      </c>
      <c r="O437">
        <v>3.48</v>
      </c>
      <c r="P437">
        <v>16.37</v>
      </c>
      <c r="Q437" s="4">
        <v>5.4550000000000001E-2</v>
      </c>
      <c r="R437" t="s">
        <v>876</v>
      </c>
    </row>
    <row r="438" spans="1:18">
      <c r="A438" t="s">
        <v>877</v>
      </c>
      <c r="B438" t="s">
        <v>622</v>
      </c>
      <c r="C438" t="s">
        <v>39</v>
      </c>
      <c r="D438" t="s">
        <v>40</v>
      </c>
      <c r="E438" t="s">
        <v>82</v>
      </c>
      <c r="F438" t="s">
        <v>83</v>
      </c>
      <c r="G438">
        <v>1</v>
      </c>
      <c r="H438">
        <v>121</v>
      </c>
      <c r="I438">
        <v>25.74</v>
      </c>
      <c r="J438">
        <v>6.7</v>
      </c>
      <c r="K438">
        <v>1</v>
      </c>
      <c r="L438">
        <v>3.39</v>
      </c>
      <c r="M438">
        <v>1.93</v>
      </c>
      <c r="N438">
        <v>13.02</v>
      </c>
      <c r="O438">
        <v>12.73</v>
      </c>
      <c r="P438">
        <v>59.83</v>
      </c>
      <c r="Q438" s="4">
        <v>0.49442999999999998</v>
      </c>
      <c r="R438" t="s">
        <v>878</v>
      </c>
    </row>
    <row r="439" spans="1:18">
      <c r="A439" t="s">
        <v>877</v>
      </c>
      <c r="B439" t="s">
        <v>622</v>
      </c>
      <c r="C439" t="s">
        <v>50</v>
      </c>
      <c r="D439" t="s">
        <v>51</v>
      </c>
      <c r="E439" t="s">
        <v>82</v>
      </c>
      <c r="F439" t="s">
        <v>92</v>
      </c>
      <c r="G439">
        <v>1</v>
      </c>
      <c r="H439">
        <v>121</v>
      </c>
      <c r="I439">
        <v>25.74</v>
      </c>
      <c r="J439">
        <v>3.35</v>
      </c>
      <c r="K439">
        <v>1</v>
      </c>
      <c r="L439">
        <v>3.39</v>
      </c>
      <c r="M439">
        <v>1.93</v>
      </c>
      <c r="N439">
        <v>9.67</v>
      </c>
      <c r="O439">
        <v>16.079999999999998</v>
      </c>
      <c r="P439">
        <v>75.569999999999993</v>
      </c>
      <c r="Q439" s="4">
        <v>0.62456</v>
      </c>
      <c r="R439" t="s">
        <v>878</v>
      </c>
    </row>
    <row r="440" spans="1:18">
      <c r="A440" t="s">
        <v>879</v>
      </c>
      <c r="B440" t="s">
        <v>622</v>
      </c>
      <c r="C440" t="s">
        <v>50</v>
      </c>
      <c r="D440" t="s">
        <v>51</v>
      </c>
      <c r="E440" t="s">
        <v>82</v>
      </c>
      <c r="F440" t="s">
        <v>92</v>
      </c>
      <c r="G440">
        <v>1</v>
      </c>
      <c r="H440">
        <v>48</v>
      </c>
      <c r="I440">
        <v>10.210000000000001</v>
      </c>
      <c r="J440">
        <v>3.35</v>
      </c>
      <c r="K440">
        <v>1</v>
      </c>
      <c r="L440">
        <v>1.48</v>
      </c>
      <c r="M440">
        <v>0.76</v>
      </c>
      <c r="N440">
        <v>6.59</v>
      </c>
      <c r="O440">
        <v>3.62</v>
      </c>
      <c r="P440">
        <v>17.010000000000002</v>
      </c>
      <c r="Q440" s="4">
        <v>0.35438999999999998</v>
      </c>
      <c r="R440" t="s">
        <v>880</v>
      </c>
    </row>
    <row r="441" spans="1:18">
      <c r="A441" t="s">
        <v>881</v>
      </c>
      <c r="B441" t="s">
        <v>622</v>
      </c>
      <c r="C441" t="s">
        <v>48</v>
      </c>
      <c r="D441" t="s">
        <v>49</v>
      </c>
      <c r="E441" t="s">
        <v>82</v>
      </c>
      <c r="F441" t="s">
        <v>102</v>
      </c>
      <c r="G441">
        <v>1</v>
      </c>
      <c r="H441">
        <v>47</v>
      </c>
      <c r="I441">
        <v>10</v>
      </c>
      <c r="J441">
        <v>3.35</v>
      </c>
      <c r="K441">
        <v>1</v>
      </c>
      <c r="L441">
        <v>1.45</v>
      </c>
      <c r="M441">
        <v>0.75</v>
      </c>
      <c r="N441">
        <v>6.55</v>
      </c>
      <c r="O441">
        <v>3.45</v>
      </c>
      <c r="P441">
        <v>16.21</v>
      </c>
      <c r="Q441" s="4">
        <v>0.34486</v>
      </c>
      <c r="R441" t="s">
        <v>882</v>
      </c>
    </row>
    <row r="442" spans="1:18">
      <c r="A442" t="s">
        <v>883</v>
      </c>
      <c r="B442" t="s">
        <v>622</v>
      </c>
      <c r="C442" t="s">
        <v>47</v>
      </c>
      <c r="D442" t="s">
        <v>40</v>
      </c>
      <c r="E442" t="s">
        <v>82</v>
      </c>
      <c r="F442" t="s">
        <v>90</v>
      </c>
      <c r="G442">
        <v>1</v>
      </c>
      <c r="H442">
        <v>64.86</v>
      </c>
      <c r="I442">
        <v>13.8</v>
      </c>
      <c r="J442">
        <v>6.7</v>
      </c>
      <c r="K442">
        <v>1</v>
      </c>
      <c r="L442">
        <v>1.92</v>
      </c>
      <c r="M442">
        <v>1.03</v>
      </c>
      <c r="N442">
        <v>10.65</v>
      </c>
      <c r="O442">
        <v>3.15</v>
      </c>
      <c r="P442">
        <v>14.79</v>
      </c>
      <c r="Q442" s="4">
        <v>0.22803999999999999</v>
      </c>
      <c r="R442" t="s">
        <v>884</v>
      </c>
    </row>
    <row r="443" spans="1:18">
      <c r="A443" t="s">
        <v>885</v>
      </c>
      <c r="B443" t="s">
        <v>622</v>
      </c>
      <c r="C443" t="s">
        <v>45</v>
      </c>
      <c r="D443" t="s">
        <v>46</v>
      </c>
      <c r="E443" t="s">
        <v>82</v>
      </c>
      <c r="F443" t="s">
        <v>97</v>
      </c>
      <c r="G443">
        <v>1</v>
      </c>
      <c r="H443">
        <v>167</v>
      </c>
      <c r="I443">
        <v>35.53</v>
      </c>
      <c r="J443">
        <v>20.100000000000001</v>
      </c>
      <c r="K443">
        <v>1</v>
      </c>
      <c r="L443">
        <v>4.59</v>
      </c>
      <c r="M443">
        <v>2.66</v>
      </c>
      <c r="N443">
        <v>28.35</v>
      </c>
      <c r="O443">
        <v>7.18</v>
      </c>
      <c r="P443">
        <v>33.75</v>
      </c>
      <c r="Q443" s="4">
        <v>0.20208000000000001</v>
      </c>
      <c r="R443" t="s">
        <v>886</v>
      </c>
    </row>
    <row r="444" spans="1:18">
      <c r="A444" t="s">
        <v>887</v>
      </c>
      <c r="B444" t="s">
        <v>622</v>
      </c>
      <c r="C444" t="s">
        <v>48</v>
      </c>
      <c r="D444" t="s">
        <v>49</v>
      </c>
      <c r="E444" t="s">
        <v>82</v>
      </c>
      <c r="F444" t="s">
        <v>102</v>
      </c>
      <c r="G444">
        <v>1</v>
      </c>
      <c r="H444">
        <v>135.41999999999999</v>
      </c>
      <c r="I444">
        <v>28.81</v>
      </c>
      <c r="J444">
        <v>3.35</v>
      </c>
      <c r="K444">
        <v>1</v>
      </c>
      <c r="L444">
        <v>3.76</v>
      </c>
      <c r="M444">
        <v>2.16</v>
      </c>
      <c r="N444">
        <v>10.27</v>
      </c>
      <c r="O444">
        <v>18.54</v>
      </c>
      <c r="P444">
        <v>87.14</v>
      </c>
      <c r="Q444" s="4">
        <v>0.64346999999999999</v>
      </c>
      <c r="R444" t="s">
        <v>888</v>
      </c>
    </row>
    <row r="445" spans="1:18">
      <c r="A445" t="s">
        <v>887</v>
      </c>
      <c r="B445" t="s">
        <v>622</v>
      </c>
      <c r="C445" t="s">
        <v>50</v>
      </c>
      <c r="D445" t="s">
        <v>51</v>
      </c>
      <c r="E445" t="s">
        <v>82</v>
      </c>
      <c r="F445" t="s">
        <v>92</v>
      </c>
      <c r="G445">
        <v>1</v>
      </c>
      <c r="H445">
        <v>135.41999999999999</v>
      </c>
      <c r="I445">
        <v>28.81</v>
      </c>
      <c r="J445">
        <v>3.35</v>
      </c>
      <c r="K445">
        <v>1</v>
      </c>
      <c r="L445">
        <v>3.76</v>
      </c>
      <c r="M445">
        <v>2.16</v>
      </c>
      <c r="N445">
        <v>10.27</v>
      </c>
      <c r="O445">
        <v>18.54</v>
      </c>
      <c r="P445">
        <v>87.14</v>
      </c>
      <c r="Q445" s="4">
        <v>0.64346999999999999</v>
      </c>
      <c r="R445" t="s">
        <v>888</v>
      </c>
    </row>
    <row r="446" spans="1:18">
      <c r="A446" t="s">
        <v>889</v>
      </c>
      <c r="B446" t="s">
        <v>622</v>
      </c>
      <c r="C446" t="s">
        <v>55</v>
      </c>
      <c r="D446" t="s">
        <v>46</v>
      </c>
      <c r="E446" t="s">
        <v>82</v>
      </c>
      <c r="F446" t="s">
        <v>158</v>
      </c>
      <c r="G446">
        <v>3</v>
      </c>
      <c r="H446">
        <v>485.04</v>
      </c>
      <c r="I446">
        <v>103.2</v>
      </c>
      <c r="J446">
        <v>60.3</v>
      </c>
      <c r="K446">
        <v>1</v>
      </c>
      <c r="L446">
        <v>12.91</v>
      </c>
      <c r="M446">
        <v>7.73</v>
      </c>
      <c r="N446">
        <v>81.94</v>
      </c>
      <c r="O446">
        <v>21.26</v>
      </c>
      <c r="P446">
        <v>99.94</v>
      </c>
      <c r="Q446" s="4">
        <v>0.20604</v>
      </c>
      <c r="R446" t="s">
        <v>890</v>
      </c>
    </row>
    <row r="447" spans="1:18">
      <c r="A447" t="s">
        <v>891</v>
      </c>
      <c r="B447" t="s">
        <v>622</v>
      </c>
      <c r="C447" t="s">
        <v>43</v>
      </c>
      <c r="D447" t="s">
        <v>44</v>
      </c>
      <c r="E447" t="s">
        <v>82</v>
      </c>
      <c r="F447" t="s">
        <v>86</v>
      </c>
      <c r="G447">
        <v>1</v>
      </c>
      <c r="H447">
        <v>117.5</v>
      </c>
      <c r="I447">
        <v>25</v>
      </c>
      <c r="J447">
        <v>13.4</v>
      </c>
      <c r="K447">
        <v>1</v>
      </c>
      <c r="L447">
        <v>3.3</v>
      </c>
      <c r="M447">
        <v>1.87</v>
      </c>
      <c r="N447">
        <v>19.57</v>
      </c>
      <c r="O447">
        <v>5.43</v>
      </c>
      <c r="P447">
        <v>25.53</v>
      </c>
      <c r="Q447" s="4">
        <v>0.21726000000000001</v>
      </c>
      <c r="R447" t="s">
        <v>892</v>
      </c>
    </row>
    <row r="448" spans="1:18">
      <c r="A448" t="s">
        <v>893</v>
      </c>
      <c r="B448" t="s">
        <v>622</v>
      </c>
      <c r="C448" t="s">
        <v>39</v>
      </c>
      <c r="D448" t="s">
        <v>40</v>
      </c>
      <c r="E448" t="s">
        <v>82</v>
      </c>
      <c r="F448" t="s">
        <v>83</v>
      </c>
      <c r="G448">
        <v>1</v>
      </c>
      <c r="H448">
        <v>138</v>
      </c>
      <c r="I448">
        <v>29.36</v>
      </c>
      <c r="J448">
        <v>6.7</v>
      </c>
      <c r="K448">
        <v>1</v>
      </c>
      <c r="L448">
        <v>3.83</v>
      </c>
      <c r="M448">
        <v>2.2000000000000002</v>
      </c>
      <c r="N448">
        <v>13.73</v>
      </c>
      <c r="O448">
        <v>15.63</v>
      </c>
      <c r="P448">
        <v>73.459999999999994</v>
      </c>
      <c r="Q448" s="4">
        <v>0.53234000000000004</v>
      </c>
      <c r="R448" t="s">
        <v>894</v>
      </c>
    </row>
    <row r="449" spans="1:18">
      <c r="A449" t="s">
        <v>893</v>
      </c>
      <c r="B449" t="s">
        <v>622</v>
      </c>
      <c r="C449" t="s">
        <v>47</v>
      </c>
      <c r="D449" t="s">
        <v>40</v>
      </c>
      <c r="E449" t="s">
        <v>82</v>
      </c>
      <c r="F449" t="s">
        <v>90</v>
      </c>
      <c r="G449">
        <v>1</v>
      </c>
      <c r="H449">
        <v>138</v>
      </c>
      <c r="I449">
        <v>29.36</v>
      </c>
      <c r="J449">
        <v>6.7</v>
      </c>
      <c r="K449">
        <v>1</v>
      </c>
      <c r="L449">
        <v>3.83</v>
      </c>
      <c r="M449">
        <v>2.2000000000000002</v>
      </c>
      <c r="N449">
        <v>13.73</v>
      </c>
      <c r="O449">
        <v>15.63</v>
      </c>
      <c r="P449">
        <v>73.459999999999994</v>
      </c>
      <c r="Q449" s="4">
        <v>0.53234000000000004</v>
      </c>
      <c r="R449" t="s">
        <v>894</v>
      </c>
    </row>
    <row r="450" spans="1:18">
      <c r="A450" t="s">
        <v>895</v>
      </c>
      <c r="B450" t="s">
        <v>622</v>
      </c>
      <c r="C450" t="s">
        <v>52</v>
      </c>
      <c r="D450" t="s">
        <v>53</v>
      </c>
      <c r="E450" t="s">
        <v>133</v>
      </c>
      <c r="F450" t="s">
        <v>145</v>
      </c>
      <c r="G450">
        <v>1</v>
      </c>
      <c r="H450">
        <v>300</v>
      </c>
      <c r="I450">
        <v>63.83</v>
      </c>
      <c r="J450">
        <v>45.5</v>
      </c>
      <c r="K450">
        <v>2</v>
      </c>
      <c r="L450">
        <v>8.07</v>
      </c>
      <c r="M450">
        <v>4.78</v>
      </c>
      <c r="N450">
        <v>60.35</v>
      </c>
      <c r="O450">
        <v>3.48</v>
      </c>
      <c r="P450">
        <v>16.37</v>
      </c>
      <c r="Q450" s="4">
        <v>5.4550000000000001E-2</v>
      </c>
      <c r="R450" t="s">
        <v>896</v>
      </c>
    </row>
    <row r="451" spans="1:18">
      <c r="A451" t="s">
        <v>897</v>
      </c>
      <c r="B451" t="s">
        <v>622</v>
      </c>
      <c r="C451" t="s">
        <v>45</v>
      </c>
      <c r="D451" t="s">
        <v>46</v>
      </c>
      <c r="E451" t="s">
        <v>82</v>
      </c>
      <c r="F451" t="s">
        <v>97</v>
      </c>
      <c r="G451">
        <v>1</v>
      </c>
      <c r="H451">
        <v>172</v>
      </c>
      <c r="I451">
        <v>36.6</v>
      </c>
      <c r="J451">
        <v>20.100000000000001</v>
      </c>
      <c r="K451">
        <v>1</v>
      </c>
      <c r="L451">
        <v>4.72</v>
      </c>
      <c r="M451">
        <v>2.74</v>
      </c>
      <c r="N451">
        <v>28.56</v>
      </c>
      <c r="O451">
        <v>8.0299999999999994</v>
      </c>
      <c r="P451">
        <v>37.76</v>
      </c>
      <c r="Q451" s="4">
        <v>0.21953</v>
      </c>
      <c r="R451" t="s">
        <v>898</v>
      </c>
    </row>
    <row r="452" spans="1:18">
      <c r="A452" t="s">
        <v>899</v>
      </c>
      <c r="B452" t="s">
        <v>622</v>
      </c>
      <c r="C452" t="s">
        <v>50</v>
      </c>
      <c r="D452" t="s">
        <v>51</v>
      </c>
      <c r="E452" t="s">
        <v>82</v>
      </c>
      <c r="F452" t="s">
        <v>92</v>
      </c>
      <c r="G452">
        <v>1</v>
      </c>
      <c r="H452">
        <v>94</v>
      </c>
      <c r="I452">
        <v>20</v>
      </c>
      <c r="J452">
        <v>3.35</v>
      </c>
      <c r="K452">
        <v>1</v>
      </c>
      <c r="L452">
        <v>2.68</v>
      </c>
      <c r="M452">
        <v>1.5</v>
      </c>
      <c r="N452">
        <v>8.5299999999999994</v>
      </c>
      <c r="O452">
        <v>11.47</v>
      </c>
      <c r="P452">
        <v>53.91</v>
      </c>
      <c r="Q452" s="4">
        <v>0.57352999999999998</v>
      </c>
      <c r="R452" t="s">
        <v>900</v>
      </c>
    </row>
    <row r="453" spans="1:18">
      <c r="A453" t="s">
        <v>899</v>
      </c>
      <c r="B453" t="s">
        <v>622</v>
      </c>
      <c r="C453" t="s">
        <v>48</v>
      </c>
      <c r="D453" t="s">
        <v>49</v>
      </c>
      <c r="E453" t="s">
        <v>82</v>
      </c>
      <c r="F453" t="s">
        <v>102</v>
      </c>
      <c r="G453">
        <v>1</v>
      </c>
      <c r="H453">
        <v>94</v>
      </c>
      <c r="I453">
        <v>20</v>
      </c>
      <c r="J453">
        <v>3.35</v>
      </c>
      <c r="K453">
        <v>1</v>
      </c>
      <c r="L453">
        <v>2.68</v>
      </c>
      <c r="M453">
        <v>1.5</v>
      </c>
      <c r="N453">
        <v>8.5299999999999994</v>
      </c>
      <c r="O453">
        <v>11.47</v>
      </c>
      <c r="P453">
        <v>53.91</v>
      </c>
      <c r="Q453" s="4">
        <v>0.57352999999999998</v>
      </c>
      <c r="R453" t="s">
        <v>900</v>
      </c>
    </row>
    <row r="454" spans="1:18">
      <c r="A454" t="s">
        <v>901</v>
      </c>
      <c r="B454" t="s">
        <v>622</v>
      </c>
      <c r="C454" t="s">
        <v>45</v>
      </c>
      <c r="D454" t="s">
        <v>46</v>
      </c>
      <c r="E454" t="s">
        <v>82</v>
      </c>
      <c r="F454" t="s">
        <v>97</v>
      </c>
      <c r="G454">
        <v>1</v>
      </c>
      <c r="H454">
        <v>158.65</v>
      </c>
      <c r="I454">
        <v>33.76</v>
      </c>
      <c r="J454">
        <v>20.100000000000001</v>
      </c>
      <c r="K454">
        <v>1</v>
      </c>
      <c r="L454">
        <v>4.37</v>
      </c>
      <c r="M454">
        <v>2.5299999999999998</v>
      </c>
      <c r="N454">
        <v>28</v>
      </c>
      <c r="O454">
        <v>5.76</v>
      </c>
      <c r="P454">
        <v>27.05</v>
      </c>
      <c r="Q454" s="4">
        <v>0.17049</v>
      </c>
      <c r="R454" t="s">
        <v>902</v>
      </c>
    </row>
    <row r="455" spans="1:18">
      <c r="A455" t="s">
        <v>903</v>
      </c>
      <c r="B455" t="s">
        <v>622</v>
      </c>
      <c r="C455" t="s">
        <v>48</v>
      </c>
      <c r="D455" t="s">
        <v>49</v>
      </c>
      <c r="E455" t="s">
        <v>82</v>
      </c>
      <c r="F455" t="s">
        <v>102</v>
      </c>
      <c r="G455">
        <v>1</v>
      </c>
      <c r="H455">
        <v>47</v>
      </c>
      <c r="I455">
        <v>10</v>
      </c>
      <c r="J455">
        <v>3.35</v>
      </c>
      <c r="K455">
        <v>1</v>
      </c>
      <c r="L455">
        <v>1.45</v>
      </c>
      <c r="M455">
        <v>0.75</v>
      </c>
      <c r="N455">
        <v>6.55</v>
      </c>
      <c r="O455">
        <v>3.45</v>
      </c>
      <c r="P455">
        <v>16.21</v>
      </c>
      <c r="Q455" s="4">
        <v>0.34486</v>
      </c>
      <c r="R455" t="s">
        <v>904</v>
      </c>
    </row>
    <row r="456" spans="1:18">
      <c r="A456" t="s">
        <v>905</v>
      </c>
      <c r="B456" t="s">
        <v>622</v>
      </c>
      <c r="C456" t="s">
        <v>50</v>
      </c>
      <c r="D456" t="s">
        <v>51</v>
      </c>
      <c r="E456" t="s">
        <v>82</v>
      </c>
      <c r="F456" t="s">
        <v>92</v>
      </c>
      <c r="G456">
        <v>1</v>
      </c>
      <c r="H456">
        <v>43.24</v>
      </c>
      <c r="I456">
        <v>9.1999999999999993</v>
      </c>
      <c r="J456">
        <v>3.35</v>
      </c>
      <c r="K456">
        <v>1</v>
      </c>
      <c r="L456">
        <v>1.35</v>
      </c>
      <c r="M456">
        <v>0.69</v>
      </c>
      <c r="N456">
        <v>6.39</v>
      </c>
      <c r="O456">
        <v>2.81</v>
      </c>
      <c r="P456">
        <v>13.19</v>
      </c>
      <c r="Q456" s="4">
        <v>0.30508999999999997</v>
      </c>
      <c r="R456" t="s">
        <v>906</v>
      </c>
    </row>
    <row r="457" spans="1:18">
      <c r="A457" t="s">
        <v>907</v>
      </c>
      <c r="B457" t="s">
        <v>622</v>
      </c>
      <c r="C457" t="s">
        <v>50</v>
      </c>
      <c r="D457" t="s">
        <v>51</v>
      </c>
      <c r="E457" t="s">
        <v>82</v>
      </c>
      <c r="F457" t="s">
        <v>92</v>
      </c>
      <c r="G457">
        <v>1</v>
      </c>
      <c r="H457">
        <v>47</v>
      </c>
      <c r="I457">
        <v>10</v>
      </c>
      <c r="J457">
        <v>3.35</v>
      </c>
      <c r="K457">
        <v>1</v>
      </c>
      <c r="L457">
        <v>1.45</v>
      </c>
      <c r="M457">
        <v>0.75</v>
      </c>
      <c r="N457">
        <v>6.55</v>
      </c>
      <c r="O457">
        <v>3.45</v>
      </c>
      <c r="P457">
        <v>16.21</v>
      </c>
      <c r="Q457" s="4">
        <v>0.34486</v>
      </c>
      <c r="R457" t="s">
        <v>908</v>
      </c>
    </row>
    <row r="458" spans="1:18">
      <c r="A458" t="s">
        <v>909</v>
      </c>
      <c r="B458" t="s">
        <v>622</v>
      </c>
      <c r="C458" t="s">
        <v>45</v>
      </c>
      <c r="D458" t="s">
        <v>46</v>
      </c>
      <c r="E458" t="s">
        <v>82</v>
      </c>
      <c r="F458" t="s">
        <v>97</v>
      </c>
      <c r="G458">
        <v>1</v>
      </c>
      <c r="H458">
        <v>108.55</v>
      </c>
      <c r="I458">
        <v>23.1</v>
      </c>
      <c r="J458">
        <v>20.100000000000001</v>
      </c>
      <c r="K458">
        <v>1</v>
      </c>
      <c r="L458">
        <v>3.06</v>
      </c>
      <c r="M458">
        <v>1.73</v>
      </c>
      <c r="N458">
        <v>25.89</v>
      </c>
      <c r="O458">
        <v>-2.8</v>
      </c>
      <c r="P458">
        <v>-13.14</v>
      </c>
      <c r="Q458" s="4">
        <v>-0.12106</v>
      </c>
      <c r="R458" t="s">
        <v>910</v>
      </c>
    </row>
    <row r="459" spans="1:18">
      <c r="A459" t="s">
        <v>911</v>
      </c>
      <c r="B459" t="s">
        <v>622</v>
      </c>
      <c r="C459" t="s">
        <v>39</v>
      </c>
      <c r="D459" t="s">
        <v>40</v>
      </c>
      <c r="E459" t="s">
        <v>82</v>
      </c>
      <c r="F459" t="s">
        <v>83</v>
      </c>
      <c r="G459">
        <v>1</v>
      </c>
      <c r="H459">
        <v>58.65</v>
      </c>
      <c r="I459">
        <v>12.48</v>
      </c>
      <c r="J459">
        <v>6.7</v>
      </c>
      <c r="K459">
        <v>1</v>
      </c>
      <c r="L459">
        <v>1.76</v>
      </c>
      <c r="M459">
        <v>0.93</v>
      </c>
      <c r="N459">
        <v>10.39</v>
      </c>
      <c r="O459">
        <v>2.09</v>
      </c>
      <c r="P459">
        <v>9.81</v>
      </c>
      <c r="Q459" s="4">
        <v>0.16725000000000001</v>
      </c>
      <c r="R459" t="s">
        <v>912</v>
      </c>
    </row>
    <row r="460" spans="1:18">
      <c r="A460" t="s">
        <v>913</v>
      </c>
      <c r="B460" t="s">
        <v>107</v>
      </c>
      <c r="C460" t="s">
        <v>43</v>
      </c>
      <c r="D460" t="s">
        <v>44</v>
      </c>
      <c r="E460" t="s">
        <v>82</v>
      </c>
      <c r="F460" t="s">
        <v>86</v>
      </c>
      <c r="G460">
        <v>1</v>
      </c>
      <c r="H460">
        <v>115</v>
      </c>
      <c r="I460">
        <v>24.47</v>
      </c>
      <c r="J460">
        <v>13.4</v>
      </c>
      <c r="K460">
        <v>1</v>
      </c>
      <c r="L460">
        <v>3.23</v>
      </c>
      <c r="M460">
        <v>1.83</v>
      </c>
      <c r="N460">
        <v>19.46</v>
      </c>
      <c r="O460">
        <v>5</v>
      </c>
      <c r="P460">
        <v>23.52</v>
      </c>
      <c r="Q460" s="4">
        <v>0.20455000000000001</v>
      </c>
      <c r="R460" t="s">
        <v>914</v>
      </c>
    </row>
    <row r="461" spans="1:18">
      <c r="A461" t="s">
        <v>915</v>
      </c>
      <c r="B461" t="s">
        <v>107</v>
      </c>
      <c r="C461" t="s">
        <v>48</v>
      </c>
      <c r="D461" t="s">
        <v>49</v>
      </c>
      <c r="E461" t="s">
        <v>82</v>
      </c>
      <c r="F461" t="s">
        <v>102</v>
      </c>
      <c r="G461">
        <v>1</v>
      </c>
      <c r="H461">
        <v>47</v>
      </c>
      <c r="I461">
        <v>10</v>
      </c>
      <c r="J461">
        <v>3.35</v>
      </c>
      <c r="K461">
        <v>1</v>
      </c>
      <c r="L461">
        <v>1.45</v>
      </c>
      <c r="M461">
        <v>0.75</v>
      </c>
      <c r="N461">
        <v>6.55</v>
      </c>
      <c r="O461">
        <v>3.45</v>
      </c>
      <c r="P461">
        <v>16.21</v>
      </c>
      <c r="Q461" s="4">
        <v>0.34486</v>
      </c>
      <c r="R461" t="s">
        <v>916</v>
      </c>
    </row>
    <row r="462" spans="1:18">
      <c r="A462" t="s">
        <v>917</v>
      </c>
      <c r="B462" t="s">
        <v>107</v>
      </c>
      <c r="C462" t="s">
        <v>47</v>
      </c>
      <c r="D462" t="s">
        <v>40</v>
      </c>
      <c r="E462" t="s">
        <v>82</v>
      </c>
      <c r="F462" t="s">
        <v>90</v>
      </c>
      <c r="G462">
        <v>1</v>
      </c>
      <c r="H462">
        <v>63.48</v>
      </c>
      <c r="I462">
        <v>13.51</v>
      </c>
      <c r="J462">
        <v>6.7</v>
      </c>
      <c r="K462">
        <v>1</v>
      </c>
      <c r="L462">
        <v>1.88</v>
      </c>
      <c r="M462">
        <v>1.01</v>
      </c>
      <c r="N462">
        <v>10.59</v>
      </c>
      <c r="O462">
        <v>2.91</v>
      </c>
      <c r="P462">
        <v>13.68</v>
      </c>
      <c r="Q462" s="4">
        <v>0.21556</v>
      </c>
      <c r="R462" t="s">
        <v>918</v>
      </c>
    </row>
    <row r="463" spans="1:18">
      <c r="A463" t="s">
        <v>919</v>
      </c>
      <c r="B463" t="s">
        <v>622</v>
      </c>
      <c r="C463" t="s">
        <v>47</v>
      </c>
      <c r="D463" t="s">
        <v>40</v>
      </c>
      <c r="E463" t="s">
        <v>82</v>
      </c>
      <c r="F463" t="s">
        <v>90</v>
      </c>
      <c r="G463">
        <v>1</v>
      </c>
      <c r="H463">
        <v>69</v>
      </c>
      <c r="I463">
        <v>14.68</v>
      </c>
      <c r="J463">
        <v>6.7</v>
      </c>
      <c r="K463">
        <v>1</v>
      </c>
      <c r="L463">
        <v>2.0299999999999998</v>
      </c>
      <c r="M463">
        <v>1.1000000000000001</v>
      </c>
      <c r="N463">
        <v>10.83</v>
      </c>
      <c r="O463">
        <v>3.85</v>
      </c>
      <c r="P463">
        <v>18.11</v>
      </c>
      <c r="Q463" s="4">
        <v>0.26249</v>
      </c>
      <c r="R463" t="s">
        <v>920</v>
      </c>
    </row>
    <row r="464" spans="1:18">
      <c r="A464" t="s">
        <v>921</v>
      </c>
      <c r="B464" t="s">
        <v>622</v>
      </c>
      <c r="C464" t="s">
        <v>47</v>
      </c>
      <c r="D464" t="s">
        <v>40</v>
      </c>
      <c r="E464" t="s">
        <v>82</v>
      </c>
      <c r="F464" t="s">
        <v>90</v>
      </c>
      <c r="G464">
        <v>1</v>
      </c>
      <c r="H464">
        <v>69</v>
      </c>
      <c r="I464">
        <v>14.68</v>
      </c>
      <c r="J464">
        <v>6.7</v>
      </c>
      <c r="K464">
        <v>1</v>
      </c>
      <c r="L464">
        <v>2.0299999999999998</v>
      </c>
      <c r="M464">
        <v>1.1000000000000001</v>
      </c>
      <c r="N464">
        <v>10.83</v>
      </c>
      <c r="O464">
        <v>3.85</v>
      </c>
      <c r="P464">
        <v>18.11</v>
      </c>
      <c r="Q464" s="4">
        <v>0.26249</v>
      </c>
      <c r="R464" t="s">
        <v>922</v>
      </c>
    </row>
    <row r="465" spans="1:18">
      <c r="A465" t="s">
        <v>923</v>
      </c>
      <c r="B465" t="s">
        <v>107</v>
      </c>
      <c r="C465" t="s">
        <v>54</v>
      </c>
      <c r="D465" t="s">
        <v>44</v>
      </c>
      <c r="E465" t="s">
        <v>82</v>
      </c>
      <c r="F465" t="s">
        <v>164</v>
      </c>
      <c r="G465">
        <v>1</v>
      </c>
      <c r="H465">
        <v>125</v>
      </c>
      <c r="I465">
        <v>26.6</v>
      </c>
      <c r="J465">
        <v>13.4</v>
      </c>
      <c r="K465">
        <v>1</v>
      </c>
      <c r="L465">
        <v>3.49</v>
      </c>
      <c r="M465">
        <v>1.99</v>
      </c>
      <c r="N465">
        <v>19.88</v>
      </c>
      <c r="O465">
        <v>6.71</v>
      </c>
      <c r="P465">
        <v>31.55</v>
      </c>
      <c r="Q465" s="4">
        <v>0.25235999999999997</v>
      </c>
      <c r="R465" t="s">
        <v>924</v>
      </c>
    </row>
    <row r="466" spans="1:18">
      <c r="A466" t="s">
        <v>925</v>
      </c>
      <c r="B466" t="s">
        <v>622</v>
      </c>
      <c r="C466" t="s">
        <v>39</v>
      </c>
      <c r="D466" t="s">
        <v>40</v>
      </c>
      <c r="E466" t="s">
        <v>82</v>
      </c>
      <c r="F466" t="s">
        <v>83</v>
      </c>
      <c r="G466">
        <v>1</v>
      </c>
      <c r="H466">
        <v>63.48</v>
      </c>
      <c r="I466">
        <v>13.51</v>
      </c>
      <c r="J466">
        <v>6.7</v>
      </c>
      <c r="K466">
        <v>1</v>
      </c>
      <c r="L466">
        <v>1.88</v>
      </c>
      <c r="M466">
        <v>1.01</v>
      </c>
      <c r="N466">
        <v>10.59</v>
      </c>
      <c r="O466">
        <v>2.91</v>
      </c>
      <c r="P466">
        <v>13.68</v>
      </c>
      <c r="Q466" s="4">
        <v>0.21556</v>
      </c>
      <c r="R466" t="s">
        <v>926</v>
      </c>
    </row>
    <row r="467" spans="1:18">
      <c r="A467" t="s">
        <v>927</v>
      </c>
      <c r="B467" t="s">
        <v>622</v>
      </c>
      <c r="C467" t="s">
        <v>54</v>
      </c>
      <c r="D467" t="s">
        <v>44</v>
      </c>
      <c r="E467" t="s">
        <v>82</v>
      </c>
      <c r="F467" t="s">
        <v>164</v>
      </c>
      <c r="G467">
        <v>1</v>
      </c>
      <c r="H467">
        <v>126</v>
      </c>
      <c r="I467">
        <v>26.81</v>
      </c>
      <c r="J467">
        <v>13.4</v>
      </c>
      <c r="K467">
        <v>1</v>
      </c>
      <c r="L467">
        <v>3.52</v>
      </c>
      <c r="M467">
        <v>2.0099999999999998</v>
      </c>
      <c r="N467">
        <v>19.93</v>
      </c>
      <c r="O467">
        <v>6.88</v>
      </c>
      <c r="P467">
        <v>32.35</v>
      </c>
      <c r="Q467" s="4">
        <v>0.25672</v>
      </c>
      <c r="R467" t="s">
        <v>928</v>
      </c>
    </row>
    <row r="468" spans="1:18">
      <c r="A468" t="s">
        <v>929</v>
      </c>
      <c r="B468" t="s">
        <v>622</v>
      </c>
      <c r="C468" t="s">
        <v>41</v>
      </c>
      <c r="D468" t="s">
        <v>42</v>
      </c>
      <c r="E468" t="s">
        <v>122</v>
      </c>
      <c r="F468" t="s">
        <v>123</v>
      </c>
      <c r="G468">
        <v>1</v>
      </c>
      <c r="H468">
        <v>100</v>
      </c>
      <c r="I468">
        <v>21.28</v>
      </c>
      <c r="J468">
        <v>10.73</v>
      </c>
      <c r="K468">
        <v>1</v>
      </c>
      <c r="L468">
        <v>2.84</v>
      </c>
      <c r="M468">
        <v>1.59</v>
      </c>
      <c r="N468">
        <v>16.16</v>
      </c>
      <c r="O468">
        <v>5.12</v>
      </c>
      <c r="P468">
        <v>24.05</v>
      </c>
      <c r="Q468" s="4">
        <v>0.24055000000000001</v>
      </c>
      <c r="R468" t="s">
        <v>930</v>
      </c>
    </row>
    <row r="469" spans="1:18">
      <c r="A469" t="s">
        <v>931</v>
      </c>
      <c r="B469" t="s">
        <v>622</v>
      </c>
      <c r="C469" t="s">
        <v>39</v>
      </c>
      <c r="D469" t="s">
        <v>40</v>
      </c>
      <c r="E469" t="s">
        <v>82</v>
      </c>
      <c r="F469" t="s">
        <v>83</v>
      </c>
      <c r="G469">
        <v>1</v>
      </c>
      <c r="H469">
        <v>69</v>
      </c>
      <c r="I469">
        <v>14.68</v>
      </c>
      <c r="J469">
        <v>6.7</v>
      </c>
      <c r="K469">
        <v>1</v>
      </c>
      <c r="L469">
        <v>2.0299999999999998</v>
      </c>
      <c r="M469">
        <v>1.1000000000000001</v>
      </c>
      <c r="N469">
        <v>10.83</v>
      </c>
      <c r="O469">
        <v>3.85</v>
      </c>
      <c r="P469">
        <v>18.11</v>
      </c>
      <c r="Q469" s="4">
        <v>0.26249</v>
      </c>
      <c r="R469" t="s">
        <v>932</v>
      </c>
    </row>
    <row r="470" spans="1:18">
      <c r="A470" t="s">
        <v>933</v>
      </c>
      <c r="B470" t="s">
        <v>622</v>
      </c>
      <c r="C470" t="s">
        <v>39</v>
      </c>
      <c r="D470" t="s">
        <v>40</v>
      </c>
      <c r="E470" t="s">
        <v>82</v>
      </c>
      <c r="F470" t="s">
        <v>83</v>
      </c>
      <c r="G470">
        <v>1</v>
      </c>
      <c r="H470">
        <v>69</v>
      </c>
      <c r="I470">
        <v>14.68</v>
      </c>
      <c r="J470">
        <v>6.7</v>
      </c>
      <c r="K470">
        <v>1</v>
      </c>
      <c r="L470">
        <v>2.0299999999999998</v>
      </c>
      <c r="M470">
        <v>1.1000000000000001</v>
      </c>
      <c r="N470">
        <v>10.83</v>
      </c>
      <c r="O470">
        <v>3.85</v>
      </c>
      <c r="P470">
        <v>18.11</v>
      </c>
      <c r="Q470" s="4">
        <v>0.26249</v>
      </c>
      <c r="R470" t="s">
        <v>934</v>
      </c>
    </row>
    <row r="471" spans="1:18">
      <c r="A471" t="s">
        <v>935</v>
      </c>
      <c r="B471" t="s">
        <v>622</v>
      </c>
      <c r="C471" t="s">
        <v>39</v>
      </c>
      <c r="D471" t="s">
        <v>40</v>
      </c>
      <c r="E471" t="s">
        <v>82</v>
      </c>
      <c r="F471" t="s">
        <v>83</v>
      </c>
      <c r="G471">
        <v>1</v>
      </c>
      <c r="H471">
        <v>69</v>
      </c>
      <c r="I471">
        <v>14.68</v>
      </c>
      <c r="J471">
        <v>6.7</v>
      </c>
      <c r="K471">
        <v>1</v>
      </c>
      <c r="L471">
        <v>2.0299999999999998</v>
      </c>
      <c r="M471">
        <v>1.1000000000000001</v>
      </c>
      <c r="N471">
        <v>10.83</v>
      </c>
      <c r="O471">
        <v>3.85</v>
      </c>
      <c r="P471">
        <v>18.11</v>
      </c>
      <c r="Q471" s="4">
        <v>0.26249</v>
      </c>
      <c r="R471" t="s">
        <v>936</v>
      </c>
    </row>
    <row r="472" spans="1:18">
      <c r="A472" t="s">
        <v>937</v>
      </c>
      <c r="B472" t="s">
        <v>622</v>
      </c>
      <c r="C472" t="s">
        <v>39</v>
      </c>
      <c r="D472" t="s">
        <v>40</v>
      </c>
      <c r="E472" t="s">
        <v>82</v>
      </c>
      <c r="F472" t="s">
        <v>83</v>
      </c>
      <c r="G472">
        <v>1</v>
      </c>
      <c r="H472">
        <v>133</v>
      </c>
      <c r="I472">
        <v>28.3</v>
      </c>
      <c r="J472">
        <v>6.7</v>
      </c>
      <c r="K472">
        <v>1</v>
      </c>
      <c r="L472">
        <v>3.7</v>
      </c>
      <c r="M472">
        <v>2.12</v>
      </c>
      <c r="N472">
        <v>13.52</v>
      </c>
      <c r="O472">
        <v>14.78</v>
      </c>
      <c r="P472">
        <v>69.45</v>
      </c>
      <c r="Q472" s="4">
        <v>0.5222</v>
      </c>
      <c r="R472" t="s">
        <v>938</v>
      </c>
    </row>
    <row r="473" spans="1:18">
      <c r="A473" t="s">
        <v>937</v>
      </c>
      <c r="B473" t="s">
        <v>622</v>
      </c>
      <c r="C473" t="s">
        <v>47</v>
      </c>
      <c r="D473" t="s">
        <v>40</v>
      </c>
      <c r="E473" t="s">
        <v>82</v>
      </c>
      <c r="F473" t="s">
        <v>90</v>
      </c>
      <c r="G473">
        <v>1</v>
      </c>
      <c r="H473">
        <v>133</v>
      </c>
      <c r="I473">
        <v>28.3</v>
      </c>
      <c r="J473">
        <v>6.7</v>
      </c>
      <c r="K473">
        <v>1</v>
      </c>
      <c r="L473">
        <v>3.7</v>
      </c>
      <c r="M473">
        <v>2.12</v>
      </c>
      <c r="N473">
        <v>13.52</v>
      </c>
      <c r="O473">
        <v>14.78</v>
      </c>
      <c r="P473">
        <v>69.45</v>
      </c>
      <c r="Q473" s="4">
        <v>0.5222</v>
      </c>
      <c r="R473" t="s">
        <v>938</v>
      </c>
    </row>
    <row r="474" spans="1:18">
      <c r="A474" t="s">
        <v>939</v>
      </c>
      <c r="B474" t="s">
        <v>622</v>
      </c>
      <c r="C474" t="s">
        <v>55</v>
      </c>
      <c r="D474" t="s">
        <v>46</v>
      </c>
      <c r="E474" t="s">
        <v>82</v>
      </c>
      <c r="F474" t="s">
        <v>158</v>
      </c>
      <c r="G474">
        <v>1</v>
      </c>
      <c r="H474">
        <v>154.4</v>
      </c>
      <c r="I474">
        <v>32.85</v>
      </c>
      <c r="J474">
        <v>20.100000000000001</v>
      </c>
      <c r="K474">
        <v>1</v>
      </c>
      <c r="L474">
        <v>4.26</v>
      </c>
      <c r="M474">
        <v>2.46</v>
      </c>
      <c r="N474">
        <v>27.82</v>
      </c>
      <c r="O474">
        <v>5.03</v>
      </c>
      <c r="P474">
        <v>23.64</v>
      </c>
      <c r="Q474" s="4">
        <v>0.15311</v>
      </c>
      <c r="R474" t="s">
        <v>940</v>
      </c>
    </row>
    <row r="475" spans="1:18">
      <c r="A475" t="s">
        <v>941</v>
      </c>
      <c r="B475" t="s">
        <v>622</v>
      </c>
      <c r="C475" t="s">
        <v>43</v>
      </c>
      <c r="D475" t="s">
        <v>44</v>
      </c>
      <c r="E475" t="s">
        <v>82</v>
      </c>
      <c r="F475" t="s">
        <v>86</v>
      </c>
      <c r="G475">
        <v>1</v>
      </c>
      <c r="H475">
        <v>158</v>
      </c>
      <c r="I475">
        <v>33.619999999999997</v>
      </c>
      <c r="J475">
        <v>13.4</v>
      </c>
      <c r="K475">
        <v>1</v>
      </c>
      <c r="L475">
        <v>4.3499999999999996</v>
      </c>
      <c r="M475">
        <v>2.52</v>
      </c>
      <c r="N475">
        <v>21.27</v>
      </c>
      <c r="O475">
        <v>12.34</v>
      </c>
      <c r="P475">
        <v>58.02</v>
      </c>
      <c r="Q475" s="4">
        <v>0.36720000000000003</v>
      </c>
      <c r="R475" t="s">
        <v>942</v>
      </c>
    </row>
    <row r="476" spans="1:18">
      <c r="A476" t="s">
        <v>943</v>
      </c>
      <c r="B476" t="s">
        <v>622</v>
      </c>
      <c r="C476" t="s">
        <v>39</v>
      </c>
      <c r="D476" t="s">
        <v>40</v>
      </c>
      <c r="E476" t="s">
        <v>82</v>
      </c>
      <c r="F476" t="s">
        <v>83</v>
      </c>
      <c r="G476">
        <v>1</v>
      </c>
      <c r="H476">
        <v>145.02000000000001</v>
      </c>
      <c r="I476">
        <v>30.86</v>
      </c>
      <c r="J476">
        <v>6.7</v>
      </c>
      <c r="K476">
        <v>1</v>
      </c>
      <c r="L476">
        <v>4.0199999999999996</v>
      </c>
      <c r="M476">
        <v>2.31</v>
      </c>
      <c r="N476">
        <v>14.03</v>
      </c>
      <c r="O476">
        <v>16.829999999999998</v>
      </c>
      <c r="P476">
        <v>79.099999999999994</v>
      </c>
      <c r="Q476" s="4">
        <v>0.54540999999999995</v>
      </c>
      <c r="R476" t="s">
        <v>944</v>
      </c>
    </row>
    <row r="477" spans="1:18">
      <c r="A477" t="s">
        <v>943</v>
      </c>
      <c r="B477" t="s">
        <v>622</v>
      </c>
      <c r="C477" t="s">
        <v>47</v>
      </c>
      <c r="D477" t="s">
        <v>40</v>
      </c>
      <c r="E477" t="s">
        <v>82</v>
      </c>
      <c r="F477" t="s">
        <v>90</v>
      </c>
      <c r="G477">
        <v>1</v>
      </c>
      <c r="H477">
        <v>145.02000000000001</v>
      </c>
      <c r="I477">
        <v>30.86</v>
      </c>
      <c r="J477">
        <v>6.7</v>
      </c>
      <c r="K477">
        <v>1</v>
      </c>
      <c r="L477">
        <v>4.0199999999999996</v>
      </c>
      <c r="M477">
        <v>2.31</v>
      </c>
      <c r="N477">
        <v>14.03</v>
      </c>
      <c r="O477">
        <v>16.829999999999998</v>
      </c>
      <c r="P477">
        <v>79.099999999999994</v>
      </c>
      <c r="Q477" s="4">
        <v>0.54540999999999995</v>
      </c>
      <c r="R477" t="s">
        <v>944</v>
      </c>
    </row>
    <row r="478" spans="1:18">
      <c r="A478" t="s">
        <v>945</v>
      </c>
      <c r="B478" t="s">
        <v>622</v>
      </c>
      <c r="C478" t="s">
        <v>39</v>
      </c>
      <c r="D478" t="s">
        <v>40</v>
      </c>
      <c r="E478" t="s">
        <v>82</v>
      </c>
      <c r="F478" t="s">
        <v>83</v>
      </c>
      <c r="G478">
        <v>1</v>
      </c>
      <c r="H478">
        <v>69</v>
      </c>
      <c r="I478">
        <v>14.68</v>
      </c>
      <c r="J478">
        <v>6.7</v>
      </c>
      <c r="K478">
        <v>1</v>
      </c>
      <c r="L478">
        <v>2.0299999999999998</v>
      </c>
      <c r="M478">
        <v>1.1000000000000001</v>
      </c>
      <c r="N478">
        <v>10.83</v>
      </c>
      <c r="O478">
        <v>3.85</v>
      </c>
      <c r="P478">
        <v>18.11</v>
      </c>
      <c r="Q478" s="4">
        <v>0.26249</v>
      </c>
      <c r="R478" t="s">
        <v>946</v>
      </c>
    </row>
    <row r="479" spans="1:18">
      <c r="A479" t="s">
        <v>947</v>
      </c>
      <c r="B479" t="s">
        <v>622</v>
      </c>
      <c r="C479" t="s">
        <v>45</v>
      </c>
      <c r="D479" t="s">
        <v>46</v>
      </c>
      <c r="E479" t="s">
        <v>82</v>
      </c>
      <c r="F479" t="s">
        <v>97</v>
      </c>
      <c r="G479">
        <v>1</v>
      </c>
      <c r="H479">
        <v>146.19999999999999</v>
      </c>
      <c r="I479">
        <v>31.11</v>
      </c>
      <c r="J479">
        <v>20.100000000000001</v>
      </c>
      <c r="K479">
        <v>1</v>
      </c>
      <c r="L479">
        <v>4.05</v>
      </c>
      <c r="M479">
        <v>2.33</v>
      </c>
      <c r="N479">
        <v>27.48</v>
      </c>
      <c r="O479">
        <v>3.63</v>
      </c>
      <c r="P479">
        <v>17.059999999999999</v>
      </c>
      <c r="Q479" s="4">
        <v>0.1167</v>
      </c>
      <c r="R479" t="s">
        <v>948</v>
      </c>
    </row>
    <row r="480" spans="1:18">
      <c r="A480" t="s">
        <v>949</v>
      </c>
      <c r="B480" t="s">
        <v>107</v>
      </c>
      <c r="C480" t="s">
        <v>45</v>
      </c>
      <c r="D480" t="s">
        <v>46</v>
      </c>
      <c r="E480" t="s">
        <v>82</v>
      </c>
      <c r="F480" t="s">
        <v>97</v>
      </c>
      <c r="G480">
        <v>1</v>
      </c>
      <c r="H480">
        <v>172</v>
      </c>
      <c r="I480">
        <v>36.6</v>
      </c>
      <c r="J480">
        <v>20.100000000000001</v>
      </c>
      <c r="K480">
        <v>1</v>
      </c>
      <c r="L480">
        <v>4.72</v>
      </c>
      <c r="M480">
        <v>2.74</v>
      </c>
      <c r="N480">
        <v>28.56</v>
      </c>
      <c r="O480">
        <v>8.0299999999999994</v>
      </c>
      <c r="P480">
        <v>37.76</v>
      </c>
      <c r="Q480" s="4">
        <v>0.21953</v>
      </c>
      <c r="R480" t="s">
        <v>950</v>
      </c>
    </row>
    <row r="481" spans="1:18">
      <c r="A481" t="s">
        <v>951</v>
      </c>
      <c r="B481" t="s">
        <v>107</v>
      </c>
      <c r="C481" t="s">
        <v>39</v>
      </c>
      <c r="D481" t="s">
        <v>40</v>
      </c>
      <c r="E481" t="s">
        <v>82</v>
      </c>
      <c r="F481" t="s">
        <v>83</v>
      </c>
      <c r="G481">
        <v>1</v>
      </c>
      <c r="H481">
        <v>69</v>
      </c>
      <c r="I481">
        <v>14.68</v>
      </c>
      <c r="J481">
        <v>6.7</v>
      </c>
      <c r="K481">
        <v>1</v>
      </c>
      <c r="L481">
        <v>2.0299999999999998</v>
      </c>
      <c r="M481">
        <v>1.1000000000000001</v>
      </c>
      <c r="N481">
        <v>10.83</v>
      </c>
      <c r="O481">
        <v>3.85</v>
      </c>
      <c r="P481">
        <v>18.11</v>
      </c>
      <c r="Q481" s="4">
        <v>0.26249</v>
      </c>
      <c r="R481" t="s">
        <v>952</v>
      </c>
    </row>
    <row r="482" spans="1:18">
      <c r="A482" t="s">
        <v>953</v>
      </c>
      <c r="B482" t="s">
        <v>622</v>
      </c>
      <c r="C482" t="s">
        <v>39</v>
      </c>
      <c r="D482" t="s">
        <v>40</v>
      </c>
      <c r="E482" t="s">
        <v>82</v>
      </c>
      <c r="F482" t="s">
        <v>83</v>
      </c>
      <c r="G482">
        <v>1</v>
      </c>
      <c r="H482">
        <v>69</v>
      </c>
      <c r="I482">
        <v>14.68</v>
      </c>
      <c r="J482">
        <v>6.7</v>
      </c>
      <c r="K482">
        <v>1</v>
      </c>
      <c r="L482">
        <v>2.0299999999999998</v>
      </c>
      <c r="M482">
        <v>1.1000000000000001</v>
      </c>
      <c r="N482">
        <v>10.83</v>
      </c>
      <c r="O482">
        <v>3.85</v>
      </c>
      <c r="P482">
        <v>18.11</v>
      </c>
      <c r="Q482" s="4">
        <v>0.26249</v>
      </c>
      <c r="R482" t="s">
        <v>954</v>
      </c>
    </row>
    <row r="483" spans="1:18">
      <c r="A483" t="s">
        <v>955</v>
      </c>
      <c r="B483" t="s">
        <v>107</v>
      </c>
      <c r="C483" t="s">
        <v>39</v>
      </c>
      <c r="D483" t="s">
        <v>40</v>
      </c>
      <c r="E483" t="s">
        <v>82</v>
      </c>
      <c r="F483" t="s">
        <v>83</v>
      </c>
      <c r="G483">
        <v>1</v>
      </c>
      <c r="H483">
        <v>69</v>
      </c>
      <c r="I483">
        <v>14.68</v>
      </c>
      <c r="J483">
        <v>6.7</v>
      </c>
      <c r="K483">
        <v>1</v>
      </c>
      <c r="L483">
        <v>2.0299999999999998</v>
      </c>
      <c r="M483">
        <v>1.1000000000000001</v>
      </c>
      <c r="N483">
        <v>10.83</v>
      </c>
      <c r="O483">
        <v>3.85</v>
      </c>
      <c r="P483">
        <v>18.11</v>
      </c>
      <c r="Q483" s="4">
        <v>0.26249</v>
      </c>
      <c r="R483" t="s">
        <v>956</v>
      </c>
    </row>
    <row r="484" spans="1:18">
      <c r="A484" t="s">
        <v>957</v>
      </c>
      <c r="B484" t="s">
        <v>622</v>
      </c>
      <c r="C484" t="s">
        <v>39</v>
      </c>
      <c r="D484" t="s">
        <v>40</v>
      </c>
      <c r="E484" t="s">
        <v>82</v>
      </c>
      <c r="F484" t="s">
        <v>83</v>
      </c>
      <c r="G484">
        <v>1</v>
      </c>
      <c r="H484">
        <v>94.25</v>
      </c>
      <c r="I484">
        <v>20.05</v>
      </c>
      <c r="J484">
        <v>6.7</v>
      </c>
      <c r="K484">
        <v>1</v>
      </c>
      <c r="L484">
        <v>2.69</v>
      </c>
      <c r="M484">
        <v>1.5</v>
      </c>
      <c r="N484">
        <v>11.89</v>
      </c>
      <c r="O484">
        <v>8.16</v>
      </c>
      <c r="P484">
        <v>38.369999999999997</v>
      </c>
      <c r="Q484" s="4">
        <v>0.40708</v>
      </c>
      <c r="R484" t="s">
        <v>958</v>
      </c>
    </row>
    <row r="485" spans="1:18">
      <c r="A485" t="s">
        <v>957</v>
      </c>
      <c r="B485" t="s">
        <v>622</v>
      </c>
      <c r="C485" t="s">
        <v>50</v>
      </c>
      <c r="D485" t="s">
        <v>51</v>
      </c>
      <c r="E485" t="s">
        <v>82</v>
      </c>
      <c r="F485" t="s">
        <v>92</v>
      </c>
      <c r="G485">
        <v>1</v>
      </c>
      <c r="H485">
        <v>94.25</v>
      </c>
      <c r="I485">
        <v>20.05</v>
      </c>
      <c r="J485">
        <v>3.35</v>
      </c>
      <c r="K485">
        <v>1</v>
      </c>
      <c r="L485">
        <v>2.69</v>
      </c>
      <c r="M485">
        <v>1.5</v>
      </c>
      <c r="N485">
        <v>8.5399999999999991</v>
      </c>
      <c r="O485">
        <v>11.51</v>
      </c>
      <c r="P485">
        <v>54.11</v>
      </c>
      <c r="Q485" s="4">
        <v>0.57413999999999998</v>
      </c>
      <c r="R485" t="s">
        <v>958</v>
      </c>
    </row>
    <row r="486" spans="1:18">
      <c r="A486" t="s">
        <v>959</v>
      </c>
      <c r="B486" t="s">
        <v>107</v>
      </c>
      <c r="C486" t="s">
        <v>41</v>
      </c>
      <c r="D486" t="s">
        <v>42</v>
      </c>
      <c r="E486" t="s">
        <v>122</v>
      </c>
      <c r="F486" t="s">
        <v>123</v>
      </c>
      <c r="G486">
        <v>1</v>
      </c>
      <c r="H486">
        <v>130</v>
      </c>
      <c r="I486">
        <v>27.66</v>
      </c>
      <c r="J486">
        <v>10.73</v>
      </c>
      <c r="K486">
        <v>1</v>
      </c>
      <c r="L486">
        <v>3.62</v>
      </c>
      <c r="M486">
        <v>2.0699999999999998</v>
      </c>
      <c r="N486">
        <v>17.420000000000002</v>
      </c>
      <c r="O486">
        <v>10.24</v>
      </c>
      <c r="P486">
        <v>48.12</v>
      </c>
      <c r="Q486" s="4">
        <v>0.37015999999999999</v>
      </c>
      <c r="R486" t="s">
        <v>960</v>
      </c>
    </row>
    <row r="487" spans="1:18">
      <c r="A487" t="s">
        <v>961</v>
      </c>
      <c r="B487" t="s">
        <v>622</v>
      </c>
      <c r="C487" t="s">
        <v>39</v>
      </c>
      <c r="D487" t="s">
        <v>40</v>
      </c>
      <c r="E487" t="s">
        <v>82</v>
      </c>
      <c r="F487" t="s">
        <v>83</v>
      </c>
      <c r="G487">
        <v>1</v>
      </c>
      <c r="H487">
        <v>69</v>
      </c>
      <c r="I487">
        <v>14.68</v>
      </c>
      <c r="J487">
        <v>6.7</v>
      </c>
      <c r="K487">
        <v>1</v>
      </c>
      <c r="L487">
        <v>2.0299999999999998</v>
      </c>
      <c r="M487">
        <v>1.1000000000000001</v>
      </c>
      <c r="N487">
        <v>10.83</v>
      </c>
      <c r="O487">
        <v>3.85</v>
      </c>
      <c r="P487">
        <v>18.11</v>
      </c>
      <c r="Q487" s="4">
        <v>0.26249</v>
      </c>
      <c r="R487" t="s">
        <v>962</v>
      </c>
    </row>
    <row r="488" spans="1:18">
      <c r="A488" t="s">
        <v>963</v>
      </c>
      <c r="B488" t="s">
        <v>107</v>
      </c>
      <c r="C488" t="s">
        <v>41</v>
      </c>
      <c r="D488" t="s">
        <v>42</v>
      </c>
      <c r="E488" t="s">
        <v>122</v>
      </c>
      <c r="F488" t="s">
        <v>123</v>
      </c>
      <c r="G488">
        <v>2</v>
      </c>
      <c r="H488">
        <v>239.2</v>
      </c>
      <c r="I488">
        <v>50.89</v>
      </c>
      <c r="J488">
        <v>21.45</v>
      </c>
      <c r="K488">
        <v>1</v>
      </c>
      <c r="L488">
        <v>6.48</v>
      </c>
      <c r="M488">
        <v>3.81</v>
      </c>
      <c r="N488">
        <v>32.74</v>
      </c>
      <c r="O488">
        <v>18.149999999999999</v>
      </c>
      <c r="P488">
        <v>85.31</v>
      </c>
      <c r="Q488" s="4">
        <v>0.35663</v>
      </c>
      <c r="R488" t="s">
        <v>964</v>
      </c>
    </row>
    <row r="489" spans="1:18">
      <c r="A489" t="s">
        <v>965</v>
      </c>
      <c r="B489" t="s">
        <v>622</v>
      </c>
      <c r="C489" t="s">
        <v>39</v>
      </c>
      <c r="D489" t="s">
        <v>40</v>
      </c>
      <c r="E489" t="s">
        <v>82</v>
      </c>
      <c r="F489" t="s">
        <v>83</v>
      </c>
      <c r="G489">
        <v>1</v>
      </c>
      <c r="H489">
        <v>69</v>
      </c>
      <c r="I489">
        <v>14.68</v>
      </c>
      <c r="J489">
        <v>6.7</v>
      </c>
      <c r="K489">
        <v>1</v>
      </c>
      <c r="L489">
        <v>2.0299999999999998</v>
      </c>
      <c r="M489">
        <v>1.1000000000000001</v>
      </c>
      <c r="N489">
        <v>10.83</v>
      </c>
      <c r="O489">
        <v>3.85</v>
      </c>
      <c r="P489">
        <v>18.11</v>
      </c>
      <c r="Q489" s="4">
        <v>0.26249</v>
      </c>
      <c r="R489" t="s">
        <v>966</v>
      </c>
    </row>
    <row r="490" spans="1:18">
      <c r="A490" t="s">
        <v>967</v>
      </c>
      <c r="B490" t="s">
        <v>622</v>
      </c>
      <c r="C490" t="s">
        <v>39</v>
      </c>
      <c r="D490" t="s">
        <v>40</v>
      </c>
      <c r="E490" t="s">
        <v>82</v>
      </c>
      <c r="F490" t="s">
        <v>83</v>
      </c>
      <c r="G490">
        <v>1</v>
      </c>
      <c r="H490">
        <v>69</v>
      </c>
      <c r="I490">
        <v>14.68</v>
      </c>
      <c r="J490">
        <v>6.7</v>
      </c>
      <c r="K490">
        <v>1</v>
      </c>
      <c r="L490">
        <v>2.0299999999999998</v>
      </c>
      <c r="M490">
        <v>1.1000000000000001</v>
      </c>
      <c r="N490">
        <v>10.83</v>
      </c>
      <c r="O490">
        <v>3.85</v>
      </c>
      <c r="P490">
        <v>18.11</v>
      </c>
      <c r="Q490" s="4">
        <v>0.26249</v>
      </c>
      <c r="R490" t="s">
        <v>968</v>
      </c>
    </row>
    <row r="491" spans="1:18">
      <c r="A491" t="s">
        <v>969</v>
      </c>
      <c r="B491" t="s">
        <v>622</v>
      </c>
      <c r="C491" t="s">
        <v>39</v>
      </c>
      <c r="D491" t="s">
        <v>40</v>
      </c>
      <c r="E491" t="s">
        <v>82</v>
      </c>
      <c r="F491" t="s">
        <v>83</v>
      </c>
      <c r="G491">
        <v>1</v>
      </c>
      <c r="H491">
        <v>69</v>
      </c>
      <c r="I491">
        <v>14.68</v>
      </c>
      <c r="J491">
        <v>6.7</v>
      </c>
      <c r="K491">
        <v>1</v>
      </c>
      <c r="L491">
        <v>2.0299999999999998</v>
      </c>
      <c r="M491">
        <v>1.1000000000000001</v>
      </c>
      <c r="N491">
        <v>10.83</v>
      </c>
      <c r="O491">
        <v>3.85</v>
      </c>
      <c r="P491">
        <v>18.11</v>
      </c>
      <c r="Q491" s="4">
        <v>0.26249</v>
      </c>
      <c r="R491" t="s">
        <v>970</v>
      </c>
    </row>
    <row r="492" spans="1:18">
      <c r="A492" t="s">
        <v>971</v>
      </c>
      <c r="B492" t="s">
        <v>622</v>
      </c>
      <c r="C492" t="s">
        <v>43</v>
      </c>
      <c r="D492" t="s">
        <v>44</v>
      </c>
      <c r="E492" t="s">
        <v>82</v>
      </c>
      <c r="F492" t="s">
        <v>86</v>
      </c>
      <c r="G492">
        <v>1</v>
      </c>
      <c r="H492">
        <v>125</v>
      </c>
      <c r="I492">
        <v>26.6</v>
      </c>
      <c r="J492">
        <v>13.4</v>
      </c>
      <c r="K492">
        <v>1</v>
      </c>
      <c r="L492">
        <v>3.49</v>
      </c>
      <c r="M492">
        <v>1.99</v>
      </c>
      <c r="N492">
        <v>19.88</v>
      </c>
      <c r="O492">
        <v>6.71</v>
      </c>
      <c r="P492">
        <v>31.55</v>
      </c>
      <c r="Q492" s="4">
        <v>0.25235999999999997</v>
      </c>
      <c r="R492" t="s">
        <v>972</v>
      </c>
    </row>
    <row r="493" spans="1:18">
      <c r="A493" t="s">
        <v>973</v>
      </c>
      <c r="B493" t="s">
        <v>107</v>
      </c>
      <c r="C493" t="s">
        <v>48</v>
      </c>
      <c r="D493" t="s">
        <v>49</v>
      </c>
      <c r="E493" t="s">
        <v>82</v>
      </c>
      <c r="F493" t="s">
        <v>102</v>
      </c>
      <c r="G493">
        <v>1</v>
      </c>
      <c r="H493">
        <v>94</v>
      </c>
      <c r="I493">
        <v>20</v>
      </c>
      <c r="J493">
        <v>3.35</v>
      </c>
      <c r="K493">
        <v>1</v>
      </c>
      <c r="L493">
        <v>2.68</v>
      </c>
      <c r="M493">
        <v>1.5</v>
      </c>
      <c r="N493">
        <v>8.5299999999999994</v>
      </c>
      <c r="O493">
        <v>11.47</v>
      </c>
      <c r="P493">
        <v>53.91</v>
      </c>
      <c r="Q493" s="4">
        <v>0.57352999999999998</v>
      </c>
      <c r="R493" t="s">
        <v>974</v>
      </c>
    </row>
    <row r="494" spans="1:18">
      <c r="A494" t="s">
        <v>973</v>
      </c>
      <c r="B494" t="s">
        <v>107</v>
      </c>
      <c r="C494" t="s">
        <v>50</v>
      </c>
      <c r="D494" t="s">
        <v>51</v>
      </c>
      <c r="E494" t="s">
        <v>82</v>
      </c>
      <c r="F494" t="s">
        <v>92</v>
      </c>
      <c r="G494">
        <v>1</v>
      </c>
      <c r="H494">
        <v>94</v>
      </c>
      <c r="I494">
        <v>20</v>
      </c>
      <c r="J494">
        <v>3.35</v>
      </c>
      <c r="K494">
        <v>1</v>
      </c>
      <c r="L494">
        <v>2.68</v>
      </c>
      <c r="M494">
        <v>1.5</v>
      </c>
      <c r="N494">
        <v>8.5299999999999994</v>
      </c>
      <c r="O494">
        <v>11.47</v>
      </c>
      <c r="P494">
        <v>53.91</v>
      </c>
      <c r="Q494" s="4">
        <v>0.57352999999999998</v>
      </c>
      <c r="R494" t="s">
        <v>974</v>
      </c>
    </row>
    <row r="495" spans="1:18">
      <c r="A495" t="s">
        <v>975</v>
      </c>
      <c r="B495" t="s">
        <v>107</v>
      </c>
      <c r="C495" t="s">
        <v>48</v>
      </c>
      <c r="D495" t="s">
        <v>49</v>
      </c>
      <c r="E495" t="s">
        <v>82</v>
      </c>
      <c r="F495" t="s">
        <v>102</v>
      </c>
      <c r="G495">
        <v>1</v>
      </c>
      <c r="H495">
        <v>47</v>
      </c>
      <c r="I495">
        <v>10</v>
      </c>
      <c r="J495">
        <v>3.35</v>
      </c>
      <c r="K495">
        <v>1</v>
      </c>
      <c r="L495">
        <v>1.45</v>
      </c>
      <c r="M495">
        <v>0.75</v>
      </c>
      <c r="N495">
        <v>6.55</v>
      </c>
      <c r="O495">
        <v>3.45</v>
      </c>
      <c r="P495">
        <v>16.21</v>
      </c>
      <c r="Q495" s="4">
        <v>0.34486</v>
      </c>
      <c r="R495" t="s">
        <v>976</v>
      </c>
    </row>
    <row r="496" spans="1:18">
      <c r="A496" t="s">
        <v>977</v>
      </c>
      <c r="B496" t="s">
        <v>622</v>
      </c>
      <c r="C496" t="s">
        <v>54</v>
      </c>
      <c r="D496" t="s">
        <v>44</v>
      </c>
      <c r="E496" t="s">
        <v>82</v>
      </c>
      <c r="F496" t="s">
        <v>164</v>
      </c>
      <c r="G496">
        <v>1</v>
      </c>
      <c r="H496">
        <v>136.5</v>
      </c>
      <c r="I496">
        <v>29.04</v>
      </c>
      <c r="J496">
        <v>13.4</v>
      </c>
      <c r="K496">
        <v>1</v>
      </c>
      <c r="L496">
        <v>3.79</v>
      </c>
      <c r="M496">
        <v>2.1800000000000002</v>
      </c>
      <c r="N496">
        <v>20.37</v>
      </c>
      <c r="O496">
        <v>8.67</v>
      </c>
      <c r="P496">
        <v>40.770000000000003</v>
      </c>
      <c r="Q496" s="4">
        <v>0.29868</v>
      </c>
      <c r="R496" t="s">
        <v>978</v>
      </c>
    </row>
    <row r="497" spans="1:18">
      <c r="A497" t="s">
        <v>979</v>
      </c>
      <c r="B497" t="s">
        <v>622</v>
      </c>
      <c r="C497" t="s">
        <v>43</v>
      </c>
      <c r="D497" t="s">
        <v>44</v>
      </c>
      <c r="E497" t="s">
        <v>82</v>
      </c>
      <c r="F497" t="s">
        <v>86</v>
      </c>
      <c r="G497">
        <v>1</v>
      </c>
      <c r="H497">
        <v>70</v>
      </c>
      <c r="I497">
        <v>14.89</v>
      </c>
      <c r="J497">
        <v>13.4</v>
      </c>
      <c r="K497">
        <v>1</v>
      </c>
      <c r="L497">
        <v>2.0499999999999998</v>
      </c>
      <c r="M497">
        <v>1.1200000000000001</v>
      </c>
      <c r="N497">
        <v>17.57</v>
      </c>
      <c r="O497">
        <v>-2.68</v>
      </c>
      <c r="P497">
        <v>-12.58</v>
      </c>
      <c r="Q497" s="4">
        <v>-0.17965999999999999</v>
      </c>
      <c r="R497" t="s">
        <v>980</v>
      </c>
    </row>
    <row r="498" spans="1:18">
      <c r="A498" t="s">
        <v>981</v>
      </c>
      <c r="B498" t="s">
        <v>622</v>
      </c>
      <c r="C498" t="s">
        <v>39</v>
      </c>
      <c r="D498" t="s">
        <v>40</v>
      </c>
      <c r="E498" t="s">
        <v>82</v>
      </c>
      <c r="F498" t="s">
        <v>83</v>
      </c>
      <c r="G498">
        <v>1</v>
      </c>
      <c r="H498">
        <v>69</v>
      </c>
      <c r="I498">
        <v>14.68</v>
      </c>
      <c r="J498">
        <v>6.7</v>
      </c>
      <c r="K498">
        <v>1</v>
      </c>
      <c r="L498">
        <v>2.0299999999999998</v>
      </c>
      <c r="M498">
        <v>1.1000000000000001</v>
      </c>
      <c r="N498">
        <v>10.83</v>
      </c>
      <c r="O498">
        <v>3.85</v>
      </c>
      <c r="P498">
        <v>18.11</v>
      </c>
      <c r="Q498" s="4">
        <v>0.26249</v>
      </c>
      <c r="R498" t="s">
        <v>982</v>
      </c>
    </row>
    <row r="499" spans="1:18">
      <c r="A499" t="s">
        <v>983</v>
      </c>
      <c r="B499" t="s">
        <v>622</v>
      </c>
      <c r="C499" t="s">
        <v>39</v>
      </c>
      <c r="D499" t="s">
        <v>40</v>
      </c>
      <c r="E499" t="s">
        <v>82</v>
      </c>
      <c r="F499" t="s">
        <v>83</v>
      </c>
      <c r="G499">
        <v>1</v>
      </c>
      <c r="H499">
        <v>69</v>
      </c>
      <c r="I499">
        <v>14.68</v>
      </c>
      <c r="J499">
        <v>6.7</v>
      </c>
      <c r="K499">
        <v>1</v>
      </c>
      <c r="L499">
        <v>2.0299999999999998</v>
      </c>
      <c r="M499">
        <v>1.1000000000000001</v>
      </c>
      <c r="N499">
        <v>10.83</v>
      </c>
      <c r="O499">
        <v>3.85</v>
      </c>
      <c r="P499">
        <v>18.11</v>
      </c>
      <c r="Q499" s="4">
        <v>0.26249</v>
      </c>
      <c r="R499" t="s">
        <v>984</v>
      </c>
    </row>
    <row r="500" spans="1:18">
      <c r="A500" t="s">
        <v>985</v>
      </c>
      <c r="B500" t="s">
        <v>622</v>
      </c>
      <c r="C500" t="s">
        <v>43</v>
      </c>
      <c r="D500" t="s">
        <v>44</v>
      </c>
      <c r="E500" t="s">
        <v>82</v>
      </c>
      <c r="F500" t="s">
        <v>86</v>
      </c>
      <c r="G500">
        <v>1</v>
      </c>
      <c r="H500">
        <v>120</v>
      </c>
      <c r="I500">
        <v>25.53</v>
      </c>
      <c r="J500">
        <v>13.4</v>
      </c>
      <c r="K500">
        <v>1</v>
      </c>
      <c r="L500">
        <v>3.36</v>
      </c>
      <c r="M500">
        <v>1.91</v>
      </c>
      <c r="N500">
        <v>19.670000000000002</v>
      </c>
      <c r="O500">
        <v>5.86</v>
      </c>
      <c r="P500">
        <v>27.53</v>
      </c>
      <c r="Q500" s="4">
        <v>0.22944999999999999</v>
      </c>
      <c r="R500" t="s">
        <v>986</v>
      </c>
    </row>
    <row r="501" spans="1:18">
      <c r="A501" t="s">
        <v>987</v>
      </c>
      <c r="B501" t="s">
        <v>107</v>
      </c>
      <c r="C501" t="s">
        <v>39</v>
      </c>
      <c r="D501" t="s">
        <v>40</v>
      </c>
      <c r="E501" t="s">
        <v>82</v>
      </c>
      <c r="F501" t="s">
        <v>83</v>
      </c>
      <c r="G501">
        <v>1</v>
      </c>
      <c r="H501">
        <v>69</v>
      </c>
      <c r="I501">
        <v>14.68</v>
      </c>
      <c r="J501">
        <v>6.7</v>
      </c>
      <c r="K501">
        <v>1</v>
      </c>
      <c r="L501">
        <v>2.0299999999999998</v>
      </c>
      <c r="M501">
        <v>1.1000000000000001</v>
      </c>
      <c r="N501">
        <v>10.83</v>
      </c>
      <c r="O501">
        <v>3.85</v>
      </c>
      <c r="P501">
        <v>18.11</v>
      </c>
      <c r="Q501" s="4">
        <v>0.26249</v>
      </c>
      <c r="R501" t="s">
        <v>988</v>
      </c>
    </row>
    <row r="502" spans="1:18">
      <c r="A502" t="s">
        <v>989</v>
      </c>
      <c r="B502" t="s">
        <v>622</v>
      </c>
      <c r="C502" t="s">
        <v>39</v>
      </c>
      <c r="D502" t="s">
        <v>40</v>
      </c>
      <c r="E502" t="s">
        <v>82</v>
      </c>
      <c r="F502" t="s">
        <v>83</v>
      </c>
      <c r="G502">
        <v>1</v>
      </c>
      <c r="H502">
        <v>69</v>
      </c>
      <c r="I502">
        <v>14.68</v>
      </c>
      <c r="J502">
        <v>6.7</v>
      </c>
      <c r="K502">
        <v>1</v>
      </c>
      <c r="L502">
        <v>2.0299999999999998</v>
      </c>
      <c r="M502">
        <v>1.1000000000000001</v>
      </c>
      <c r="N502">
        <v>10.83</v>
      </c>
      <c r="O502">
        <v>3.85</v>
      </c>
      <c r="P502">
        <v>18.11</v>
      </c>
      <c r="Q502" s="4">
        <v>0.26249</v>
      </c>
      <c r="R502" t="s">
        <v>990</v>
      </c>
    </row>
    <row r="503" spans="1:18">
      <c r="A503" t="s">
        <v>991</v>
      </c>
      <c r="B503" t="s">
        <v>622</v>
      </c>
      <c r="C503" t="s">
        <v>43</v>
      </c>
      <c r="D503" t="s">
        <v>44</v>
      </c>
      <c r="E503" t="s">
        <v>82</v>
      </c>
      <c r="F503" t="s">
        <v>86</v>
      </c>
      <c r="G503">
        <v>1</v>
      </c>
      <c r="H503">
        <v>120</v>
      </c>
      <c r="I503">
        <v>25.53</v>
      </c>
      <c r="J503">
        <v>13.4</v>
      </c>
      <c r="K503">
        <v>1</v>
      </c>
      <c r="L503">
        <v>3.36</v>
      </c>
      <c r="M503">
        <v>1.91</v>
      </c>
      <c r="N503">
        <v>19.670000000000002</v>
      </c>
      <c r="O503">
        <v>5.86</v>
      </c>
      <c r="P503">
        <v>27.53</v>
      </c>
      <c r="Q503" s="4">
        <v>0.22944999999999999</v>
      </c>
      <c r="R503" t="s">
        <v>992</v>
      </c>
    </row>
    <row r="504" spans="1:18">
      <c r="A504" t="s">
        <v>993</v>
      </c>
      <c r="B504" t="s">
        <v>622</v>
      </c>
      <c r="C504" t="s">
        <v>56</v>
      </c>
      <c r="D504" t="s">
        <v>57</v>
      </c>
      <c r="E504" t="s">
        <v>133</v>
      </c>
      <c r="F504" t="s">
        <v>134</v>
      </c>
      <c r="G504">
        <v>1</v>
      </c>
      <c r="H504">
        <v>364.5</v>
      </c>
      <c r="I504">
        <v>77.55</v>
      </c>
      <c r="J504">
        <v>40.25</v>
      </c>
      <c r="K504">
        <v>2</v>
      </c>
      <c r="L504">
        <v>9.75</v>
      </c>
      <c r="M504">
        <v>5.81</v>
      </c>
      <c r="N504">
        <v>57.82</v>
      </c>
      <c r="O504">
        <v>19.739999999999998</v>
      </c>
      <c r="P504">
        <v>92.76</v>
      </c>
      <c r="Q504" s="4">
        <v>0.25448999999999999</v>
      </c>
      <c r="R504" t="s">
        <v>994</v>
      </c>
    </row>
    <row r="505" spans="1:18">
      <c r="A505" t="s">
        <v>995</v>
      </c>
      <c r="B505" t="s">
        <v>622</v>
      </c>
      <c r="C505" t="s">
        <v>43</v>
      </c>
      <c r="D505" t="s">
        <v>44</v>
      </c>
      <c r="E505" t="s">
        <v>82</v>
      </c>
      <c r="F505" t="s">
        <v>86</v>
      </c>
      <c r="G505">
        <v>1</v>
      </c>
      <c r="H505">
        <v>115</v>
      </c>
      <c r="I505">
        <v>24.47</v>
      </c>
      <c r="J505">
        <v>13.4</v>
      </c>
      <c r="K505">
        <v>1</v>
      </c>
      <c r="L505">
        <v>3.23</v>
      </c>
      <c r="M505">
        <v>1.83</v>
      </c>
      <c r="N505">
        <v>19.46</v>
      </c>
      <c r="O505">
        <v>5</v>
      </c>
      <c r="P505">
        <v>23.52</v>
      </c>
      <c r="Q505" s="4">
        <v>0.20455000000000001</v>
      </c>
      <c r="R505" t="s">
        <v>996</v>
      </c>
    </row>
    <row r="506" spans="1:18">
      <c r="A506" t="s">
        <v>997</v>
      </c>
      <c r="B506" t="s">
        <v>107</v>
      </c>
      <c r="C506" t="s">
        <v>39</v>
      </c>
      <c r="D506" t="s">
        <v>40</v>
      </c>
      <c r="E506" t="s">
        <v>82</v>
      </c>
      <c r="F506" t="s">
        <v>83</v>
      </c>
      <c r="G506">
        <v>1</v>
      </c>
      <c r="H506">
        <v>64.86</v>
      </c>
      <c r="I506">
        <v>13.8</v>
      </c>
      <c r="J506">
        <v>6.7</v>
      </c>
      <c r="K506">
        <v>1</v>
      </c>
      <c r="L506">
        <v>1.92</v>
      </c>
      <c r="M506">
        <v>1.03</v>
      </c>
      <c r="N506">
        <v>10.65</v>
      </c>
      <c r="O506">
        <v>3.15</v>
      </c>
      <c r="P506">
        <v>14.79</v>
      </c>
      <c r="Q506" s="4">
        <v>0.22803999999999999</v>
      </c>
      <c r="R506" t="s">
        <v>998</v>
      </c>
    </row>
    <row r="507" spans="1:18">
      <c r="A507" t="s">
        <v>999</v>
      </c>
      <c r="B507" t="s">
        <v>622</v>
      </c>
      <c r="C507" t="s">
        <v>50</v>
      </c>
      <c r="D507" t="s">
        <v>51</v>
      </c>
      <c r="E507" t="s">
        <v>82</v>
      </c>
      <c r="F507" t="s">
        <v>92</v>
      </c>
      <c r="G507">
        <v>2</v>
      </c>
      <c r="H507">
        <v>94</v>
      </c>
      <c r="I507">
        <v>20</v>
      </c>
      <c r="J507">
        <v>6.7</v>
      </c>
      <c r="K507">
        <v>1</v>
      </c>
      <c r="L507">
        <v>2.68</v>
      </c>
      <c r="M507">
        <v>1.5</v>
      </c>
      <c r="N507">
        <v>11.88</v>
      </c>
      <c r="O507">
        <v>8.1199999999999992</v>
      </c>
      <c r="P507">
        <v>38.17</v>
      </c>
      <c r="Q507" s="4">
        <v>0.40603</v>
      </c>
      <c r="R507" t="s">
        <v>1000</v>
      </c>
    </row>
    <row r="508" spans="1:18">
      <c r="A508" t="s">
        <v>1001</v>
      </c>
      <c r="B508" t="s">
        <v>107</v>
      </c>
      <c r="C508" t="s">
        <v>41</v>
      </c>
      <c r="D508" t="s">
        <v>42</v>
      </c>
      <c r="E508" t="s">
        <v>122</v>
      </c>
      <c r="F508" t="s">
        <v>123</v>
      </c>
      <c r="G508">
        <v>1</v>
      </c>
      <c r="H508">
        <v>125</v>
      </c>
      <c r="I508">
        <v>26.6</v>
      </c>
      <c r="J508">
        <v>10.73</v>
      </c>
      <c r="K508">
        <v>1</v>
      </c>
      <c r="L508">
        <v>3.49</v>
      </c>
      <c r="M508">
        <v>1.99</v>
      </c>
      <c r="N508">
        <v>17.21</v>
      </c>
      <c r="O508">
        <v>9.39</v>
      </c>
      <c r="P508">
        <v>44.11</v>
      </c>
      <c r="Q508" s="4">
        <v>0.35288000000000003</v>
      </c>
      <c r="R508" t="s">
        <v>1002</v>
      </c>
    </row>
    <row r="509" spans="1:18">
      <c r="A509" t="s">
        <v>1003</v>
      </c>
      <c r="B509" t="s">
        <v>622</v>
      </c>
      <c r="C509" t="s">
        <v>48</v>
      </c>
      <c r="D509" t="s">
        <v>49</v>
      </c>
      <c r="E509" t="s">
        <v>82</v>
      </c>
      <c r="F509" t="s">
        <v>102</v>
      </c>
      <c r="G509">
        <v>1</v>
      </c>
      <c r="H509">
        <v>44.18</v>
      </c>
      <c r="I509">
        <v>9.4</v>
      </c>
      <c r="J509">
        <v>3.35</v>
      </c>
      <c r="K509">
        <v>1</v>
      </c>
      <c r="L509">
        <v>1.38</v>
      </c>
      <c r="M509">
        <v>0.7</v>
      </c>
      <c r="N509">
        <v>6.43</v>
      </c>
      <c r="O509">
        <v>2.97</v>
      </c>
      <c r="P509">
        <v>13.95</v>
      </c>
      <c r="Q509" s="4">
        <v>0.31567000000000001</v>
      </c>
      <c r="R509" t="s">
        <v>1004</v>
      </c>
    </row>
    <row r="510" spans="1:18">
      <c r="A510" t="s">
        <v>1005</v>
      </c>
      <c r="B510" t="s">
        <v>622</v>
      </c>
      <c r="C510" t="s">
        <v>45</v>
      </c>
      <c r="D510" t="s">
        <v>46</v>
      </c>
      <c r="E510" t="s">
        <v>82</v>
      </c>
      <c r="F510" t="s">
        <v>97</v>
      </c>
      <c r="G510">
        <v>1</v>
      </c>
      <c r="H510">
        <v>157.13</v>
      </c>
      <c r="I510">
        <v>33.43</v>
      </c>
      <c r="J510">
        <v>20.100000000000001</v>
      </c>
      <c r="K510">
        <v>1</v>
      </c>
      <c r="L510">
        <v>4.33</v>
      </c>
      <c r="M510">
        <v>2.5</v>
      </c>
      <c r="N510">
        <v>27.94</v>
      </c>
      <c r="O510">
        <v>5.5</v>
      </c>
      <c r="P510">
        <v>25.83</v>
      </c>
      <c r="Q510" s="4">
        <v>0.16438</v>
      </c>
      <c r="R510" t="s">
        <v>1006</v>
      </c>
    </row>
    <row r="511" spans="1:18">
      <c r="A511" t="s">
        <v>1007</v>
      </c>
      <c r="B511" t="s">
        <v>622</v>
      </c>
      <c r="C511" t="s">
        <v>58</v>
      </c>
      <c r="D511" t="s">
        <v>59</v>
      </c>
      <c r="E511" t="s">
        <v>705</v>
      </c>
      <c r="F511" t="s">
        <v>155</v>
      </c>
      <c r="G511">
        <v>1</v>
      </c>
      <c r="H511">
        <v>97</v>
      </c>
      <c r="I511">
        <v>20.64</v>
      </c>
      <c r="J511">
        <v>12.2</v>
      </c>
      <c r="K511">
        <v>0.5</v>
      </c>
      <c r="L511">
        <v>2.76</v>
      </c>
      <c r="M511">
        <v>1.55</v>
      </c>
      <c r="N511">
        <v>17.010000000000002</v>
      </c>
      <c r="O511">
        <v>3.63</v>
      </c>
      <c r="P511">
        <v>17.07</v>
      </c>
      <c r="Q511" s="4">
        <v>0.17601</v>
      </c>
      <c r="R511" t="s">
        <v>1008</v>
      </c>
    </row>
    <row r="512" spans="1:18">
      <c r="A512" t="s">
        <v>1009</v>
      </c>
      <c r="B512" t="s">
        <v>622</v>
      </c>
      <c r="C512" t="s">
        <v>39</v>
      </c>
      <c r="D512" t="s">
        <v>40</v>
      </c>
      <c r="E512" t="s">
        <v>82</v>
      </c>
      <c r="F512" t="s">
        <v>83</v>
      </c>
      <c r="G512">
        <v>1</v>
      </c>
      <c r="H512">
        <v>138</v>
      </c>
      <c r="I512">
        <v>29.36</v>
      </c>
      <c r="J512">
        <v>6.7</v>
      </c>
      <c r="K512">
        <v>1</v>
      </c>
      <c r="L512">
        <v>3.83</v>
      </c>
      <c r="M512">
        <v>2.2000000000000002</v>
      </c>
      <c r="N512">
        <v>13.73</v>
      </c>
      <c r="O512">
        <v>15.63</v>
      </c>
      <c r="P512">
        <v>73.459999999999994</v>
      </c>
      <c r="Q512" s="4">
        <v>0.53234000000000004</v>
      </c>
      <c r="R512" t="s">
        <v>1010</v>
      </c>
    </row>
    <row r="513" spans="1:18">
      <c r="A513" t="s">
        <v>1009</v>
      </c>
      <c r="B513" t="s">
        <v>622</v>
      </c>
      <c r="C513" t="s">
        <v>47</v>
      </c>
      <c r="D513" t="s">
        <v>40</v>
      </c>
      <c r="E513" t="s">
        <v>82</v>
      </c>
      <c r="F513" t="s">
        <v>90</v>
      </c>
      <c r="G513">
        <v>1</v>
      </c>
      <c r="H513">
        <v>138</v>
      </c>
      <c r="I513">
        <v>29.36</v>
      </c>
      <c r="J513">
        <v>6.7</v>
      </c>
      <c r="K513">
        <v>1</v>
      </c>
      <c r="L513">
        <v>3.83</v>
      </c>
      <c r="M513">
        <v>2.2000000000000002</v>
      </c>
      <c r="N513">
        <v>13.73</v>
      </c>
      <c r="O513">
        <v>15.63</v>
      </c>
      <c r="P513">
        <v>73.459999999999994</v>
      </c>
      <c r="Q513" s="4">
        <v>0.53234000000000004</v>
      </c>
      <c r="R513" t="s">
        <v>1010</v>
      </c>
    </row>
    <row r="514" spans="1:18">
      <c r="A514" t="s">
        <v>1011</v>
      </c>
      <c r="B514" t="s">
        <v>622</v>
      </c>
      <c r="C514" t="s">
        <v>45</v>
      </c>
      <c r="D514" t="s">
        <v>46</v>
      </c>
      <c r="E514" t="s">
        <v>82</v>
      </c>
      <c r="F514" t="s">
        <v>97</v>
      </c>
      <c r="G514">
        <v>1</v>
      </c>
      <c r="H514">
        <v>167</v>
      </c>
      <c r="I514">
        <v>35.53</v>
      </c>
      <c r="J514">
        <v>20.100000000000001</v>
      </c>
      <c r="K514">
        <v>1</v>
      </c>
      <c r="L514">
        <v>4.59</v>
      </c>
      <c r="M514">
        <v>2.66</v>
      </c>
      <c r="N514">
        <v>28.35</v>
      </c>
      <c r="O514">
        <v>7.18</v>
      </c>
      <c r="P514">
        <v>33.75</v>
      </c>
      <c r="Q514" s="4">
        <v>0.20208000000000001</v>
      </c>
      <c r="R514" t="s">
        <v>1012</v>
      </c>
    </row>
    <row r="515" spans="1:18">
      <c r="A515" t="s">
        <v>1013</v>
      </c>
      <c r="B515" t="s">
        <v>622</v>
      </c>
      <c r="C515" t="s">
        <v>47</v>
      </c>
      <c r="D515" t="s">
        <v>40</v>
      </c>
      <c r="E515" t="s">
        <v>82</v>
      </c>
      <c r="F515" t="s">
        <v>90</v>
      </c>
      <c r="G515">
        <v>1</v>
      </c>
      <c r="H515">
        <v>68</v>
      </c>
      <c r="I515">
        <v>14.47</v>
      </c>
      <c r="J515">
        <v>6.7</v>
      </c>
      <c r="K515">
        <v>1</v>
      </c>
      <c r="L515">
        <v>2</v>
      </c>
      <c r="M515">
        <v>1.08</v>
      </c>
      <c r="N515">
        <v>10.79</v>
      </c>
      <c r="O515">
        <v>3.68</v>
      </c>
      <c r="P515">
        <v>17.309999999999999</v>
      </c>
      <c r="Q515" s="4">
        <v>0.25455</v>
      </c>
      <c r="R515" t="s">
        <v>1014</v>
      </c>
    </row>
    <row r="516" spans="1:18">
      <c r="A516" t="s">
        <v>1015</v>
      </c>
      <c r="B516" t="s">
        <v>622</v>
      </c>
      <c r="C516" t="s">
        <v>43</v>
      </c>
      <c r="D516" t="s">
        <v>44</v>
      </c>
      <c r="E516" t="s">
        <v>82</v>
      </c>
      <c r="F516" t="s">
        <v>86</v>
      </c>
      <c r="G516">
        <v>1</v>
      </c>
      <c r="H516">
        <v>60</v>
      </c>
      <c r="I516">
        <v>12.77</v>
      </c>
      <c r="J516">
        <v>13.4</v>
      </c>
      <c r="K516">
        <v>1</v>
      </c>
      <c r="L516">
        <v>1.79</v>
      </c>
      <c r="M516">
        <v>0.96</v>
      </c>
      <c r="N516">
        <v>17.149999999999999</v>
      </c>
      <c r="O516">
        <v>-4.38</v>
      </c>
      <c r="P516">
        <v>-20.6</v>
      </c>
      <c r="Q516" s="4">
        <v>-0.34329999999999999</v>
      </c>
      <c r="R516" t="s">
        <v>1016</v>
      </c>
    </row>
    <row r="517" spans="1:18">
      <c r="A517" t="s">
        <v>1017</v>
      </c>
      <c r="B517" t="s">
        <v>622</v>
      </c>
      <c r="C517" t="s">
        <v>41</v>
      </c>
      <c r="D517" t="s">
        <v>42</v>
      </c>
      <c r="E517" t="s">
        <v>122</v>
      </c>
      <c r="F517" t="s">
        <v>123</v>
      </c>
      <c r="G517">
        <v>1</v>
      </c>
      <c r="H517">
        <v>106.25</v>
      </c>
      <c r="I517">
        <v>22.61</v>
      </c>
      <c r="J517">
        <v>10.73</v>
      </c>
      <c r="K517">
        <v>1</v>
      </c>
      <c r="L517">
        <v>3</v>
      </c>
      <c r="M517">
        <v>1.69</v>
      </c>
      <c r="N517">
        <v>16.420000000000002</v>
      </c>
      <c r="O517">
        <v>6.18</v>
      </c>
      <c r="P517">
        <v>29.07</v>
      </c>
      <c r="Q517" s="4">
        <v>0.27359</v>
      </c>
      <c r="R517" t="s">
        <v>1018</v>
      </c>
    </row>
    <row r="518" spans="1:18">
      <c r="A518" t="s">
        <v>1019</v>
      </c>
      <c r="B518" t="s">
        <v>622</v>
      </c>
      <c r="C518" t="s">
        <v>43</v>
      </c>
      <c r="D518" t="s">
        <v>44</v>
      </c>
      <c r="E518" t="s">
        <v>82</v>
      </c>
      <c r="F518" t="s">
        <v>86</v>
      </c>
      <c r="G518">
        <v>1</v>
      </c>
      <c r="H518">
        <v>166.98</v>
      </c>
      <c r="I518">
        <v>35.53</v>
      </c>
      <c r="J518">
        <v>13.4</v>
      </c>
      <c r="K518">
        <v>1</v>
      </c>
      <c r="L518">
        <v>4.59</v>
      </c>
      <c r="M518">
        <v>2.66</v>
      </c>
      <c r="N518">
        <v>21.65</v>
      </c>
      <c r="O518">
        <v>13.88</v>
      </c>
      <c r="P518">
        <v>65.22</v>
      </c>
      <c r="Q518" s="4">
        <v>0.39058999999999999</v>
      </c>
      <c r="R518" t="s">
        <v>1020</v>
      </c>
    </row>
    <row r="519" spans="1:18">
      <c r="A519" t="s">
        <v>1019</v>
      </c>
      <c r="B519" t="s">
        <v>622</v>
      </c>
      <c r="C519" t="s">
        <v>50</v>
      </c>
      <c r="D519" t="s">
        <v>51</v>
      </c>
      <c r="E519" t="s">
        <v>82</v>
      </c>
      <c r="F519" t="s">
        <v>92</v>
      </c>
      <c r="G519">
        <v>1</v>
      </c>
      <c r="H519">
        <v>166.98</v>
      </c>
      <c r="I519">
        <v>35.53</v>
      </c>
      <c r="J519">
        <v>3.35</v>
      </c>
      <c r="K519">
        <v>1</v>
      </c>
      <c r="L519">
        <v>4.59</v>
      </c>
      <c r="M519">
        <v>2.66</v>
      </c>
      <c r="N519">
        <v>11.6</v>
      </c>
      <c r="O519">
        <v>23.93</v>
      </c>
      <c r="P519">
        <v>112.46</v>
      </c>
      <c r="Q519" s="4">
        <v>0.67347000000000001</v>
      </c>
      <c r="R519" t="s">
        <v>1020</v>
      </c>
    </row>
    <row r="520" spans="1:18">
      <c r="A520" t="s">
        <v>1021</v>
      </c>
      <c r="B520" t="s">
        <v>107</v>
      </c>
      <c r="C520" t="s">
        <v>43</v>
      </c>
      <c r="D520" t="s">
        <v>44</v>
      </c>
      <c r="E520" t="s">
        <v>82</v>
      </c>
      <c r="F520" t="s">
        <v>86</v>
      </c>
      <c r="G520">
        <v>1</v>
      </c>
      <c r="H520">
        <v>120</v>
      </c>
      <c r="I520">
        <v>25.53</v>
      </c>
      <c r="J520">
        <v>13.4</v>
      </c>
      <c r="K520">
        <v>1</v>
      </c>
      <c r="L520">
        <v>3.36</v>
      </c>
      <c r="M520">
        <v>1.91</v>
      </c>
      <c r="N520">
        <v>19.670000000000002</v>
      </c>
      <c r="O520">
        <v>5.86</v>
      </c>
      <c r="P520">
        <v>27.53</v>
      </c>
      <c r="Q520" s="4">
        <v>0.22944999999999999</v>
      </c>
      <c r="R520" t="s">
        <v>1022</v>
      </c>
    </row>
    <row r="521" spans="1:18">
      <c r="A521" t="s">
        <v>1023</v>
      </c>
      <c r="B521" t="s">
        <v>622</v>
      </c>
      <c r="C521" t="s">
        <v>39</v>
      </c>
      <c r="D521" t="s">
        <v>40</v>
      </c>
      <c r="E521" t="s">
        <v>82</v>
      </c>
      <c r="F521" t="s">
        <v>83</v>
      </c>
      <c r="G521">
        <v>1</v>
      </c>
      <c r="H521">
        <v>189</v>
      </c>
      <c r="I521">
        <v>40.21</v>
      </c>
      <c r="J521">
        <v>6.7</v>
      </c>
      <c r="K521">
        <v>1</v>
      </c>
      <c r="L521">
        <v>5.17</v>
      </c>
      <c r="M521">
        <v>3.01</v>
      </c>
      <c r="N521">
        <v>15.88</v>
      </c>
      <c r="O521">
        <v>24.34</v>
      </c>
      <c r="P521">
        <v>114.38</v>
      </c>
      <c r="Q521" s="4">
        <v>0.60516000000000003</v>
      </c>
      <c r="R521" t="s">
        <v>1024</v>
      </c>
    </row>
    <row r="522" spans="1:18">
      <c r="A522" t="s">
        <v>1023</v>
      </c>
      <c r="B522" t="s">
        <v>622</v>
      </c>
      <c r="C522" t="s">
        <v>54</v>
      </c>
      <c r="D522" t="s">
        <v>44</v>
      </c>
      <c r="E522" t="s">
        <v>82</v>
      </c>
      <c r="F522" t="s">
        <v>164</v>
      </c>
      <c r="G522">
        <v>1</v>
      </c>
      <c r="H522">
        <v>189</v>
      </c>
      <c r="I522">
        <v>40.21</v>
      </c>
      <c r="J522">
        <v>13.4</v>
      </c>
      <c r="K522">
        <v>1</v>
      </c>
      <c r="L522">
        <v>5.17</v>
      </c>
      <c r="M522">
        <v>3.01</v>
      </c>
      <c r="N522">
        <v>22.58</v>
      </c>
      <c r="O522">
        <v>17.64</v>
      </c>
      <c r="P522">
        <v>82.89</v>
      </c>
      <c r="Q522" s="4">
        <v>0.43855</v>
      </c>
      <c r="R522" t="s">
        <v>1024</v>
      </c>
    </row>
    <row r="523" spans="1:18">
      <c r="A523" t="s">
        <v>1025</v>
      </c>
      <c r="B523" t="s">
        <v>622</v>
      </c>
      <c r="C523" t="s">
        <v>39</v>
      </c>
      <c r="D523" t="s">
        <v>40</v>
      </c>
      <c r="E523" t="s">
        <v>82</v>
      </c>
      <c r="F523" t="s">
        <v>83</v>
      </c>
      <c r="G523">
        <v>1</v>
      </c>
      <c r="H523">
        <v>148</v>
      </c>
      <c r="I523">
        <v>31.49</v>
      </c>
      <c r="J523">
        <v>6.7</v>
      </c>
      <c r="K523">
        <v>1</v>
      </c>
      <c r="L523">
        <v>4.09</v>
      </c>
      <c r="M523">
        <v>2.36</v>
      </c>
      <c r="N523">
        <v>14.15</v>
      </c>
      <c r="O523">
        <v>17.34</v>
      </c>
      <c r="P523">
        <v>81.489999999999995</v>
      </c>
      <c r="Q523" s="4">
        <v>0.55057999999999996</v>
      </c>
      <c r="R523" t="s">
        <v>1026</v>
      </c>
    </row>
    <row r="524" spans="1:18">
      <c r="A524" t="s">
        <v>1025</v>
      </c>
      <c r="B524" t="s">
        <v>622</v>
      </c>
      <c r="C524" t="s">
        <v>47</v>
      </c>
      <c r="D524" t="s">
        <v>40</v>
      </c>
      <c r="E524" t="s">
        <v>82</v>
      </c>
      <c r="F524" t="s">
        <v>90</v>
      </c>
      <c r="G524">
        <v>1</v>
      </c>
      <c r="H524">
        <v>148</v>
      </c>
      <c r="I524">
        <v>31.49</v>
      </c>
      <c r="J524">
        <v>6.7</v>
      </c>
      <c r="K524">
        <v>1</v>
      </c>
      <c r="L524">
        <v>4.09</v>
      </c>
      <c r="M524">
        <v>2.36</v>
      </c>
      <c r="N524">
        <v>14.15</v>
      </c>
      <c r="O524">
        <v>17.34</v>
      </c>
      <c r="P524">
        <v>81.489999999999995</v>
      </c>
      <c r="Q524" s="4">
        <v>0.55057999999999996</v>
      </c>
      <c r="R524" t="s">
        <v>1026</v>
      </c>
    </row>
    <row r="525" spans="1:18">
      <c r="A525" t="s">
        <v>1027</v>
      </c>
      <c r="B525" t="s">
        <v>622</v>
      </c>
      <c r="C525" t="s">
        <v>45</v>
      </c>
      <c r="D525" t="s">
        <v>46</v>
      </c>
      <c r="E525" t="s">
        <v>1028</v>
      </c>
      <c r="F525" t="s">
        <v>138</v>
      </c>
      <c r="G525">
        <v>2</v>
      </c>
      <c r="H525">
        <v>295.31</v>
      </c>
      <c r="I525">
        <v>62.83</v>
      </c>
      <c r="J525">
        <v>40.200000000000003</v>
      </c>
      <c r="K525">
        <v>1</v>
      </c>
      <c r="L525">
        <v>7.95</v>
      </c>
      <c r="M525">
        <v>4.71</v>
      </c>
      <c r="N525">
        <v>53.85</v>
      </c>
      <c r="O525">
        <v>8.98</v>
      </c>
      <c r="P525">
        <v>42.21</v>
      </c>
      <c r="Q525" s="4">
        <v>0.14293</v>
      </c>
      <c r="R525" t="s">
        <v>1029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4"/>
  <sheetViews>
    <sheetView zoomScale="120" zoomScaleNormal="120" workbookViewId="0">
      <selection activeCell="F19" sqref="F19"/>
    </sheetView>
  </sheetViews>
  <sheetFormatPr baseColWidth="10" defaultColWidth="8.83203125" defaultRowHeight="14"/>
  <cols>
    <col min="1" max="1" width="16" customWidth="1"/>
    <col min="2" max="3" width="10.83203125" customWidth="1"/>
    <col min="4" max="6" width="16" customWidth="1"/>
    <col min="7" max="17" width="10.83203125" customWidth="1"/>
    <col min="18" max="19" width="16" customWidth="1"/>
  </cols>
  <sheetData>
    <row r="1" spans="1:18" ht="16">
      <c r="A1" s="1" t="s">
        <v>70</v>
      </c>
      <c r="B1" s="1" t="s">
        <v>71</v>
      </c>
      <c r="C1" s="1" t="s">
        <v>30</v>
      </c>
      <c r="D1" s="1" t="s">
        <v>31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77</v>
      </c>
      <c r="P1" s="1" t="s">
        <v>78</v>
      </c>
      <c r="Q1" s="1" t="s">
        <v>18</v>
      </c>
      <c r="R1" s="1" t="s">
        <v>79</v>
      </c>
    </row>
    <row r="2" spans="1:18" ht="16">
      <c r="A2" s="1" t="s">
        <v>70</v>
      </c>
      <c r="B2" s="1" t="s">
        <v>71</v>
      </c>
      <c r="C2" s="1" t="s">
        <v>30</v>
      </c>
      <c r="D2" s="1" t="s">
        <v>31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77</v>
      </c>
      <c r="P2" s="1" t="s">
        <v>78</v>
      </c>
      <c r="Q2" s="1" t="s">
        <v>18</v>
      </c>
      <c r="R2" s="1" t="s">
        <v>79</v>
      </c>
    </row>
    <row r="3" spans="1:18">
      <c r="A3" s="2" t="s">
        <v>70</v>
      </c>
      <c r="B3" s="2" t="s">
        <v>71</v>
      </c>
      <c r="C3" s="2" t="s">
        <v>30</v>
      </c>
      <c r="D3" s="2" t="s">
        <v>31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77</v>
      </c>
      <c r="P3" s="2" t="s">
        <v>78</v>
      </c>
      <c r="Q3" s="2" t="s">
        <v>18</v>
      </c>
      <c r="R3" s="2" t="s">
        <v>79</v>
      </c>
    </row>
    <row r="4" spans="1:18">
      <c r="A4" t="s">
        <v>1030</v>
      </c>
      <c r="B4" t="s">
        <v>81</v>
      </c>
      <c r="C4" t="s">
        <v>41</v>
      </c>
      <c r="D4" t="s">
        <v>42</v>
      </c>
      <c r="E4" t="s">
        <v>122</v>
      </c>
      <c r="F4" t="s">
        <v>123</v>
      </c>
      <c r="G4">
        <v>1</v>
      </c>
      <c r="H4">
        <v>0</v>
      </c>
      <c r="I4">
        <v>0</v>
      </c>
      <c r="J4">
        <v>10.73</v>
      </c>
      <c r="K4">
        <v>1</v>
      </c>
      <c r="L4">
        <v>0</v>
      </c>
      <c r="M4">
        <v>0</v>
      </c>
      <c r="N4">
        <v>18.73</v>
      </c>
      <c r="O4">
        <v>-18.73</v>
      </c>
      <c r="P4">
        <v>-88.02</v>
      </c>
      <c r="Q4" t="s">
        <v>1031</v>
      </c>
      <c r="R4" t="s">
        <v>1032</v>
      </c>
    </row>
    <row r="5" spans="1:18">
      <c r="A5" t="s">
        <v>1033</v>
      </c>
      <c r="B5" t="s">
        <v>81</v>
      </c>
      <c r="C5" t="s">
        <v>39</v>
      </c>
      <c r="D5" t="s">
        <v>40</v>
      </c>
      <c r="E5" t="s">
        <v>82</v>
      </c>
      <c r="F5" t="s">
        <v>83</v>
      </c>
      <c r="G5">
        <v>1</v>
      </c>
      <c r="H5">
        <v>0</v>
      </c>
      <c r="I5">
        <v>0</v>
      </c>
      <c r="J5">
        <v>6.7</v>
      </c>
      <c r="K5">
        <v>1</v>
      </c>
      <c r="L5">
        <v>0</v>
      </c>
      <c r="M5">
        <v>0</v>
      </c>
      <c r="N5">
        <v>14.7</v>
      </c>
      <c r="O5">
        <v>-14.7</v>
      </c>
      <c r="P5">
        <v>-69.09</v>
      </c>
      <c r="Q5" t="s">
        <v>1031</v>
      </c>
      <c r="R5" t="s">
        <v>1034</v>
      </c>
    </row>
    <row r="6" spans="1:18">
      <c r="A6" t="s">
        <v>1035</v>
      </c>
      <c r="B6" t="s">
        <v>81</v>
      </c>
      <c r="C6" t="s">
        <v>41</v>
      </c>
      <c r="D6" t="s">
        <v>42</v>
      </c>
      <c r="E6" t="s">
        <v>122</v>
      </c>
      <c r="F6" t="s">
        <v>123</v>
      </c>
      <c r="G6">
        <v>1</v>
      </c>
      <c r="H6">
        <v>0</v>
      </c>
      <c r="I6">
        <v>0</v>
      </c>
      <c r="J6">
        <v>10.73</v>
      </c>
      <c r="K6">
        <v>1</v>
      </c>
      <c r="L6">
        <v>0</v>
      </c>
      <c r="M6">
        <v>0</v>
      </c>
      <c r="N6">
        <v>18.73</v>
      </c>
      <c r="O6">
        <v>-18.73</v>
      </c>
      <c r="P6">
        <v>-88.02</v>
      </c>
      <c r="Q6" t="s">
        <v>1031</v>
      </c>
      <c r="R6" t="s">
        <v>1036</v>
      </c>
    </row>
    <row r="7" spans="1:18">
      <c r="A7" t="s">
        <v>1037</v>
      </c>
      <c r="B7" t="s">
        <v>81</v>
      </c>
      <c r="C7" t="s">
        <v>39</v>
      </c>
      <c r="D7" t="s">
        <v>40</v>
      </c>
      <c r="E7" t="s">
        <v>82</v>
      </c>
      <c r="F7" t="s">
        <v>83</v>
      </c>
      <c r="G7">
        <v>1</v>
      </c>
      <c r="H7">
        <v>0</v>
      </c>
      <c r="I7">
        <v>0</v>
      </c>
      <c r="J7">
        <v>6.7</v>
      </c>
      <c r="K7">
        <v>1</v>
      </c>
      <c r="L7">
        <v>0</v>
      </c>
      <c r="M7">
        <v>0</v>
      </c>
      <c r="N7">
        <v>14.7</v>
      </c>
      <c r="O7">
        <v>-14.7</v>
      </c>
      <c r="P7">
        <v>-69.09</v>
      </c>
      <c r="Q7" t="s">
        <v>1031</v>
      </c>
      <c r="R7" t="s">
        <v>1038</v>
      </c>
    </row>
    <row r="8" spans="1:18">
      <c r="A8" t="s">
        <v>1039</v>
      </c>
      <c r="B8" t="s">
        <v>81</v>
      </c>
      <c r="C8" t="s">
        <v>39</v>
      </c>
      <c r="D8" t="s">
        <v>40</v>
      </c>
      <c r="E8" t="s">
        <v>82</v>
      </c>
      <c r="F8" t="s">
        <v>83</v>
      </c>
      <c r="G8">
        <v>1</v>
      </c>
      <c r="H8">
        <v>0</v>
      </c>
      <c r="I8">
        <v>0</v>
      </c>
      <c r="J8">
        <v>6.7</v>
      </c>
      <c r="K8">
        <v>1</v>
      </c>
      <c r="L8">
        <v>0</v>
      </c>
      <c r="M8">
        <v>0</v>
      </c>
      <c r="N8">
        <v>14.7</v>
      </c>
      <c r="O8">
        <v>-14.7</v>
      </c>
      <c r="P8">
        <v>-69.09</v>
      </c>
      <c r="Q8" t="s">
        <v>1031</v>
      </c>
      <c r="R8" t="s">
        <v>1040</v>
      </c>
    </row>
    <row r="9" spans="1:18">
      <c r="A9" t="s">
        <v>1041</v>
      </c>
      <c r="B9" t="s">
        <v>81</v>
      </c>
      <c r="C9" t="s">
        <v>39</v>
      </c>
      <c r="D9" t="s">
        <v>40</v>
      </c>
      <c r="E9" t="s">
        <v>82</v>
      </c>
      <c r="F9" t="s">
        <v>83</v>
      </c>
      <c r="G9">
        <v>1</v>
      </c>
      <c r="H9">
        <v>0</v>
      </c>
      <c r="I9">
        <v>0</v>
      </c>
      <c r="J9">
        <v>6.7</v>
      </c>
      <c r="K9">
        <v>1</v>
      </c>
      <c r="L9">
        <v>0</v>
      </c>
      <c r="M9">
        <v>0</v>
      </c>
      <c r="N9">
        <v>14.7</v>
      </c>
      <c r="O9">
        <v>-14.7</v>
      </c>
      <c r="P9">
        <v>-69.09</v>
      </c>
      <c r="Q9" t="s">
        <v>1031</v>
      </c>
      <c r="R9" t="s">
        <v>1042</v>
      </c>
    </row>
    <row r="10" spans="1:18">
      <c r="A10" t="s">
        <v>1043</v>
      </c>
      <c r="B10" t="s">
        <v>81</v>
      </c>
      <c r="C10" t="s">
        <v>39</v>
      </c>
      <c r="D10" t="s">
        <v>40</v>
      </c>
      <c r="E10" t="s">
        <v>82</v>
      </c>
      <c r="F10" t="s">
        <v>83</v>
      </c>
      <c r="G10">
        <v>1</v>
      </c>
      <c r="H10">
        <v>0</v>
      </c>
      <c r="I10">
        <v>0</v>
      </c>
      <c r="J10">
        <v>6.7</v>
      </c>
      <c r="K10">
        <v>1</v>
      </c>
      <c r="L10">
        <v>0</v>
      </c>
      <c r="M10">
        <v>0</v>
      </c>
      <c r="N10">
        <v>14.7</v>
      </c>
      <c r="O10">
        <v>-14.7</v>
      </c>
      <c r="P10">
        <v>-69.09</v>
      </c>
      <c r="Q10" t="s">
        <v>1031</v>
      </c>
      <c r="R10" t="s">
        <v>1044</v>
      </c>
    </row>
    <row r="11" spans="1:18">
      <c r="A11" t="s">
        <v>1045</v>
      </c>
      <c r="B11" t="s">
        <v>81</v>
      </c>
      <c r="C11" t="s">
        <v>39</v>
      </c>
      <c r="D11" t="s">
        <v>40</v>
      </c>
      <c r="E11" t="s">
        <v>82</v>
      </c>
      <c r="F11" t="s">
        <v>83</v>
      </c>
      <c r="G11">
        <v>1</v>
      </c>
      <c r="H11">
        <v>0</v>
      </c>
      <c r="I11">
        <v>0</v>
      </c>
      <c r="J11">
        <v>6.7</v>
      </c>
      <c r="K11">
        <v>1</v>
      </c>
      <c r="L11">
        <v>0</v>
      </c>
      <c r="M11">
        <v>0</v>
      </c>
      <c r="N11">
        <v>14.7</v>
      </c>
      <c r="O11">
        <v>-14.7</v>
      </c>
      <c r="P11">
        <v>-69.09</v>
      </c>
      <c r="Q11" t="s">
        <v>1031</v>
      </c>
      <c r="R11" t="s">
        <v>1046</v>
      </c>
    </row>
    <row r="12" spans="1:18">
      <c r="A12" t="s">
        <v>1047</v>
      </c>
      <c r="B12" t="s">
        <v>81</v>
      </c>
      <c r="C12" t="s">
        <v>41</v>
      </c>
      <c r="D12" t="s">
        <v>42</v>
      </c>
      <c r="E12" t="s">
        <v>122</v>
      </c>
      <c r="F12" t="s">
        <v>123</v>
      </c>
      <c r="G12">
        <v>1</v>
      </c>
      <c r="H12">
        <v>0</v>
      </c>
      <c r="I12">
        <v>0</v>
      </c>
      <c r="J12">
        <v>10.73</v>
      </c>
      <c r="K12">
        <v>1</v>
      </c>
      <c r="L12">
        <v>0</v>
      </c>
      <c r="M12">
        <v>0</v>
      </c>
      <c r="N12">
        <v>18.73</v>
      </c>
      <c r="O12">
        <v>-18.73</v>
      </c>
      <c r="P12">
        <v>-88.02</v>
      </c>
      <c r="Q12" t="s">
        <v>1031</v>
      </c>
      <c r="R12" t="s">
        <v>1048</v>
      </c>
    </row>
    <row r="13" spans="1:18">
      <c r="A13" t="s">
        <v>1049</v>
      </c>
      <c r="B13" t="s">
        <v>81</v>
      </c>
      <c r="C13" t="s">
        <v>39</v>
      </c>
      <c r="D13" t="s">
        <v>40</v>
      </c>
      <c r="E13" t="s">
        <v>82</v>
      </c>
      <c r="F13" t="s">
        <v>83</v>
      </c>
      <c r="G13">
        <v>1</v>
      </c>
      <c r="H13">
        <v>0</v>
      </c>
      <c r="I13">
        <v>0</v>
      </c>
      <c r="J13">
        <v>6.7</v>
      </c>
      <c r="K13">
        <v>1</v>
      </c>
      <c r="L13">
        <v>0</v>
      </c>
      <c r="M13">
        <v>0</v>
      </c>
      <c r="N13">
        <v>14.7</v>
      </c>
      <c r="O13">
        <v>-14.7</v>
      </c>
      <c r="P13">
        <v>-69.09</v>
      </c>
      <c r="Q13" t="s">
        <v>1031</v>
      </c>
      <c r="R13" t="s">
        <v>1050</v>
      </c>
    </row>
    <row r="14" spans="1:18">
      <c r="A14" t="s">
        <v>1051</v>
      </c>
      <c r="B14" t="s">
        <v>81</v>
      </c>
      <c r="C14" t="s">
        <v>39</v>
      </c>
      <c r="D14" t="s">
        <v>40</v>
      </c>
      <c r="E14" t="s">
        <v>82</v>
      </c>
      <c r="F14" t="s">
        <v>83</v>
      </c>
      <c r="G14">
        <v>1</v>
      </c>
      <c r="H14">
        <v>0</v>
      </c>
      <c r="I14">
        <v>0</v>
      </c>
      <c r="J14">
        <v>6.7</v>
      </c>
      <c r="K14">
        <v>1</v>
      </c>
      <c r="L14">
        <v>0</v>
      </c>
      <c r="M14">
        <v>0</v>
      </c>
      <c r="N14">
        <v>14.7</v>
      </c>
      <c r="O14">
        <v>-14.7</v>
      </c>
      <c r="P14">
        <v>-69.09</v>
      </c>
      <c r="Q14" t="s">
        <v>1031</v>
      </c>
      <c r="R14" t="s">
        <v>1052</v>
      </c>
    </row>
    <row r="15" spans="1:18">
      <c r="A15" t="s">
        <v>1053</v>
      </c>
      <c r="B15" t="s">
        <v>81</v>
      </c>
      <c r="C15" t="s">
        <v>39</v>
      </c>
      <c r="D15" t="s">
        <v>40</v>
      </c>
      <c r="E15" t="s">
        <v>82</v>
      </c>
      <c r="F15" t="s">
        <v>83</v>
      </c>
      <c r="G15">
        <v>1</v>
      </c>
      <c r="H15">
        <v>0</v>
      </c>
      <c r="I15">
        <v>0</v>
      </c>
      <c r="J15">
        <v>6.7</v>
      </c>
      <c r="K15">
        <v>1</v>
      </c>
      <c r="L15">
        <v>0</v>
      </c>
      <c r="M15">
        <v>0</v>
      </c>
      <c r="N15">
        <v>14.7</v>
      </c>
      <c r="O15">
        <v>-14.7</v>
      </c>
      <c r="P15">
        <v>-69.09</v>
      </c>
      <c r="Q15" t="s">
        <v>1031</v>
      </c>
      <c r="R15" t="s">
        <v>1054</v>
      </c>
    </row>
    <row r="16" spans="1:18">
      <c r="A16" t="s">
        <v>1055</v>
      </c>
      <c r="B16" t="s">
        <v>81</v>
      </c>
      <c r="C16" t="s">
        <v>39</v>
      </c>
      <c r="D16" t="s">
        <v>40</v>
      </c>
      <c r="E16" t="s">
        <v>82</v>
      </c>
      <c r="F16" t="s">
        <v>83</v>
      </c>
      <c r="G16">
        <v>1</v>
      </c>
      <c r="H16">
        <v>0</v>
      </c>
      <c r="I16">
        <v>0</v>
      </c>
      <c r="J16">
        <v>6.7</v>
      </c>
      <c r="K16">
        <v>1</v>
      </c>
      <c r="L16">
        <v>0</v>
      </c>
      <c r="M16">
        <v>0</v>
      </c>
      <c r="N16">
        <v>14.7</v>
      </c>
      <c r="O16">
        <v>-14.7</v>
      </c>
      <c r="P16">
        <v>-69.09</v>
      </c>
      <c r="Q16" t="s">
        <v>1031</v>
      </c>
      <c r="R16" t="s">
        <v>1056</v>
      </c>
    </row>
    <row r="17" spans="1:18">
      <c r="A17" t="s">
        <v>1057</v>
      </c>
      <c r="B17" t="s">
        <v>81</v>
      </c>
      <c r="C17" t="s">
        <v>39</v>
      </c>
      <c r="D17" t="s">
        <v>40</v>
      </c>
      <c r="E17" t="s">
        <v>82</v>
      </c>
      <c r="F17" t="s">
        <v>83</v>
      </c>
      <c r="G17">
        <v>1</v>
      </c>
      <c r="H17">
        <v>0</v>
      </c>
      <c r="I17">
        <v>0</v>
      </c>
      <c r="J17">
        <v>6.7</v>
      </c>
      <c r="K17">
        <v>1</v>
      </c>
      <c r="L17">
        <v>0</v>
      </c>
      <c r="M17">
        <v>0</v>
      </c>
      <c r="N17">
        <v>14.7</v>
      </c>
      <c r="O17">
        <v>-14.7</v>
      </c>
      <c r="P17">
        <v>-69.09</v>
      </c>
      <c r="Q17" t="s">
        <v>1031</v>
      </c>
      <c r="R17" t="s">
        <v>1058</v>
      </c>
    </row>
    <row r="18" spans="1:18">
      <c r="A18" t="s">
        <v>1059</v>
      </c>
      <c r="B18" t="s">
        <v>81</v>
      </c>
      <c r="C18" t="s">
        <v>39</v>
      </c>
      <c r="D18" t="s">
        <v>40</v>
      </c>
      <c r="E18" t="s">
        <v>82</v>
      </c>
      <c r="F18" t="s">
        <v>83</v>
      </c>
      <c r="G18">
        <v>1</v>
      </c>
      <c r="H18">
        <v>0</v>
      </c>
      <c r="I18">
        <v>0</v>
      </c>
      <c r="J18">
        <v>6.7</v>
      </c>
      <c r="K18">
        <v>1</v>
      </c>
      <c r="L18">
        <v>0</v>
      </c>
      <c r="M18">
        <v>0</v>
      </c>
      <c r="N18">
        <v>14.7</v>
      </c>
      <c r="O18">
        <v>-14.7</v>
      </c>
      <c r="P18">
        <v>-69.09</v>
      </c>
      <c r="Q18" t="s">
        <v>1031</v>
      </c>
      <c r="R18" t="s">
        <v>1060</v>
      </c>
    </row>
    <row r="19" spans="1:18">
      <c r="A19" t="s">
        <v>1061</v>
      </c>
      <c r="B19" t="s">
        <v>81</v>
      </c>
      <c r="C19" t="s">
        <v>39</v>
      </c>
      <c r="D19" t="s">
        <v>40</v>
      </c>
      <c r="E19" t="s">
        <v>82</v>
      </c>
      <c r="F19" t="s">
        <v>83</v>
      </c>
      <c r="G19">
        <v>1</v>
      </c>
      <c r="H19">
        <v>0</v>
      </c>
      <c r="I19">
        <v>0</v>
      </c>
      <c r="J19">
        <v>6.7</v>
      </c>
      <c r="K19">
        <v>1</v>
      </c>
      <c r="L19">
        <v>0</v>
      </c>
      <c r="M19">
        <v>0</v>
      </c>
      <c r="N19">
        <v>14.7</v>
      </c>
      <c r="O19">
        <v>-14.7</v>
      </c>
      <c r="P19">
        <v>-69.09</v>
      </c>
      <c r="Q19" t="s">
        <v>1031</v>
      </c>
      <c r="R19" t="s">
        <v>1062</v>
      </c>
    </row>
    <row r="20" spans="1:18">
      <c r="A20" t="s">
        <v>1063</v>
      </c>
      <c r="B20" t="s">
        <v>132</v>
      </c>
      <c r="C20" t="s">
        <v>41</v>
      </c>
      <c r="D20" t="s">
        <v>42</v>
      </c>
      <c r="E20" t="s">
        <v>122</v>
      </c>
      <c r="F20" t="s">
        <v>123</v>
      </c>
      <c r="G20">
        <v>1</v>
      </c>
      <c r="H20">
        <v>0</v>
      </c>
      <c r="I20">
        <v>0</v>
      </c>
      <c r="J20">
        <v>10.73</v>
      </c>
      <c r="K20">
        <v>1</v>
      </c>
      <c r="L20">
        <v>0</v>
      </c>
      <c r="M20">
        <v>0</v>
      </c>
      <c r="N20">
        <v>18.73</v>
      </c>
      <c r="O20">
        <v>-18.73</v>
      </c>
      <c r="P20">
        <v>-88.02</v>
      </c>
      <c r="Q20" t="s">
        <v>1031</v>
      </c>
      <c r="R20" t="s">
        <v>1064</v>
      </c>
    </row>
    <row r="21" spans="1:18">
      <c r="A21" t="s">
        <v>1065</v>
      </c>
      <c r="B21" t="s">
        <v>132</v>
      </c>
      <c r="C21" t="s">
        <v>39</v>
      </c>
      <c r="D21" t="s">
        <v>40</v>
      </c>
      <c r="E21" t="s">
        <v>82</v>
      </c>
      <c r="F21" t="s">
        <v>83</v>
      </c>
      <c r="G21">
        <v>1</v>
      </c>
      <c r="H21">
        <v>0</v>
      </c>
      <c r="I21">
        <v>0</v>
      </c>
      <c r="J21">
        <v>6.7</v>
      </c>
      <c r="K21">
        <v>1</v>
      </c>
      <c r="L21">
        <v>0</v>
      </c>
      <c r="M21">
        <v>0</v>
      </c>
      <c r="N21">
        <v>14.7</v>
      </c>
      <c r="O21">
        <v>-14.7</v>
      </c>
      <c r="P21">
        <v>-69.09</v>
      </c>
      <c r="Q21" t="s">
        <v>1031</v>
      </c>
      <c r="R21" t="s">
        <v>1066</v>
      </c>
    </row>
    <row r="22" spans="1:18">
      <c r="A22" t="s">
        <v>1067</v>
      </c>
      <c r="B22" t="s">
        <v>132</v>
      </c>
      <c r="C22" t="s">
        <v>39</v>
      </c>
      <c r="D22" t="s">
        <v>40</v>
      </c>
      <c r="E22" t="s">
        <v>82</v>
      </c>
      <c r="F22" t="s">
        <v>83</v>
      </c>
      <c r="G22">
        <v>1</v>
      </c>
      <c r="H22">
        <v>0</v>
      </c>
      <c r="I22">
        <v>0</v>
      </c>
      <c r="J22">
        <v>6.7</v>
      </c>
      <c r="K22">
        <v>1</v>
      </c>
      <c r="L22">
        <v>0</v>
      </c>
      <c r="M22">
        <v>0</v>
      </c>
      <c r="N22">
        <v>14.7</v>
      </c>
      <c r="O22">
        <v>-14.7</v>
      </c>
      <c r="P22">
        <v>-69.09</v>
      </c>
      <c r="Q22" t="s">
        <v>1031</v>
      </c>
      <c r="R22" t="s">
        <v>1068</v>
      </c>
    </row>
    <row r="23" spans="1:18">
      <c r="A23" t="s">
        <v>1069</v>
      </c>
      <c r="B23" t="s">
        <v>132</v>
      </c>
      <c r="C23" t="s">
        <v>41</v>
      </c>
      <c r="D23" t="s">
        <v>42</v>
      </c>
      <c r="E23" t="s">
        <v>122</v>
      </c>
      <c r="F23" t="s">
        <v>123</v>
      </c>
      <c r="G23">
        <v>1</v>
      </c>
      <c r="H23">
        <v>0</v>
      </c>
      <c r="I23">
        <v>0</v>
      </c>
      <c r="J23">
        <v>10.73</v>
      </c>
      <c r="K23">
        <v>1</v>
      </c>
      <c r="L23">
        <v>0</v>
      </c>
      <c r="M23">
        <v>0</v>
      </c>
      <c r="N23">
        <v>18.73</v>
      </c>
      <c r="O23">
        <v>-18.73</v>
      </c>
      <c r="P23">
        <v>-88.02</v>
      </c>
      <c r="Q23" t="s">
        <v>1031</v>
      </c>
      <c r="R23" t="s">
        <v>1070</v>
      </c>
    </row>
    <row r="24" spans="1:18">
      <c r="A24" t="s">
        <v>1071</v>
      </c>
      <c r="B24" t="s">
        <v>132</v>
      </c>
      <c r="C24" t="s">
        <v>39</v>
      </c>
      <c r="D24" t="s">
        <v>40</v>
      </c>
      <c r="E24" t="s">
        <v>82</v>
      </c>
      <c r="F24" t="s">
        <v>83</v>
      </c>
      <c r="G24">
        <v>1</v>
      </c>
      <c r="H24">
        <v>0</v>
      </c>
      <c r="I24">
        <v>0</v>
      </c>
      <c r="J24">
        <v>6.7</v>
      </c>
      <c r="K24">
        <v>1</v>
      </c>
      <c r="L24">
        <v>0</v>
      </c>
      <c r="M24">
        <v>0</v>
      </c>
      <c r="N24">
        <v>14.7</v>
      </c>
      <c r="O24">
        <v>-14.7</v>
      </c>
      <c r="P24">
        <v>-69.09</v>
      </c>
      <c r="Q24" t="s">
        <v>1031</v>
      </c>
      <c r="R24" t="s">
        <v>1072</v>
      </c>
    </row>
    <row r="25" spans="1:18">
      <c r="A25" t="s">
        <v>1073</v>
      </c>
      <c r="B25" t="s">
        <v>132</v>
      </c>
      <c r="C25" t="s">
        <v>41</v>
      </c>
      <c r="D25" t="s">
        <v>42</v>
      </c>
      <c r="E25" t="s">
        <v>122</v>
      </c>
      <c r="F25" t="s">
        <v>123</v>
      </c>
      <c r="G25">
        <v>1</v>
      </c>
      <c r="H25">
        <v>0</v>
      </c>
      <c r="I25">
        <v>0</v>
      </c>
      <c r="J25">
        <v>10.73</v>
      </c>
      <c r="K25">
        <v>1</v>
      </c>
      <c r="L25">
        <v>0</v>
      </c>
      <c r="M25">
        <v>0</v>
      </c>
      <c r="N25">
        <v>18.73</v>
      </c>
      <c r="O25">
        <v>-18.73</v>
      </c>
      <c r="P25">
        <v>-88.02</v>
      </c>
      <c r="Q25" t="s">
        <v>1031</v>
      </c>
      <c r="R25" t="s">
        <v>1074</v>
      </c>
    </row>
    <row r="26" spans="1:18">
      <c r="A26" t="s">
        <v>1075</v>
      </c>
      <c r="B26" t="s">
        <v>132</v>
      </c>
      <c r="C26" t="s">
        <v>39</v>
      </c>
      <c r="D26" t="s">
        <v>40</v>
      </c>
      <c r="E26" t="s">
        <v>82</v>
      </c>
      <c r="F26" t="s">
        <v>83</v>
      </c>
      <c r="G26">
        <v>1</v>
      </c>
      <c r="H26">
        <v>0</v>
      </c>
      <c r="I26">
        <v>0</v>
      </c>
      <c r="J26">
        <v>6.7</v>
      </c>
      <c r="K26">
        <v>1</v>
      </c>
      <c r="L26">
        <v>0</v>
      </c>
      <c r="M26">
        <v>0</v>
      </c>
      <c r="N26">
        <v>14.7</v>
      </c>
      <c r="O26">
        <v>-14.7</v>
      </c>
      <c r="P26">
        <v>-69.09</v>
      </c>
      <c r="Q26" t="s">
        <v>1031</v>
      </c>
      <c r="R26" t="s">
        <v>1076</v>
      </c>
    </row>
    <row r="27" spans="1:18">
      <c r="A27" t="s">
        <v>1077</v>
      </c>
      <c r="B27" t="s">
        <v>132</v>
      </c>
      <c r="C27" t="s">
        <v>41</v>
      </c>
      <c r="D27" t="s">
        <v>42</v>
      </c>
      <c r="E27" t="s">
        <v>122</v>
      </c>
      <c r="F27" t="s">
        <v>123</v>
      </c>
      <c r="G27">
        <v>1</v>
      </c>
      <c r="H27">
        <v>0</v>
      </c>
      <c r="I27">
        <v>0</v>
      </c>
      <c r="J27">
        <v>10.73</v>
      </c>
      <c r="K27">
        <v>1</v>
      </c>
      <c r="L27">
        <v>0</v>
      </c>
      <c r="M27">
        <v>0</v>
      </c>
      <c r="N27">
        <v>18.73</v>
      </c>
      <c r="O27">
        <v>-18.73</v>
      </c>
      <c r="P27">
        <v>-88.02</v>
      </c>
      <c r="Q27" t="s">
        <v>1031</v>
      </c>
      <c r="R27" t="s">
        <v>1078</v>
      </c>
    </row>
    <row r="28" spans="1:18">
      <c r="A28" t="s">
        <v>1079</v>
      </c>
      <c r="B28" t="s">
        <v>132</v>
      </c>
      <c r="C28" t="s">
        <v>41</v>
      </c>
      <c r="D28" t="s">
        <v>42</v>
      </c>
      <c r="E28" t="s">
        <v>122</v>
      </c>
      <c r="F28" t="s">
        <v>123</v>
      </c>
      <c r="G28">
        <v>1</v>
      </c>
      <c r="H28">
        <v>0</v>
      </c>
      <c r="I28">
        <v>0</v>
      </c>
      <c r="J28">
        <v>10.73</v>
      </c>
      <c r="K28">
        <v>1</v>
      </c>
      <c r="L28">
        <v>0</v>
      </c>
      <c r="M28">
        <v>0</v>
      </c>
      <c r="N28">
        <v>18.73</v>
      </c>
      <c r="O28">
        <v>-18.73</v>
      </c>
      <c r="P28">
        <v>-88.02</v>
      </c>
      <c r="Q28" t="s">
        <v>1031</v>
      </c>
      <c r="R28" t="s">
        <v>1080</v>
      </c>
    </row>
    <row r="29" spans="1:18">
      <c r="A29" t="s">
        <v>1081</v>
      </c>
      <c r="B29" t="s">
        <v>132</v>
      </c>
      <c r="C29" t="s">
        <v>39</v>
      </c>
      <c r="D29" t="s">
        <v>40</v>
      </c>
      <c r="E29" t="s">
        <v>82</v>
      </c>
      <c r="F29" t="s">
        <v>83</v>
      </c>
      <c r="G29">
        <v>1</v>
      </c>
      <c r="H29">
        <v>0</v>
      </c>
      <c r="I29">
        <v>0</v>
      </c>
      <c r="J29">
        <v>6.7</v>
      </c>
      <c r="K29">
        <v>1</v>
      </c>
      <c r="L29">
        <v>0</v>
      </c>
      <c r="M29">
        <v>0</v>
      </c>
      <c r="N29">
        <v>14.7</v>
      </c>
      <c r="O29">
        <v>-14.7</v>
      </c>
      <c r="P29">
        <v>-69.09</v>
      </c>
      <c r="Q29" t="s">
        <v>1031</v>
      </c>
      <c r="R29" t="s">
        <v>1082</v>
      </c>
    </row>
    <row r="30" spans="1:18">
      <c r="A30" t="s">
        <v>1083</v>
      </c>
      <c r="B30" t="s">
        <v>132</v>
      </c>
      <c r="C30" t="s">
        <v>39</v>
      </c>
      <c r="D30" t="s">
        <v>40</v>
      </c>
      <c r="E30" t="s">
        <v>82</v>
      </c>
      <c r="F30" t="s">
        <v>83</v>
      </c>
      <c r="G30">
        <v>1</v>
      </c>
      <c r="H30">
        <v>0</v>
      </c>
      <c r="I30">
        <v>0</v>
      </c>
      <c r="J30">
        <v>6.7</v>
      </c>
      <c r="K30">
        <v>1</v>
      </c>
      <c r="L30">
        <v>0</v>
      </c>
      <c r="M30">
        <v>0</v>
      </c>
      <c r="N30">
        <v>14.7</v>
      </c>
      <c r="O30">
        <v>-14.7</v>
      </c>
      <c r="P30">
        <v>-69.09</v>
      </c>
      <c r="Q30" t="s">
        <v>1031</v>
      </c>
      <c r="R30" t="s">
        <v>1084</v>
      </c>
    </row>
    <row r="31" spans="1:18">
      <c r="A31" t="s">
        <v>1085</v>
      </c>
      <c r="B31" t="s">
        <v>132</v>
      </c>
      <c r="C31" t="s">
        <v>39</v>
      </c>
      <c r="D31" t="s">
        <v>40</v>
      </c>
      <c r="E31" t="s">
        <v>82</v>
      </c>
      <c r="F31" t="s">
        <v>83</v>
      </c>
      <c r="G31">
        <v>1</v>
      </c>
      <c r="H31">
        <v>0</v>
      </c>
      <c r="I31">
        <v>0</v>
      </c>
      <c r="J31">
        <v>6.7</v>
      </c>
      <c r="K31">
        <v>1</v>
      </c>
      <c r="L31">
        <v>0</v>
      </c>
      <c r="M31">
        <v>0</v>
      </c>
      <c r="N31">
        <v>14.7</v>
      </c>
      <c r="O31">
        <v>-14.7</v>
      </c>
      <c r="P31">
        <v>-69.09</v>
      </c>
      <c r="Q31" t="s">
        <v>1031</v>
      </c>
      <c r="R31" t="s">
        <v>1086</v>
      </c>
    </row>
    <row r="32" spans="1:18">
      <c r="A32" t="s">
        <v>1087</v>
      </c>
      <c r="B32" t="s">
        <v>132</v>
      </c>
      <c r="C32" t="s">
        <v>39</v>
      </c>
      <c r="D32" t="s">
        <v>40</v>
      </c>
      <c r="E32" t="s">
        <v>82</v>
      </c>
      <c r="F32" t="s">
        <v>83</v>
      </c>
      <c r="G32">
        <v>1</v>
      </c>
      <c r="H32">
        <v>0</v>
      </c>
      <c r="I32">
        <v>0</v>
      </c>
      <c r="J32">
        <v>6.7</v>
      </c>
      <c r="K32">
        <v>1</v>
      </c>
      <c r="L32">
        <v>0</v>
      </c>
      <c r="M32">
        <v>0</v>
      </c>
      <c r="N32">
        <v>14.7</v>
      </c>
      <c r="O32">
        <v>-14.7</v>
      </c>
      <c r="P32">
        <v>-69.09</v>
      </c>
      <c r="Q32" t="s">
        <v>1031</v>
      </c>
      <c r="R32" t="s">
        <v>1088</v>
      </c>
    </row>
    <row r="33" spans="1:18">
      <c r="A33" t="s">
        <v>1089</v>
      </c>
      <c r="B33" t="s">
        <v>132</v>
      </c>
      <c r="C33" t="s">
        <v>39</v>
      </c>
      <c r="D33" t="s">
        <v>40</v>
      </c>
      <c r="E33" t="s">
        <v>82</v>
      </c>
      <c r="F33" t="s">
        <v>83</v>
      </c>
      <c r="G33">
        <v>1</v>
      </c>
      <c r="H33">
        <v>0</v>
      </c>
      <c r="I33">
        <v>0</v>
      </c>
      <c r="J33">
        <v>6.7</v>
      </c>
      <c r="K33">
        <v>1</v>
      </c>
      <c r="L33">
        <v>0</v>
      </c>
      <c r="M33">
        <v>0</v>
      </c>
      <c r="N33">
        <v>14.7</v>
      </c>
      <c r="O33">
        <v>-14.7</v>
      </c>
      <c r="P33">
        <v>-69.09</v>
      </c>
      <c r="Q33" t="s">
        <v>1031</v>
      </c>
      <c r="R33" t="s">
        <v>1090</v>
      </c>
    </row>
    <row r="34" spans="1:18">
      <c r="A34" t="s">
        <v>1091</v>
      </c>
      <c r="B34" t="s">
        <v>132</v>
      </c>
      <c r="C34" t="s">
        <v>41</v>
      </c>
      <c r="D34" t="s">
        <v>42</v>
      </c>
      <c r="E34" t="s">
        <v>122</v>
      </c>
      <c r="F34" t="s">
        <v>123</v>
      </c>
      <c r="G34">
        <v>1</v>
      </c>
      <c r="H34">
        <v>0</v>
      </c>
      <c r="I34">
        <v>0</v>
      </c>
      <c r="J34">
        <v>10.73</v>
      </c>
      <c r="K34">
        <v>1</v>
      </c>
      <c r="L34">
        <v>0</v>
      </c>
      <c r="M34">
        <v>0</v>
      </c>
      <c r="N34">
        <v>18.73</v>
      </c>
      <c r="O34">
        <v>-18.73</v>
      </c>
      <c r="P34">
        <v>-88.02</v>
      </c>
      <c r="Q34" t="s">
        <v>1031</v>
      </c>
      <c r="R34" t="s">
        <v>1092</v>
      </c>
    </row>
    <row r="35" spans="1:18">
      <c r="A35" t="s">
        <v>1093</v>
      </c>
      <c r="B35" t="s">
        <v>132</v>
      </c>
      <c r="C35" t="s">
        <v>41</v>
      </c>
      <c r="D35" t="s">
        <v>42</v>
      </c>
      <c r="E35" t="s">
        <v>122</v>
      </c>
      <c r="F35" t="s">
        <v>123</v>
      </c>
      <c r="G35">
        <v>1</v>
      </c>
      <c r="H35">
        <v>0</v>
      </c>
      <c r="I35">
        <v>0</v>
      </c>
      <c r="J35">
        <v>10.73</v>
      </c>
      <c r="K35">
        <v>1</v>
      </c>
      <c r="L35">
        <v>0</v>
      </c>
      <c r="M35">
        <v>0</v>
      </c>
      <c r="N35">
        <v>18.73</v>
      </c>
      <c r="O35">
        <v>-18.73</v>
      </c>
      <c r="P35">
        <v>-88.02</v>
      </c>
      <c r="Q35" t="s">
        <v>1031</v>
      </c>
      <c r="R35" t="s">
        <v>1094</v>
      </c>
    </row>
    <row r="36" spans="1:18">
      <c r="A36" t="s">
        <v>1095</v>
      </c>
      <c r="B36" t="s">
        <v>132</v>
      </c>
      <c r="C36" t="s">
        <v>39</v>
      </c>
      <c r="D36" t="s">
        <v>40</v>
      </c>
      <c r="E36" t="s">
        <v>82</v>
      </c>
      <c r="F36" t="s">
        <v>83</v>
      </c>
      <c r="G36">
        <v>1</v>
      </c>
      <c r="H36">
        <v>0</v>
      </c>
      <c r="I36">
        <v>0</v>
      </c>
      <c r="J36">
        <v>6.7</v>
      </c>
      <c r="K36">
        <v>1</v>
      </c>
      <c r="L36">
        <v>0</v>
      </c>
      <c r="M36">
        <v>0</v>
      </c>
      <c r="N36">
        <v>14.7</v>
      </c>
      <c r="O36">
        <v>-14.7</v>
      </c>
      <c r="P36">
        <v>-69.09</v>
      </c>
      <c r="Q36" t="s">
        <v>1031</v>
      </c>
      <c r="R36" t="s">
        <v>1096</v>
      </c>
    </row>
    <row r="37" spans="1:18">
      <c r="A37" t="s">
        <v>1097</v>
      </c>
      <c r="B37" t="s">
        <v>132</v>
      </c>
      <c r="C37" t="s">
        <v>41</v>
      </c>
      <c r="D37" t="s">
        <v>42</v>
      </c>
      <c r="E37" t="s">
        <v>122</v>
      </c>
      <c r="F37" t="s">
        <v>123</v>
      </c>
      <c r="G37">
        <v>1</v>
      </c>
      <c r="H37">
        <v>0</v>
      </c>
      <c r="I37">
        <v>0</v>
      </c>
      <c r="J37">
        <v>10.73</v>
      </c>
      <c r="K37">
        <v>1</v>
      </c>
      <c r="L37">
        <v>0</v>
      </c>
      <c r="M37">
        <v>0</v>
      </c>
      <c r="N37">
        <v>18.73</v>
      </c>
      <c r="O37">
        <v>-18.73</v>
      </c>
      <c r="P37">
        <v>-88.02</v>
      </c>
      <c r="Q37" t="s">
        <v>1031</v>
      </c>
      <c r="R37" t="s">
        <v>1098</v>
      </c>
    </row>
    <row r="38" spans="1:18">
      <c r="A38" t="s">
        <v>1099</v>
      </c>
      <c r="B38" t="s">
        <v>132</v>
      </c>
      <c r="C38" t="s">
        <v>39</v>
      </c>
      <c r="D38" t="s">
        <v>40</v>
      </c>
      <c r="E38" t="s">
        <v>137</v>
      </c>
      <c r="F38" t="s">
        <v>491</v>
      </c>
      <c r="G38">
        <v>1</v>
      </c>
      <c r="H38">
        <v>0</v>
      </c>
      <c r="I38">
        <v>0</v>
      </c>
      <c r="J38">
        <v>6.7</v>
      </c>
      <c r="K38">
        <v>1</v>
      </c>
      <c r="L38">
        <v>0</v>
      </c>
      <c r="M38">
        <v>0</v>
      </c>
      <c r="N38">
        <v>14.7</v>
      </c>
      <c r="O38">
        <v>-14.7</v>
      </c>
      <c r="P38">
        <v>-69.09</v>
      </c>
      <c r="Q38" t="s">
        <v>1031</v>
      </c>
      <c r="R38" t="s">
        <v>1100</v>
      </c>
    </row>
    <row r="39" spans="1:18">
      <c r="A39" t="s">
        <v>1101</v>
      </c>
      <c r="B39" t="s">
        <v>132</v>
      </c>
      <c r="C39" t="s">
        <v>41</v>
      </c>
      <c r="D39" t="s">
        <v>42</v>
      </c>
      <c r="E39" t="s">
        <v>122</v>
      </c>
      <c r="F39" t="s">
        <v>123</v>
      </c>
      <c r="G39">
        <v>1</v>
      </c>
      <c r="H39">
        <v>0</v>
      </c>
      <c r="I39">
        <v>0</v>
      </c>
      <c r="J39">
        <v>10.73</v>
      </c>
      <c r="K39">
        <v>1</v>
      </c>
      <c r="L39">
        <v>0</v>
      </c>
      <c r="M39">
        <v>0</v>
      </c>
      <c r="N39">
        <v>18.73</v>
      </c>
      <c r="O39">
        <v>-18.73</v>
      </c>
      <c r="P39">
        <v>-88.02</v>
      </c>
      <c r="Q39" t="s">
        <v>1031</v>
      </c>
      <c r="R39" t="s">
        <v>1102</v>
      </c>
    </row>
    <row r="40" spans="1:18">
      <c r="A40" t="s">
        <v>1103</v>
      </c>
      <c r="B40" t="s">
        <v>132</v>
      </c>
      <c r="C40" t="s">
        <v>39</v>
      </c>
      <c r="D40" t="s">
        <v>40</v>
      </c>
      <c r="E40" t="s">
        <v>82</v>
      </c>
      <c r="F40" t="s">
        <v>83</v>
      </c>
      <c r="G40">
        <v>1</v>
      </c>
      <c r="H40">
        <v>0</v>
      </c>
      <c r="I40">
        <v>0</v>
      </c>
      <c r="J40">
        <v>6.7</v>
      </c>
      <c r="K40">
        <v>1</v>
      </c>
      <c r="L40">
        <v>0</v>
      </c>
      <c r="M40">
        <v>0</v>
      </c>
      <c r="N40">
        <v>14.7</v>
      </c>
      <c r="O40">
        <v>-14.7</v>
      </c>
      <c r="P40">
        <v>-69.09</v>
      </c>
      <c r="Q40" t="s">
        <v>1031</v>
      </c>
      <c r="R40" t="s">
        <v>1104</v>
      </c>
    </row>
    <row r="41" spans="1:18">
      <c r="A41" t="s">
        <v>1105</v>
      </c>
      <c r="B41" t="s">
        <v>132</v>
      </c>
      <c r="C41" t="s">
        <v>39</v>
      </c>
      <c r="D41" t="s">
        <v>40</v>
      </c>
      <c r="E41" t="s">
        <v>82</v>
      </c>
      <c r="F41" t="s">
        <v>83</v>
      </c>
      <c r="G41">
        <v>1</v>
      </c>
      <c r="H41">
        <v>0</v>
      </c>
      <c r="I41">
        <v>0</v>
      </c>
      <c r="J41">
        <v>6.7</v>
      </c>
      <c r="K41">
        <v>1</v>
      </c>
      <c r="L41">
        <v>0</v>
      </c>
      <c r="M41">
        <v>0</v>
      </c>
      <c r="N41">
        <v>14.7</v>
      </c>
      <c r="O41">
        <v>-14.7</v>
      </c>
      <c r="P41">
        <v>-69.09</v>
      </c>
      <c r="Q41" t="s">
        <v>1031</v>
      </c>
      <c r="R41" t="s">
        <v>1106</v>
      </c>
    </row>
    <row r="42" spans="1:18">
      <c r="A42" t="s">
        <v>1107</v>
      </c>
      <c r="B42" t="s">
        <v>132</v>
      </c>
      <c r="C42" t="s">
        <v>41</v>
      </c>
      <c r="D42" t="s">
        <v>42</v>
      </c>
      <c r="E42" t="s">
        <v>122</v>
      </c>
      <c r="F42" t="s">
        <v>123</v>
      </c>
      <c r="G42">
        <v>1</v>
      </c>
      <c r="H42">
        <v>0</v>
      </c>
      <c r="I42">
        <v>0</v>
      </c>
      <c r="J42">
        <v>10.73</v>
      </c>
      <c r="K42">
        <v>1</v>
      </c>
      <c r="L42">
        <v>0</v>
      </c>
      <c r="M42">
        <v>0</v>
      </c>
      <c r="N42">
        <v>18.73</v>
      </c>
      <c r="O42">
        <v>-18.73</v>
      </c>
      <c r="P42">
        <v>-88.02</v>
      </c>
      <c r="Q42" t="s">
        <v>1031</v>
      </c>
      <c r="R42" t="s">
        <v>1108</v>
      </c>
    </row>
    <row r="43" spans="1:18">
      <c r="A43" t="s">
        <v>1109</v>
      </c>
      <c r="B43" t="s">
        <v>132</v>
      </c>
      <c r="C43" t="s">
        <v>39</v>
      </c>
      <c r="D43" t="s">
        <v>40</v>
      </c>
      <c r="E43" t="s">
        <v>82</v>
      </c>
      <c r="F43" t="s">
        <v>83</v>
      </c>
      <c r="G43">
        <v>1</v>
      </c>
      <c r="H43">
        <v>0</v>
      </c>
      <c r="I43">
        <v>0</v>
      </c>
      <c r="J43">
        <v>6.7</v>
      </c>
      <c r="K43">
        <v>1</v>
      </c>
      <c r="L43">
        <v>0</v>
      </c>
      <c r="M43">
        <v>0</v>
      </c>
      <c r="N43">
        <v>14.7</v>
      </c>
      <c r="O43">
        <v>-14.7</v>
      </c>
      <c r="P43">
        <v>-69.09</v>
      </c>
      <c r="Q43" t="s">
        <v>1031</v>
      </c>
      <c r="R43" t="s">
        <v>1110</v>
      </c>
    </row>
    <row r="44" spans="1:18">
      <c r="A44" t="s">
        <v>1111</v>
      </c>
      <c r="B44" t="s">
        <v>132</v>
      </c>
      <c r="C44" t="s">
        <v>41</v>
      </c>
      <c r="D44" t="s">
        <v>42</v>
      </c>
      <c r="E44" t="s">
        <v>122</v>
      </c>
      <c r="F44" t="s">
        <v>123</v>
      </c>
      <c r="G44">
        <v>1</v>
      </c>
      <c r="H44">
        <v>0</v>
      </c>
      <c r="I44">
        <v>0</v>
      </c>
      <c r="J44">
        <v>10.73</v>
      </c>
      <c r="K44">
        <v>1</v>
      </c>
      <c r="L44">
        <v>0</v>
      </c>
      <c r="M44">
        <v>0</v>
      </c>
      <c r="N44">
        <v>18.73</v>
      </c>
      <c r="O44">
        <v>-18.73</v>
      </c>
      <c r="P44">
        <v>-88.02</v>
      </c>
      <c r="Q44" t="s">
        <v>1031</v>
      </c>
      <c r="R44" t="s">
        <v>1112</v>
      </c>
    </row>
    <row r="45" spans="1:18">
      <c r="A45" t="s">
        <v>1113</v>
      </c>
      <c r="B45" t="s">
        <v>132</v>
      </c>
      <c r="C45" t="s">
        <v>39</v>
      </c>
      <c r="D45" t="s">
        <v>40</v>
      </c>
      <c r="E45" t="s">
        <v>82</v>
      </c>
      <c r="F45" t="s">
        <v>83</v>
      </c>
      <c r="G45">
        <v>1</v>
      </c>
      <c r="H45">
        <v>0</v>
      </c>
      <c r="I45">
        <v>0</v>
      </c>
      <c r="J45">
        <v>6.7</v>
      </c>
      <c r="K45">
        <v>1</v>
      </c>
      <c r="L45">
        <v>0</v>
      </c>
      <c r="M45">
        <v>0</v>
      </c>
      <c r="N45">
        <v>14.7</v>
      </c>
      <c r="O45">
        <v>-14.7</v>
      </c>
      <c r="P45">
        <v>-69.09</v>
      </c>
      <c r="Q45" t="s">
        <v>1031</v>
      </c>
      <c r="R45" t="s">
        <v>1114</v>
      </c>
    </row>
    <row r="46" spans="1:18">
      <c r="A46" t="s">
        <v>1115</v>
      </c>
      <c r="B46" t="s">
        <v>132</v>
      </c>
      <c r="C46" t="s">
        <v>41</v>
      </c>
      <c r="D46" t="s">
        <v>42</v>
      </c>
      <c r="E46" t="s">
        <v>122</v>
      </c>
      <c r="F46" t="s">
        <v>123</v>
      </c>
      <c r="G46">
        <v>1</v>
      </c>
      <c r="H46">
        <v>0</v>
      </c>
      <c r="I46">
        <v>0</v>
      </c>
      <c r="J46">
        <v>10.73</v>
      </c>
      <c r="K46">
        <v>1</v>
      </c>
      <c r="L46">
        <v>0</v>
      </c>
      <c r="M46">
        <v>0</v>
      </c>
      <c r="N46">
        <v>18.73</v>
      </c>
      <c r="O46">
        <v>-18.73</v>
      </c>
      <c r="P46">
        <v>-88.02</v>
      </c>
      <c r="Q46" t="s">
        <v>1031</v>
      </c>
      <c r="R46" t="s">
        <v>1116</v>
      </c>
    </row>
    <row r="47" spans="1:18">
      <c r="A47" t="s">
        <v>1117</v>
      </c>
      <c r="B47" t="s">
        <v>132</v>
      </c>
      <c r="C47" t="s">
        <v>41</v>
      </c>
      <c r="D47" t="s">
        <v>42</v>
      </c>
      <c r="E47" t="s">
        <v>122</v>
      </c>
      <c r="F47" t="s">
        <v>123</v>
      </c>
      <c r="G47">
        <v>1</v>
      </c>
      <c r="H47">
        <v>0</v>
      </c>
      <c r="I47">
        <v>0</v>
      </c>
      <c r="J47">
        <v>10.73</v>
      </c>
      <c r="K47">
        <v>1</v>
      </c>
      <c r="L47">
        <v>0</v>
      </c>
      <c r="M47">
        <v>0</v>
      </c>
      <c r="N47">
        <v>18.73</v>
      </c>
      <c r="O47">
        <v>-18.73</v>
      </c>
      <c r="P47">
        <v>-88.02</v>
      </c>
      <c r="Q47" t="s">
        <v>1031</v>
      </c>
      <c r="R47" t="s">
        <v>1118</v>
      </c>
    </row>
    <row r="48" spans="1:18">
      <c r="A48" t="s">
        <v>1119</v>
      </c>
      <c r="B48" t="s">
        <v>132</v>
      </c>
      <c r="C48" t="s">
        <v>41</v>
      </c>
      <c r="D48" t="s">
        <v>42</v>
      </c>
      <c r="E48" t="s">
        <v>122</v>
      </c>
      <c r="F48" t="s">
        <v>123</v>
      </c>
      <c r="G48">
        <v>1</v>
      </c>
      <c r="H48">
        <v>0</v>
      </c>
      <c r="I48">
        <v>0</v>
      </c>
      <c r="J48">
        <v>10.73</v>
      </c>
      <c r="K48">
        <v>1</v>
      </c>
      <c r="L48">
        <v>0</v>
      </c>
      <c r="M48">
        <v>0</v>
      </c>
      <c r="N48">
        <v>18.73</v>
      </c>
      <c r="O48">
        <v>-18.73</v>
      </c>
      <c r="P48">
        <v>-88.02</v>
      </c>
      <c r="Q48" t="s">
        <v>1031</v>
      </c>
      <c r="R48" t="s">
        <v>1120</v>
      </c>
    </row>
    <row r="49" spans="1:18">
      <c r="A49" t="s">
        <v>1121</v>
      </c>
      <c r="B49" t="s">
        <v>132</v>
      </c>
      <c r="C49" t="s">
        <v>39</v>
      </c>
      <c r="D49" t="s">
        <v>40</v>
      </c>
      <c r="E49" t="s">
        <v>82</v>
      </c>
      <c r="F49" t="s">
        <v>83</v>
      </c>
      <c r="G49">
        <v>1</v>
      </c>
      <c r="H49">
        <v>0</v>
      </c>
      <c r="I49">
        <v>0</v>
      </c>
      <c r="J49">
        <v>6.7</v>
      </c>
      <c r="K49">
        <v>1</v>
      </c>
      <c r="L49">
        <v>0</v>
      </c>
      <c r="M49">
        <v>0</v>
      </c>
      <c r="N49">
        <v>14.7</v>
      </c>
      <c r="O49">
        <v>-14.7</v>
      </c>
      <c r="P49">
        <v>-69.09</v>
      </c>
      <c r="Q49" t="s">
        <v>1031</v>
      </c>
      <c r="R49" t="s">
        <v>1122</v>
      </c>
    </row>
    <row r="50" spans="1:18">
      <c r="A50" t="s">
        <v>1123</v>
      </c>
      <c r="B50" t="s">
        <v>132</v>
      </c>
      <c r="C50" t="s">
        <v>41</v>
      </c>
      <c r="D50" t="s">
        <v>42</v>
      </c>
      <c r="E50" t="s">
        <v>122</v>
      </c>
      <c r="F50" t="s">
        <v>123</v>
      </c>
      <c r="G50">
        <v>1</v>
      </c>
      <c r="H50">
        <v>0</v>
      </c>
      <c r="I50">
        <v>0</v>
      </c>
      <c r="J50">
        <v>10.73</v>
      </c>
      <c r="K50">
        <v>1</v>
      </c>
      <c r="L50">
        <v>0</v>
      </c>
      <c r="M50">
        <v>0</v>
      </c>
      <c r="N50">
        <v>18.73</v>
      </c>
      <c r="O50">
        <v>-18.73</v>
      </c>
      <c r="P50">
        <v>-88.02</v>
      </c>
      <c r="Q50" t="s">
        <v>1031</v>
      </c>
      <c r="R50" t="s">
        <v>1124</v>
      </c>
    </row>
    <row r="51" spans="1:18">
      <c r="A51" t="s">
        <v>1125</v>
      </c>
      <c r="B51" t="s">
        <v>132</v>
      </c>
      <c r="C51" t="s">
        <v>41</v>
      </c>
      <c r="D51" t="s">
        <v>42</v>
      </c>
      <c r="E51" t="s">
        <v>122</v>
      </c>
      <c r="F51" t="s">
        <v>123</v>
      </c>
      <c r="G51">
        <v>1</v>
      </c>
      <c r="H51">
        <v>0</v>
      </c>
      <c r="I51">
        <v>0</v>
      </c>
      <c r="J51">
        <v>10.73</v>
      </c>
      <c r="K51">
        <v>1</v>
      </c>
      <c r="L51">
        <v>0</v>
      </c>
      <c r="M51">
        <v>0</v>
      </c>
      <c r="N51">
        <v>18.73</v>
      </c>
      <c r="O51">
        <v>-18.73</v>
      </c>
      <c r="P51">
        <v>-88.02</v>
      </c>
      <c r="Q51" t="s">
        <v>1031</v>
      </c>
      <c r="R51" t="s">
        <v>1126</v>
      </c>
    </row>
    <row r="52" spans="1:18">
      <c r="A52" t="s">
        <v>1127</v>
      </c>
      <c r="B52" t="s">
        <v>132</v>
      </c>
      <c r="C52" t="s">
        <v>41</v>
      </c>
      <c r="D52" t="s">
        <v>42</v>
      </c>
      <c r="E52" t="s">
        <v>122</v>
      </c>
      <c r="F52" t="s">
        <v>123</v>
      </c>
      <c r="G52">
        <v>1</v>
      </c>
      <c r="H52">
        <v>0</v>
      </c>
      <c r="I52">
        <v>0</v>
      </c>
      <c r="J52">
        <v>10.73</v>
      </c>
      <c r="K52">
        <v>1</v>
      </c>
      <c r="L52">
        <v>0</v>
      </c>
      <c r="M52">
        <v>0</v>
      </c>
      <c r="N52">
        <v>18.73</v>
      </c>
      <c r="O52">
        <v>-18.73</v>
      </c>
      <c r="P52">
        <v>-88.02</v>
      </c>
      <c r="Q52" t="s">
        <v>1031</v>
      </c>
      <c r="R52" t="s">
        <v>1128</v>
      </c>
    </row>
    <row r="53" spans="1:18">
      <c r="A53" t="s">
        <v>1129</v>
      </c>
      <c r="B53" t="s">
        <v>132</v>
      </c>
      <c r="C53" t="s">
        <v>39</v>
      </c>
      <c r="D53" t="s">
        <v>40</v>
      </c>
      <c r="E53" t="s">
        <v>82</v>
      </c>
      <c r="F53" t="s">
        <v>83</v>
      </c>
      <c r="G53">
        <v>1</v>
      </c>
      <c r="H53">
        <v>0</v>
      </c>
      <c r="I53">
        <v>0</v>
      </c>
      <c r="J53">
        <v>6.7</v>
      </c>
      <c r="K53">
        <v>1</v>
      </c>
      <c r="L53">
        <v>0</v>
      </c>
      <c r="M53">
        <v>0</v>
      </c>
      <c r="N53">
        <v>14.7</v>
      </c>
      <c r="O53">
        <v>-14.7</v>
      </c>
      <c r="P53">
        <v>-69.09</v>
      </c>
      <c r="Q53" t="s">
        <v>1031</v>
      </c>
      <c r="R53" t="s">
        <v>1130</v>
      </c>
    </row>
    <row r="54" spans="1:18">
      <c r="A54" t="s">
        <v>1131</v>
      </c>
      <c r="B54" t="s">
        <v>132</v>
      </c>
      <c r="C54" t="s">
        <v>39</v>
      </c>
      <c r="D54" t="s">
        <v>40</v>
      </c>
      <c r="E54" t="s">
        <v>82</v>
      </c>
      <c r="F54" t="s">
        <v>83</v>
      </c>
      <c r="G54">
        <v>1</v>
      </c>
      <c r="H54">
        <v>0</v>
      </c>
      <c r="I54">
        <v>0</v>
      </c>
      <c r="J54">
        <v>6.7</v>
      </c>
      <c r="K54">
        <v>1</v>
      </c>
      <c r="L54">
        <v>0</v>
      </c>
      <c r="M54">
        <v>0</v>
      </c>
      <c r="N54">
        <v>14.7</v>
      </c>
      <c r="O54">
        <v>-14.7</v>
      </c>
      <c r="P54">
        <v>-69.09</v>
      </c>
      <c r="Q54" t="s">
        <v>1031</v>
      </c>
      <c r="R54" t="s">
        <v>1132</v>
      </c>
    </row>
    <row r="55" spans="1:18">
      <c r="A55" t="s">
        <v>1133</v>
      </c>
      <c r="B55" t="s">
        <v>132</v>
      </c>
      <c r="C55" t="s">
        <v>39</v>
      </c>
      <c r="D55" t="s">
        <v>40</v>
      </c>
      <c r="E55" t="s">
        <v>82</v>
      </c>
      <c r="F55" t="s">
        <v>83</v>
      </c>
      <c r="G55">
        <v>1</v>
      </c>
      <c r="H55">
        <v>0</v>
      </c>
      <c r="I55">
        <v>0</v>
      </c>
      <c r="J55">
        <v>6.7</v>
      </c>
      <c r="K55">
        <v>1</v>
      </c>
      <c r="L55">
        <v>0</v>
      </c>
      <c r="M55">
        <v>0</v>
      </c>
      <c r="N55">
        <v>14.7</v>
      </c>
      <c r="O55">
        <v>-14.7</v>
      </c>
      <c r="P55">
        <v>-69.09</v>
      </c>
      <c r="Q55" t="s">
        <v>1031</v>
      </c>
      <c r="R55" t="s">
        <v>1134</v>
      </c>
    </row>
    <row r="56" spans="1:18">
      <c r="A56" t="s">
        <v>1135</v>
      </c>
      <c r="B56" t="s">
        <v>132</v>
      </c>
      <c r="C56" t="s">
        <v>39</v>
      </c>
      <c r="D56" t="s">
        <v>40</v>
      </c>
      <c r="E56" t="s">
        <v>82</v>
      </c>
      <c r="F56" t="s">
        <v>83</v>
      </c>
      <c r="G56">
        <v>1</v>
      </c>
      <c r="H56">
        <v>0</v>
      </c>
      <c r="I56">
        <v>0</v>
      </c>
      <c r="J56">
        <v>6.7</v>
      </c>
      <c r="K56">
        <v>1</v>
      </c>
      <c r="L56">
        <v>0</v>
      </c>
      <c r="M56">
        <v>0</v>
      </c>
      <c r="N56">
        <v>14.7</v>
      </c>
      <c r="O56">
        <v>-14.7</v>
      </c>
      <c r="P56">
        <v>-69.09</v>
      </c>
      <c r="Q56" t="s">
        <v>1031</v>
      </c>
      <c r="R56" t="s">
        <v>1136</v>
      </c>
    </row>
    <row r="57" spans="1:18">
      <c r="A57" t="s">
        <v>1137</v>
      </c>
      <c r="B57" t="s">
        <v>132</v>
      </c>
      <c r="C57" t="s">
        <v>39</v>
      </c>
      <c r="D57" t="s">
        <v>40</v>
      </c>
      <c r="E57" t="s">
        <v>82</v>
      </c>
      <c r="F57" t="s">
        <v>83</v>
      </c>
      <c r="G57">
        <v>1</v>
      </c>
      <c r="H57">
        <v>0</v>
      </c>
      <c r="I57">
        <v>0</v>
      </c>
      <c r="J57">
        <v>6.7</v>
      </c>
      <c r="K57">
        <v>1</v>
      </c>
      <c r="L57">
        <v>0</v>
      </c>
      <c r="M57">
        <v>0</v>
      </c>
      <c r="N57">
        <v>14.7</v>
      </c>
      <c r="O57">
        <v>-14.7</v>
      </c>
      <c r="P57">
        <v>-69.09</v>
      </c>
      <c r="Q57" t="s">
        <v>1031</v>
      </c>
      <c r="R57" t="s">
        <v>1138</v>
      </c>
    </row>
    <row r="58" spans="1:18">
      <c r="A58" t="s">
        <v>1139</v>
      </c>
      <c r="B58" t="s">
        <v>132</v>
      </c>
      <c r="C58" t="s">
        <v>39</v>
      </c>
      <c r="D58" t="s">
        <v>40</v>
      </c>
      <c r="E58" t="s">
        <v>82</v>
      </c>
      <c r="F58" t="s">
        <v>83</v>
      </c>
      <c r="G58">
        <v>1</v>
      </c>
      <c r="H58">
        <v>0</v>
      </c>
      <c r="I58">
        <v>0</v>
      </c>
      <c r="J58">
        <v>6.7</v>
      </c>
      <c r="K58">
        <v>1</v>
      </c>
      <c r="L58">
        <v>0</v>
      </c>
      <c r="M58">
        <v>0</v>
      </c>
      <c r="N58">
        <v>14.7</v>
      </c>
      <c r="O58">
        <v>-14.7</v>
      </c>
      <c r="P58">
        <v>-69.09</v>
      </c>
      <c r="Q58" t="s">
        <v>1031</v>
      </c>
      <c r="R58" t="s">
        <v>1140</v>
      </c>
    </row>
    <row r="59" spans="1:18">
      <c r="A59" t="s">
        <v>1141</v>
      </c>
      <c r="B59" t="s">
        <v>132</v>
      </c>
      <c r="C59" t="s">
        <v>39</v>
      </c>
      <c r="D59" t="s">
        <v>40</v>
      </c>
      <c r="E59" t="s">
        <v>82</v>
      </c>
      <c r="F59" t="s">
        <v>83</v>
      </c>
      <c r="G59">
        <v>1</v>
      </c>
      <c r="H59">
        <v>0</v>
      </c>
      <c r="I59">
        <v>0</v>
      </c>
      <c r="J59">
        <v>6.7</v>
      </c>
      <c r="K59">
        <v>1</v>
      </c>
      <c r="L59">
        <v>0</v>
      </c>
      <c r="M59">
        <v>0</v>
      </c>
      <c r="N59">
        <v>14.7</v>
      </c>
      <c r="O59">
        <v>-14.7</v>
      </c>
      <c r="P59">
        <v>-69.09</v>
      </c>
      <c r="Q59" t="s">
        <v>1031</v>
      </c>
      <c r="R59" t="s">
        <v>1142</v>
      </c>
    </row>
    <row r="60" spans="1:18">
      <c r="A60" t="s">
        <v>1143</v>
      </c>
      <c r="B60" t="s">
        <v>132</v>
      </c>
      <c r="C60" t="s">
        <v>39</v>
      </c>
      <c r="D60" t="s">
        <v>40</v>
      </c>
      <c r="E60" t="s">
        <v>82</v>
      </c>
      <c r="F60" t="s">
        <v>83</v>
      </c>
      <c r="G60">
        <v>1</v>
      </c>
      <c r="H60">
        <v>0</v>
      </c>
      <c r="I60">
        <v>0</v>
      </c>
      <c r="J60">
        <v>6.7</v>
      </c>
      <c r="K60">
        <v>1</v>
      </c>
      <c r="L60">
        <v>0</v>
      </c>
      <c r="M60">
        <v>0</v>
      </c>
      <c r="N60">
        <v>14.7</v>
      </c>
      <c r="O60">
        <v>-14.7</v>
      </c>
      <c r="P60">
        <v>-69.09</v>
      </c>
      <c r="Q60" t="s">
        <v>1031</v>
      </c>
      <c r="R60" t="s">
        <v>1144</v>
      </c>
    </row>
    <row r="61" spans="1:18">
      <c r="A61" t="s">
        <v>1145</v>
      </c>
      <c r="B61" t="s">
        <v>132</v>
      </c>
      <c r="C61" t="s">
        <v>39</v>
      </c>
      <c r="D61" t="s">
        <v>40</v>
      </c>
      <c r="E61" t="s">
        <v>82</v>
      </c>
      <c r="F61" t="s">
        <v>83</v>
      </c>
      <c r="G61">
        <v>1</v>
      </c>
      <c r="H61">
        <v>0</v>
      </c>
      <c r="I61">
        <v>0</v>
      </c>
      <c r="J61">
        <v>6.7</v>
      </c>
      <c r="K61">
        <v>1</v>
      </c>
      <c r="L61">
        <v>0</v>
      </c>
      <c r="M61">
        <v>0</v>
      </c>
      <c r="N61">
        <v>14.7</v>
      </c>
      <c r="O61">
        <v>-14.7</v>
      </c>
      <c r="P61">
        <v>-69.09</v>
      </c>
      <c r="Q61" t="s">
        <v>1031</v>
      </c>
      <c r="R61" t="s">
        <v>1146</v>
      </c>
    </row>
    <row r="62" spans="1:18">
      <c r="A62" t="s">
        <v>1147</v>
      </c>
      <c r="B62" t="s">
        <v>132</v>
      </c>
      <c r="C62" t="s">
        <v>39</v>
      </c>
      <c r="D62" t="s">
        <v>40</v>
      </c>
      <c r="E62" t="s">
        <v>82</v>
      </c>
      <c r="F62" t="s">
        <v>83</v>
      </c>
      <c r="G62">
        <v>1</v>
      </c>
      <c r="H62">
        <v>0</v>
      </c>
      <c r="I62">
        <v>0</v>
      </c>
      <c r="J62">
        <v>6.7</v>
      </c>
      <c r="K62">
        <v>1</v>
      </c>
      <c r="L62">
        <v>0</v>
      </c>
      <c r="M62">
        <v>0</v>
      </c>
      <c r="N62">
        <v>14.7</v>
      </c>
      <c r="O62">
        <v>-14.7</v>
      </c>
      <c r="P62">
        <v>-69.09</v>
      </c>
      <c r="Q62" t="s">
        <v>1031</v>
      </c>
      <c r="R62" t="s">
        <v>1148</v>
      </c>
    </row>
    <row r="63" spans="1:18">
      <c r="A63" t="s">
        <v>1149</v>
      </c>
      <c r="B63" t="s">
        <v>132</v>
      </c>
      <c r="C63" t="s">
        <v>39</v>
      </c>
      <c r="D63" t="s">
        <v>40</v>
      </c>
      <c r="E63" t="s">
        <v>82</v>
      </c>
      <c r="F63" t="s">
        <v>83</v>
      </c>
      <c r="G63">
        <v>1</v>
      </c>
      <c r="H63">
        <v>0</v>
      </c>
      <c r="I63">
        <v>0</v>
      </c>
      <c r="J63">
        <v>6.7</v>
      </c>
      <c r="K63">
        <v>1</v>
      </c>
      <c r="L63">
        <v>0</v>
      </c>
      <c r="M63">
        <v>0</v>
      </c>
      <c r="N63">
        <v>14.7</v>
      </c>
      <c r="O63">
        <v>-14.7</v>
      </c>
      <c r="P63">
        <v>-69.09</v>
      </c>
      <c r="Q63" t="s">
        <v>1031</v>
      </c>
      <c r="R63" t="s">
        <v>1150</v>
      </c>
    </row>
    <row r="64" spans="1:18">
      <c r="A64" t="s">
        <v>1151</v>
      </c>
      <c r="B64" t="s">
        <v>132</v>
      </c>
      <c r="C64" t="s">
        <v>41</v>
      </c>
      <c r="D64" t="s">
        <v>42</v>
      </c>
      <c r="E64" t="s">
        <v>122</v>
      </c>
      <c r="F64" t="s">
        <v>123</v>
      </c>
      <c r="G64">
        <v>1</v>
      </c>
      <c r="H64">
        <v>0</v>
      </c>
      <c r="I64">
        <v>0</v>
      </c>
      <c r="J64">
        <v>10.73</v>
      </c>
      <c r="K64">
        <v>1</v>
      </c>
      <c r="L64">
        <v>0</v>
      </c>
      <c r="M64">
        <v>0</v>
      </c>
      <c r="N64">
        <v>18.73</v>
      </c>
      <c r="O64">
        <v>-18.73</v>
      </c>
      <c r="P64">
        <v>-88.02</v>
      </c>
      <c r="Q64" t="s">
        <v>1031</v>
      </c>
      <c r="R64" t="s">
        <v>1152</v>
      </c>
    </row>
    <row r="65" spans="1:18">
      <c r="A65" t="s">
        <v>1153</v>
      </c>
      <c r="B65" t="s">
        <v>132</v>
      </c>
      <c r="C65" t="s">
        <v>39</v>
      </c>
      <c r="D65" t="s">
        <v>40</v>
      </c>
      <c r="E65" t="s">
        <v>82</v>
      </c>
      <c r="F65" t="s">
        <v>83</v>
      </c>
      <c r="G65">
        <v>1</v>
      </c>
      <c r="H65">
        <v>0</v>
      </c>
      <c r="I65">
        <v>0</v>
      </c>
      <c r="J65">
        <v>6.7</v>
      </c>
      <c r="K65">
        <v>1</v>
      </c>
      <c r="L65">
        <v>0</v>
      </c>
      <c r="M65">
        <v>0</v>
      </c>
      <c r="N65">
        <v>14.7</v>
      </c>
      <c r="O65">
        <v>-14.7</v>
      </c>
      <c r="P65">
        <v>-69.09</v>
      </c>
      <c r="Q65" t="s">
        <v>1031</v>
      </c>
      <c r="R65" t="s">
        <v>1154</v>
      </c>
    </row>
    <row r="66" spans="1:18">
      <c r="A66" t="s">
        <v>1155</v>
      </c>
      <c r="B66" t="s">
        <v>132</v>
      </c>
      <c r="C66" t="s">
        <v>39</v>
      </c>
      <c r="D66" t="s">
        <v>40</v>
      </c>
      <c r="E66" t="s">
        <v>82</v>
      </c>
      <c r="F66" t="s">
        <v>83</v>
      </c>
      <c r="G66">
        <v>1</v>
      </c>
      <c r="H66">
        <v>0</v>
      </c>
      <c r="I66">
        <v>0</v>
      </c>
      <c r="J66">
        <v>6.7</v>
      </c>
      <c r="K66">
        <v>1</v>
      </c>
      <c r="L66">
        <v>0</v>
      </c>
      <c r="M66">
        <v>0</v>
      </c>
      <c r="N66">
        <v>14.7</v>
      </c>
      <c r="O66">
        <v>-14.7</v>
      </c>
      <c r="P66">
        <v>-69.09</v>
      </c>
      <c r="Q66" t="s">
        <v>1031</v>
      </c>
      <c r="R66" t="s">
        <v>1156</v>
      </c>
    </row>
    <row r="67" spans="1:18">
      <c r="A67" t="s">
        <v>1157</v>
      </c>
      <c r="B67" t="s">
        <v>132</v>
      </c>
      <c r="C67" t="s">
        <v>39</v>
      </c>
      <c r="D67" t="s">
        <v>40</v>
      </c>
      <c r="E67" t="s">
        <v>82</v>
      </c>
      <c r="F67" t="s">
        <v>83</v>
      </c>
      <c r="G67">
        <v>1</v>
      </c>
      <c r="H67">
        <v>0</v>
      </c>
      <c r="I67">
        <v>0</v>
      </c>
      <c r="J67">
        <v>6.7</v>
      </c>
      <c r="K67">
        <v>1</v>
      </c>
      <c r="L67">
        <v>0</v>
      </c>
      <c r="M67">
        <v>0</v>
      </c>
      <c r="N67">
        <v>14.7</v>
      </c>
      <c r="O67">
        <v>-14.7</v>
      </c>
      <c r="P67">
        <v>-69.09</v>
      </c>
      <c r="Q67" t="s">
        <v>1031</v>
      </c>
      <c r="R67" t="s">
        <v>1158</v>
      </c>
    </row>
    <row r="68" spans="1:18">
      <c r="A68" t="s">
        <v>1159</v>
      </c>
      <c r="B68" t="s">
        <v>132</v>
      </c>
      <c r="C68" t="s">
        <v>39</v>
      </c>
      <c r="D68" t="s">
        <v>40</v>
      </c>
      <c r="E68" t="s">
        <v>82</v>
      </c>
      <c r="F68" t="s">
        <v>83</v>
      </c>
      <c r="G68">
        <v>1</v>
      </c>
      <c r="H68">
        <v>0</v>
      </c>
      <c r="I68">
        <v>0</v>
      </c>
      <c r="J68">
        <v>6.7</v>
      </c>
      <c r="K68">
        <v>1</v>
      </c>
      <c r="L68">
        <v>0</v>
      </c>
      <c r="M68">
        <v>0</v>
      </c>
      <c r="N68">
        <v>14.7</v>
      </c>
      <c r="O68">
        <v>-14.7</v>
      </c>
      <c r="P68">
        <v>-69.09</v>
      </c>
      <c r="Q68" t="s">
        <v>1031</v>
      </c>
      <c r="R68" t="s">
        <v>1160</v>
      </c>
    </row>
    <row r="69" spans="1:18">
      <c r="A69" t="s">
        <v>1161</v>
      </c>
      <c r="B69" t="s">
        <v>132</v>
      </c>
      <c r="C69" t="s">
        <v>41</v>
      </c>
      <c r="D69" t="s">
        <v>42</v>
      </c>
      <c r="E69" t="s">
        <v>122</v>
      </c>
      <c r="F69" t="s">
        <v>123</v>
      </c>
      <c r="G69">
        <v>1</v>
      </c>
      <c r="H69">
        <v>0</v>
      </c>
      <c r="I69">
        <v>0</v>
      </c>
      <c r="J69">
        <v>10.73</v>
      </c>
      <c r="K69">
        <v>1</v>
      </c>
      <c r="L69">
        <v>0</v>
      </c>
      <c r="M69">
        <v>0</v>
      </c>
      <c r="N69">
        <v>18.73</v>
      </c>
      <c r="O69">
        <v>-18.73</v>
      </c>
      <c r="P69">
        <v>-88.02</v>
      </c>
      <c r="Q69" t="s">
        <v>1031</v>
      </c>
      <c r="R69" t="s">
        <v>1162</v>
      </c>
    </row>
    <row r="70" spans="1:18">
      <c r="A70" t="s">
        <v>1163</v>
      </c>
      <c r="B70" t="s">
        <v>132</v>
      </c>
      <c r="C70" t="s">
        <v>41</v>
      </c>
      <c r="D70" t="s">
        <v>42</v>
      </c>
      <c r="E70" t="s">
        <v>122</v>
      </c>
      <c r="F70" t="s">
        <v>123</v>
      </c>
      <c r="G70">
        <v>1</v>
      </c>
      <c r="H70">
        <v>0</v>
      </c>
      <c r="I70">
        <v>0</v>
      </c>
      <c r="J70">
        <v>10.73</v>
      </c>
      <c r="K70">
        <v>1</v>
      </c>
      <c r="L70">
        <v>0</v>
      </c>
      <c r="M70">
        <v>0</v>
      </c>
      <c r="N70">
        <v>18.73</v>
      </c>
      <c r="O70">
        <v>-18.73</v>
      </c>
      <c r="P70">
        <v>-88.02</v>
      </c>
      <c r="Q70" t="s">
        <v>1031</v>
      </c>
      <c r="R70" t="s">
        <v>1164</v>
      </c>
    </row>
    <row r="71" spans="1:18">
      <c r="A71" t="s">
        <v>1165</v>
      </c>
      <c r="B71" t="s">
        <v>132</v>
      </c>
      <c r="C71" t="s">
        <v>39</v>
      </c>
      <c r="D71" t="s">
        <v>40</v>
      </c>
      <c r="E71" t="s">
        <v>82</v>
      </c>
      <c r="F71" t="s">
        <v>83</v>
      </c>
      <c r="G71">
        <v>1</v>
      </c>
      <c r="H71">
        <v>0</v>
      </c>
      <c r="I71">
        <v>0</v>
      </c>
      <c r="J71">
        <v>6.7</v>
      </c>
      <c r="K71">
        <v>1</v>
      </c>
      <c r="L71">
        <v>0</v>
      </c>
      <c r="M71">
        <v>0</v>
      </c>
      <c r="N71">
        <v>14.7</v>
      </c>
      <c r="O71">
        <v>-14.7</v>
      </c>
      <c r="P71">
        <v>-69.09</v>
      </c>
      <c r="Q71" t="s">
        <v>1031</v>
      </c>
      <c r="R71" t="s">
        <v>1166</v>
      </c>
    </row>
    <row r="72" spans="1:18">
      <c r="A72" t="s">
        <v>1167</v>
      </c>
      <c r="B72" t="s">
        <v>132</v>
      </c>
      <c r="C72" t="s">
        <v>39</v>
      </c>
      <c r="D72" t="s">
        <v>40</v>
      </c>
      <c r="E72" t="s">
        <v>82</v>
      </c>
      <c r="F72" t="s">
        <v>83</v>
      </c>
      <c r="G72">
        <v>1</v>
      </c>
      <c r="H72">
        <v>0</v>
      </c>
      <c r="I72">
        <v>0</v>
      </c>
      <c r="J72">
        <v>6.7</v>
      </c>
      <c r="K72">
        <v>1</v>
      </c>
      <c r="L72">
        <v>0</v>
      </c>
      <c r="M72">
        <v>0</v>
      </c>
      <c r="N72">
        <v>14.7</v>
      </c>
      <c r="O72">
        <v>-14.7</v>
      </c>
      <c r="P72">
        <v>-69.09</v>
      </c>
      <c r="Q72" t="s">
        <v>1031</v>
      </c>
      <c r="R72" t="s">
        <v>1168</v>
      </c>
    </row>
    <row r="73" spans="1:18">
      <c r="A73" t="s">
        <v>1169</v>
      </c>
      <c r="B73" t="s">
        <v>132</v>
      </c>
      <c r="C73" t="s">
        <v>39</v>
      </c>
      <c r="D73" t="s">
        <v>40</v>
      </c>
      <c r="E73" t="s">
        <v>82</v>
      </c>
      <c r="F73" t="s">
        <v>83</v>
      </c>
      <c r="G73">
        <v>1</v>
      </c>
      <c r="H73">
        <v>0</v>
      </c>
      <c r="I73">
        <v>0</v>
      </c>
      <c r="J73">
        <v>6.7</v>
      </c>
      <c r="K73">
        <v>1</v>
      </c>
      <c r="L73">
        <v>0</v>
      </c>
      <c r="M73">
        <v>0</v>
      </c>
      <c r="N73">
        <v>14.7</v>
      </c>
      <c r="O73">
        <v>-14.7</v>
      </c>
      <c r="P73">
        <v>-69.09</v>
      </c>
      <c r="Q73" t="s">
        <v>1031</v>
      </c>
      <c r="R73" t="s">
        <v>1170</v>
      </c>
    </row>
    <row r="74" spans="1:18">
      <c r="A74" t="s">
        <v>1171</v>
      </c>
      <c r="B74" t="s">
        <v>132</v>
      </c>
      <c r="C74" t="s">
        <v>39</v>
      </c>
      <c r="D74" t="s">
        <v>40</v>
      </c>
      <c r="E74" t="s">
        <v>82</v>
      </c>
      <c r="F74" t="s">
        <v>83</v>
      </c>
      <c r="G74">
        <v>1</v>
      </c>
      <c r="H74">
        <v>0</v>
      </c>
      <c r="I74">
        <v>0</v>
      </c>
      <c r="J74">
        <v>6.7</v>
      </c>
      <c r="K74">
        <v>1</v>
      </c>
      <c r="L74">
        <v>0</v>
      </c>
      <c r="M74">
        <v>0</v>
      </c>
      <c r="N74">
        <v>14.7</v>
      </c>
      <c r="O74">
        <v>-14.7</v>
      </c>
      <c r="P74">
        <v>-69.09</v>
      </c>
      <c r="Q74" t="s">
        <v>1031</v>
      </c>
      <c r="R74" t="s">
        <v>1172</v>
      </c>
    </row>
    <row r="75" spans="1:18">
      <c r="A75" t="s">
        <v>1173</v>
      </c>
      <c r="B75" t="s">
        <v>132</v>
      </c>
      <c r="C75" t="s">
        <v>39</v>
      </c>
      <c r="D75" t="s">
        <v>40</v>
      </c>
      <c r="E75" t="s">
        <v>82</v>
      </c>
      <c r="F75" t="s">
        <v>83</v>
      </c>
      <c r="G75">
        <v>1</v>
      </c>
      <c r="H75">
        <v>0</v>
      </c>
      <c r="I75">
        <v>0</v>
      </c>
      <c r="J75">
        <v>6.7</v>
      </c>
      <c r="K75">
        <v>1</v>
      </c>
      <c r="L75">
        <v>0</v>
      </c>
      <c r="M75">
        <v>0</v>
      </c>
      <c r="N75">
        <v>14.7</v>
      </c>
      <c r="O75">
        <v>-14.7</v>
      </c>
      <c r="P75">
        <v>-69.09</v>
      </c>
      <c r="Q75" t="s">
        <v>1031</v>
      </c>
      <c r="R75" t="s">
        <v>1174</v>
      </c>
    </row>
    <row r="76" spans="1:18">
      <c r="A76" t="s">
        <v>1175</v>
      </c>
      <c r="B76" t="s">
        <v>132</v>
      </c>
      <c r="C76" t="s">
        <v>39</v>
      </c>
      <c r="D76" t="s">
        <v>40</v>
      </c>
      <c r="E76" t="s">
        <v>82</v>
      </c>
      <c r="F76" t="s">
        <v>83</v>
      </c>
      <c r="G76">
        <v>1</v>
      </c>
      <c r="H76">
        <v>0</v>
      </c>
      <c r="I76">
        <v>0</v>
      </c>
      <c r="J76">
        <v>6.7</v>
      </c>
      <c r="K76">
        <v>1</v>
      </c>
      <c r="L76">
        <v>0</v>
      </c>
      <c r="M76">
        <v>0</v>
      </c>
      <c r="N76">
        <v>14.7</v>
      </c>
      <c r="O76">
        <v>-14.7</v>
      </c>
      <c r="P76">
        <v>-69.09</v>
      </c>
      <c r="Q76" t="s">
        <v>1031</v>
      </c>
      <c r="R76" t="s">
        <v>1176</v>
      </c>
    </row>
    <row r="77" spans="1:18">
      <c r="A77" t="s">
        <v>1177</v>
      </c>
      <c r="B77" t="s">
        <v>132</v>
      </c>
      <c r="C77" t="s">
        <v>39</v>
      </c>
      <c r="D77" t="s">
        <v>40</v>
      </c>
      <c r="E77" t="s">
        <v>82</v>
      </c>
      <c r="F77" t="s">
        <v>83</v>
      </c>
      <c r="G77">
        <v>1</v>
      </c>
      <c r="H77">
        <v>0</v>
      </c>
      <c r="I77">
        <v>0</v>
      </c>
      <c r="J77">
        <v>6.7</v>
      </c>
      <c r="K77">
        <v>1</v>
      </c>
      <c r="L77">
        <v>0</v>
      </c>
      <c r="M77">
        <v>0</v>
      </c>
      <c r="N77">
        <v>14.7</v>
      </c>
      <c r="O77">
        <v>-14.7</v>
      </c>
      <c r="P77">
        <v>-69.09</v>
      </c>
      <c r="Q77" t="s">
        <v>1031</v>
      </c>
      <c r="R77" t="s">
        <v>1178</v>
      </c>
    </row>
    <row r="78" spans="1:18">
      <c r="A78" t="s">
        <v>1179</v>
      </c>
      <c r="B78" t="s">
        <v>132</v>
      </c>
      <c r="C78" t="s">
        <v>39</v>
      </c>
      <c r="D78" t="s">
        <v>40</v>
      </c>
      <c r="E78" t="s">
        <v>82</v>
      </c>
      <c r="F78" t="s">
        <v>83</v>
      </c>
      <c r="G78">
        <v>1</v>
      </c>
      <c r="H78">
        <v>0</v>
      </c>
      <c r="I78">
        <v>0</v>
      </c>
      <c r="J78">
        <v>6.7</v>
      </c>
      <c r="K78">
        <v>1</v>
      </c>
      <c r="L78">
        <v>0</v>
      </c>
      <c r="M78">
        <v>0</v>
      </c>
      <c r="N78">
        <v>14.7</v>
      </c>
      <c r="O78">
        <v>-14.7</v>
      </c>
      <c r="P78">
        <v>-69.09</v>
      </c>
      <c r="Q78" t="s">
        <v>1031</v>
      </c>
      <c r="R78" t="s">
        <v>1180</v>
      </c>
    </row>
    <row r="79" spans="1:18">
      <c r="A79" t="s">
        <v>1181</v>
      </c>
      <c r="B79" t="s">
        <v>132</v>
      </c>
      <c r="C79" t="s">
        <v>39</v>
      </c>
      <c r="D79" t="s">
        <v>40</v>
      </c>
      <c r="E79" t="s">
        <v>82</v>
      </c>
      <c r="F79" t="s">
        <v>83</v>
      </c>
      <c r="G79">
        <v>1</v>
      </c>
      <c r="H79">
        <v>0</v>
      </c>
      <c r="I79">
        <v>0</v>
      </c>
      <c r="J79">
        <v>6.7</v>
      </c>
      <c r="K79">
        <v>1</v>
      </c>
      <c r="L79">
        <v>0</v>
      </c>
      <c r="M79">
        <v>0</v>
      </c>
      <c r="N79">
        <v>14.7</v>
      </c>
      <c r="O79">
        <v>-14.7</v>
      </c>
      <c r="P79">
        <v>-69.09</v>
      </c>
      <c r="Q79" t="s">
        <v>1031</v>
      </c>
      <c r="R79" t="s">
        <v>1182</v>
      </c>
    </row>
    <row r="80" spans="1:18">
      <c r="A80" t="s">
        <v>1183</v>
      </c>
      <c r="B80" t="s">
        <v>132</v>
      </c>
      <c r="C80" t="s">
        <v>39</v>
      </c>
      <c r="D80" t="s">
        <v>40</v>
      </c>
      <c r="E80" t="s">
        <v>82</v>
      </c>
      <c r="F80" t="s">
        <v>83</v>
      </c>
      <c r="G80">
        <v>1</v>
      </c>
      <c r="H80">
        <v>0</v>
      </c>
      <c r="I80">
        <v>0</v>
      </c>
      <c r="J80">
        <v>6.7</v>
      </c>
      <c r="K80">
        <v>1</v>
      </c>
      <c r="L80">
        <v>0</v>
      </c>
      <c r="M80">
        <v>0</v>
      </c>
      <c r="N80">
        <v>14.7</v>
      </c>
      <c r="O80">
        <v>-14.7</v>
      </c>
      <c r="P80">
        <v>-69.09</v>
      </c>
      <c r="Q80" t="s">
        <v>1031</v>
      </c>
      <c r="R80" t="s">
        <v>1184</v>
      </c>
    </row>
    <row r="81" spans="1:18">
      <c r="A81" t="s">
        <v>1185</v>
      </c>
      <c r="B81" t="s">
        <v>132</v>
      </c>
      <c r="C81" t="s">
        <v>41</v>
      </c>
      <c r="D81" t="s">
        <v>42</v>
      </c>
      <c r="E81" t="s">
        <v>122</v>
      </c>
      <c r="F81" t="s">
        <v>123</v>
      </c>
      <c r="G81">
        <v>1</v>
      </c>
      <c r="H81">
        <v>0</v>
      </c>
      <c r="I81">
        <v>0</v>
      </c>
      <c r="J81">
        <v>10.73</v>
      </c>
      <c r="K81">
        <v>1</v>
      </c>
      <c r="L81">
        <v>0</v>
      </c>
      <c r="M81">
        <v>0</v>
      </c>
      <c r="N81">
        <v>18.73</v>
      </c>
      <c r="O81">
        <v>-18.73</v>
      </c>
      <c r="P81">
        <v>-88.02</v>
      </c>
      <c r="Q81" t="s">
        <v>1031</v>
      </c>
      <c r="R81" t="s">
        <v>1186</v>
      </c>
    </row>
    <row r="82" spans="1:18">
      <c r="A82" t="s">
        <v>1187</v>
      </c>
      <c r="B82" t="s">
        <v>132</v>
      </c>
      <c r="C82" t="s">
        <v>39</v>
      </c>
      <c r="D82" t="s">
        <v>40</v>
      </c>
      <c r="E82" t="s">
        <v>82</v>
      </c>
      <c r="F82" t="s">
        <v>83</v>
      </c>
      <c r="G82">
        <v>1</v>
      </c>
      <c r="H82">
        <v>0</v>
      </c>
      <c r="I82">
        <v>0</v>
      </c>
      <c r="J82">
        <v>6.7</v>
      </c>
      <c r="K82">
        <v>1</v>
      </c>
      <c r="L82">
        <v>0</v>
      </c>
      <c r="M82">
        <v>0</v>
      </c>
      <c r="N82">
        <v>14.7</v>
      </c>
      <c r="O82">
        <v>-14.7</v>
      </c>
      <c r="P82">
        <v>-69.09</v>
      </c>
      <c r="Q82" t="s">
        <v>1031</v>
      </c>
      <c r="R82" t="s">
        <v>1188</v>
      </c>
    </row>
    <row r="83" spans="1:18">
      <c r="A83" t="s">
        <v>1189</v>
      </c>
      <c r="B83" t="s">
        <v>132</v>
      </c>
      <c r="C83" t="s">
        <v>39</v>
      </c>
      <c r="D83" t="s">
        <v>40</v>
      </c>
      <c r="E83" t="s">
        <v>82</v>
      </c>
      <c r="F83" t="s">
        <v>83</v>
      </c>
      <c r="G83">
        <v>1</v>
      </c>
      <c r="H83">
        <v>0</v>
      </c>
      <c r="I83">
        <v>0</v>
      </c>
      <c r="J83">
        <v>6.7</v>
      </c>
      <c r="K83">
        <v>1</v>
      </c>
      <c r="L83">
        <v>0</v>
      </c>
      <c r="M83">
        <v>0</v>
      </c>
      <c r="N83">
        <v>14.7</v>
      </c>
      <c r="O83">
        <v>-14.7</v>
      </c>
      <c r="P83">
        <v>-69.09</v>
      </c>
      <c r="Q83" t="s">
        <v>1031</v>
      </c>
      <c r="R83" t="s">
        <v>1190</v>
      </c>
    </row>
    <row r="84" spans="1:18">
      <c r="A84" t="s">
        <v>1191</v>
      </c>
      <c r="B84" t="s">
        <v>132</v>
      </c>
      <c r="C84" t="s">
        <v>41</v>
      </c>
      <c r="D84" t="s">
        <v>42</v>
      </c>
      <c r="E84" t="s">
        <v>122</v>
      </c>
      <c r="F84" t="s">
        <v>123</v>
      </c>
      <c r="G84">
        <v>1</v>
      </c>
      <c r="H84">
        <v>0</v>
      </c>
      <c r="I84">
        <v>0</v>
      </c>
      <c r="J84">
        <v>10.73</v>
      </c>
      <c r="K84">
        <v>1</v>
      </c>
      <c r="L84">
        <v>0</v>
      </c>
      <c r="M84">
        <v>0</v>
      </c>
      <c r="N84">
        <v>18.73</v>
      </c>
      <c r="O84">
        <v>-18.73</v>
      </c>
      <c r="P84">
        <v>-88.02</v>
      </c>
      <c r="Q84" t="s">
        <v>1031</v>
      </c>
      <c r="R84" t="s">
        <v>1192</v>
      </c>
    </row>
    <row r="85" spans="1:18">
      <c r="A85" t="s">
        <v>1193</v>
      </c>
      <c r="B85" t="s">
        <v>132</v>
      </c>
      <c r="C85" t="s">
        <v>41</v>
      </c>
      <c r="D85" t="s">
        <v>42</v>
      </c>
      <c r="E85" t="s">
        <v>122</v>
      </c>
      <c r="F85" t="s">
        <v>123</v>
      </c>
      <c r="G85">
        <v>1</v>
      </c>
      <c r="H85">
        <v>0</v>
      </c>
      <c r="I85">
        <v>0</v>
      </c>
      <c r="J85">
        <v>10.73</v>
      </c>
      <c r="K85">
        <v>1</v>
      </c>
      <c r="L85">
        <v>0</v>
      </c>
      <c r="M85">
        <v>0</v>
      </c>
      <c r="N85">
        <v>18.73</v>
      </c>
      <c r="O85">
        <v>-18.73</v>
      </c>
      <c r="P85">
        <v>-88.02</v>
      </c>
      <c r="Q85" t="s">
        <v>1031</v>
      </c>
      <c r="R85" t="s">
        <v>1194</v>
      </c>
    </row>
    <row r="86" spans="1:18">
      <c r="A86" t="s">
        <v>1195</v>
      </c>
      <c r="B86" t="s">
        <v>132</v>
      </c>
      <c r="C86" t="s">
        <v>39</v>
      </c>
      <c r="D86" t="s">
        <v>40</v>
      </c>
      <c r="E86" t="s">
        <v>82</v>
      </c>
      <c r="F86" t="s">
        <v>83</v>
      </c>
      <c r="G86">
        <v>1</v>
      </c>
      <c r="H86">
        <v>0</v>
      </c>
      <c r="I86">
        <v>0</v>
      </c>
      <c r="J86">
        <v>6.7</v>
      </c>
      <c r="K86">
        <v>1</v>
      </c>
      <c r="L86">
        <v>0</v>
      </c>
      <c r="M86">
        <v>0</v>
      </c>
      <c r="N86">
        <v>14.7</v>
      </c>
      <c r="O86">
        <v>-14.7</v>
      </c>
      <c r="P86">
        <v>-69.09</v>
      </c>
      <c r="Q86" t="s">
        <v>1031</v>
      </c>
      <c r="R86" t="s">
        <v>1196</v>
      </c>
    </row>
    <row r="87" spans="1:18">
      <c r="A87" t="s">
        <v>1197</v>
      </c>
      <c r="B87" t="s">
        <v>132</v>
      </c>
      <c r="C87" t="s">
        <v>39</v>
      </c>
      <c r="D87" t="s">
        <v>40</v>
      </c>
      <c r="E87" t="s">
        <v>82</v>
      </c>
      <c r="F87" t="s">
        <v>83</v>
      </c>
      <c r="G87">
        <v>1</v>
      </c>
      <c r="H87">
        <v>0</v>
      </c>
      <c r="I87">
        <v>0</v>
      </c>
      <c r="J87">
        <v>6.7</v>
      </c>
      <c r="K87">
        <v>1</v>
      </c>
      <c r="L87">
        <v>0</v>
      </c>
      <c r="M87">
        <v>0</v>
      </c>
      <c r="N87">
        <v>14.7</v>
      </c>
      <c r="O87">
        <v>-14.7</v>
      </c>
      <c r="P87">
        <v>-69.09</v>
      </c>
      <c r="Q87" t="s">
        <v>1031</v>
      </c>
      <c r="R87" t="s">
        <v>1198</v>
      </c>
    </row>
    <row r="88" spans="1:18">
      <c r="A88" t="s">
        <v>1199</v>
      </c>
      <c r="B88" t="s">
        <v>132</v>
      </c>
      <c r="C88" t="s">
        <v>41</v>
      </c>
      <c r="D88" t="s">
        <v>42</v>
      </c>
      <c r="E88" t="s">
        <v>122</v>
      </c>
      <c r="F88" t="s">
        <v>123</v>
      </c>
      <c r="G88">
        <v>1</v>
      </c>
      <c r="H88">
        <v>0</v>
      </c>
      <c r="I88">
        <v>0</v>
      </c>
      <c r="J88">
        <v>10.73</v>
      </c>
      <c r="K88">
        <v>1</v>
      </c>
      <c r="L88">
        <v>0</v>
      </c>
      <c r="M88">
        <v>0</v>
      </c>
      <c r="N88">
        <v>18.73</v>
      </c>
      <c r="O88">
        <v>-18.73</v>
      </c>
      <c r="P88">
        <v>-88.02</v>
      </c>
      <c r="Q88" t="s">
        <v>1031</v>
      </c>
      <c r="R88" t="s">
        <v>1200</v>
      </c>
    </row>
    <row r="89" spans="1:18">
      <c r="A89" t="s">
        <v>1201</v>
      </c>
      <c r="B89" t="s">
        <v>132</v>
      </c>
      <c r="C89" t="s">
        <v>39</v>
      </c>
      <c r="D89" t="s">
        <v>40</v>
      </c>
      <c r="E89" t="s">
        <v>82</v>
      </c>
      <c r="F89" t="s">
        <v>83</v>
      </c>
      <c r="G89">
        <v>1</v>
      </c>
      <c r="H89">
        <v>0</v>
      </c>
      <c r="I89">
        <v>0</v>
      </c>
      <c r="J89">
        <v>6.7</v>
      </c>
      <c r="K89">
        <v>1</v>
      </c>
      <c r="L89">
        <v>0</v>
      </c>
      <c r="M89">
        <v>0</v>
      </c>
      <c r="N89">
        <v>14.7</v>
      </c>
      <c r="O89">
        <v>-14.7</v>
      </c>
      <c r="P89">
        <v>-69.09</v>
      </c>
      <c r="Q89" t="s">
        <v>1031</v>
      </c>
      <c r="R89" t="s">
        <v>1202</v>
      </c>
    </row>
    <row r="90" spans="1:18">
      <c r="A90" t="s">
        <v>1203</v>
      </c>
      <c r="B90" t="s">
        <v>132</v>
      </c>
      <c r="C90" t="s">
        <v>39</v>
      </c>
      <c r="D90" t="s">
        <v>40</v>
      </c>
      <c r="E90" t="s">
        <v>82</v>
      </c>
      <c r="F90" t="s">
        <v>83</v>
      </c>
      <c r="G90">
        <v>1</v>
      </c>
      <c r="H90">
        <v>0</v>
      </c>
      <c r="I90">
        <v>0</v>
      </c>
      <c r="J90">
        <v>6.7</v>
      </c>
      <c r="K90">
        <v>1</v>
      </c>
      <c r="L90">
        <v>0</v>
      </c>
      <c r="M90">
        <v>0</v>
      </c>
      <c r="N90">
        <v>14.7</v>
      </c>
      <c r="O90">
        <v>-14.7</v>
      </c>
      <c r="P90">
        <v>-69.09</v>
      </c>
      <c r="Q90" t="s">
        <v>1031</v>
      </c>
      <c r="R90" t="s">
        <v>1204</v>
      </c>
    </row>
    <row r="91" spans="1:18">
      <c r="A91" t="s">
        <v>1205</v>
      </c>
      <c r="B91" t="s">
        <v>132</v>
      </c>
      <c r="C91" t="s">
        <v>39</v>
      </c>
      <c r="D91" t="s">
        <v>40</v>
      </c>
      <c r="E91" t="s">
        <v>82</v>
      </c>
      <c r="F91" t="s">
        <v>83</v>
      </c>
      <c r="G91">
        <v>1</v>
      </c>
      <c r="H91">
        <v>0</v>
      </c>
      <c r="I91">
        <v>0</v>
      </c>
      <c r="J91">
        <v>6.7</v>
      </c>
      <c r="K91">
        <v>1</v>
      </c>
      <c r="L91">
        <v>0</v>
      </c>
      <c r="M91">
        <v>0</v>
      </c>
      <c r="N91">
        <v>14.7</v>
      </c>
      <c r="O91">
        <v>-14.7</v>
      </c>
      <c r="P91">
        <v>-69.09</v>
      </c>
      <c r="Q91" t="s">
        <v>1031</v>
      </c>
      <c r="R91" t="s">
        <v>1206</v>
      </c>
    </row>
    <row r="92" spans="1:18">
      <c r="A92" t="s">
        <v>1207</v>
      </c>
      <c r="B92" t="s">
        <v>132</v>
      </c>
      <c r="C92" t="s">
        <v>39</v>
      </c>
      <c r="D92" t="s">
        <v>40</v>
      </c>
      <c r="E92" t="s">
        <v>82</v>
      </c>
      <c r="F92" t="s">
        <v>83</v>
      </c>
      <c r="G92">
        <v>1</v>
      </c>
      <c r="H92">
        <v>0</v>
      </c>
      <c r="I92">
        <v>0</v>
      </c>
      <c r="J92">
        <v>6.7</v>
      </c>
      <c r="K92">
        <v>1</v>
      </c>
      <c r="L92">
        <v>0</v>
      </c>
      <c r="M92">
        <v>0</v>
      </c>
      <c r="N92">
        <v>14.7</v>
      </c>
      <c r="O92">
        <v>-14.7</v>
      </c>
      <c r="P92">
        <v>-69.09</v>
      </c>
      <c r="Q92" t="s">
        <v>1031</v>
      </c>
      <c r="R92" t="s">
        <v>1208</v>
      </c>
    </row>
    <row r="93" spans="1:18">
      <c r="A93" t="s">
        <v>1209</v>
      </c>
      <c r="B93" t="s">
        <v>132</v>
      </c>
      <c r="C93" t="s">
        <v>39</v>
      </c>
      <c r="D93" t="s">
        <v>40</v>
      </c>
      <c r="E93" t="s">
        <v>82</v>
      </c>
      <c r="F93" t="s">
        <v>83</v>
      </c>
      <c r="G93">
        <v>1</v>
      </c>
      <c r="H93">
        <v>0</v>
      </c>
      <c r="I93">
        <v>0</v>
      </c>
      <c r="J93">
        <v>6.7</v>
      </c>
      <c r="K93">
        <v>1</v>
      </c>
      <c r="L93">
        <v>0</v>
      </c>
      <c r="M93">
        <v>0</v>
      </c>
      <c r="N93">
        <v>14.7</v>
      </c>
      <c r="O93">
        <v>-14.7</v>
      </c>
      <c r="P93">
        <v>-69.09</v>
      </c>
      <c r="Q93" t="s">
        <v>1031</v>
      </c>
      <c r="R93" t="s">
        <v>1210</v>
      </c>
    </row>
    <row r="94" spans="1:18">
      <c r="A94" t="s">
        <v>1211</v>
      </c>
      <c r="B94" t="s">
        <v>132</v>
      </c>
      <c r="C94" t="s">
        <v>41</v>
      </c>
      <c r="D94" t="s">
        <v>42</v>
      </c>
      <c r="E94" t="s">
        <v>122</v>
      </c>
      <c r="F94" t="s">
        <v>123</v>
      </c>
      <c r="G94">
        <v>1</v>
      </c>
      <c r="H94">
        <v>0</v>
      </c>
      <c r="I94">
        <v>0</v>
      </c>
      <c r="J94">
        <v>10.73</v>
      </c>
      <c r="K94">
        <v>1</v>
      </c>
      <c r="L94">
        <v>0</v>
      </c>
      <c r="M94">
        <v>0</v>
      </c>
      <c r="N94">
        <v>18.73</v>
      </c>
      <c r="O94">
        <v>-18.73</v>
      </c>
      <c r="P94">
        <v>-88.02</v>
      </c>
      <c r="Q94" t="s">
        <v>1031</v>
      </c>
      <c r="R94" t="s">
        <v>1212</v>
      </c>
    </row>
    <row r="95" spans="1:18">
      <c r="A95" t="s">
        <v>1213</v>
      </c>
      <c r="B95" t="s">
        <v>132</v>
      </c>
      <c r="C95" t="s">
        <v>39</v>
      </c>
      <c r="D95" t="s">
        <v>40</v>
      </c>
      <c r="E95" t="s">
        <v>82</v>
      </c>
      <c r="F95" t="s">
        <v>83</v>
      </c>
      <c r="G95">
        <v>1</v>
      </c>
      <c r="H95">
        <v>0</v>
      </c>
      <c r="I95">
        <v>0</v>
      </c>
      <c r="J95">
        <v>6.7</v>
      </c>
      <c r="K95">
        <v>1</v>
      </c>
      <c r="L95">
        <v>0</v>
      </c>
      <c r="M95">
        <v>0</v>
      </c>
      <c r="N95">
        <v>14.7</v>
      </c>
      <c r="O95">
        <v>-14.7</v>
      </c>
      <c r="P95">
        <v>-69.09</v>
      </c>
      <c r="Q95" t="s">
        <v>1031</v>
      </c>
      <c r="R95" t="s">
        <v>1214</v>
      </c>
    </row>
    <row r="96" spans="1:18">
      <c r="A96" t="s">
        <v>1215</v>
      </c>
      <c r="B96" t="s">
        <v>132</v>
      </c>
      <c r="C96" t="s">
        <v>39</v>
      </c>
      <c r="D96" t="s">
        <v>40</v>
      </c>
      <c r="E96" t="s">
        <v>82</v>
      </c>
      <c r="F96" t="s">
        <v>83</v>
      </c>
      <c r="G96">
        <v>1</v>
      </c>
      <c r="H96">
        <v>0</v>
      </c>
      <c r="I96">
        <v>0</v>
      </c>
      <c r="J96">
        <v>6.7</v>
      </c>
      <c r="K96">
        <v>1</v>
      </c>
      <c r="L96">
        <v>0</v>
      </c>
      <c r="M96">
        <v>0</v>
      </c>
      <c r="N96">
        <v>14.7</v>
      </c>
      <c r="O96">
        <v>-14.7</v>
      </c>
      <c r="P96">
        <v>-69.09</v>
      </c>
      <c r="Q96" t="s">
        <v>1031</v>
      </c>
      <c r="R96" t="s">
        <v>1216</v>
      </c>
    </row>
    <row r="97" spans="1:18">
      <c r="A97" t="s">
        <v>1217</v>
      </c>
      <c r="B97" t="s">
        <v>132</v>
      </c>
      <c r="C97" t="s">
        <v>39</v>
      </c>
      <c r="D97" t="s">
        <v>40</v>
      </c>
      <c r="E97" t="s">
        <v>82</v>
      </c>
      <c r="F97" t="s">
        <v>83</v>
      </c>
      <c r="G97">
        <v>1</v>
      </c>
      <c r="H97">
        <v>0</v>
      </c>
      <c r="I97">
        <v>0</v>
      </c>
      <c r="J97">
        <v>6.7</v>
      </c>
      <c r="K97">
        <v>1</v>
      </c>
      <c r="L97">
        <v>0</v>
      </c>
      <c r="M97">
        <v>0</v>
      </c>
      <c r="N97">
        <v>14.7</v>
      </c>
      <c r="O97">
        <v>-14.7</v>
      </c>
      <c r="P97">
        <v>-69.09</v>
      </c>
      <c r="Q97" t="s">
        <v>1031</v>
      </c>
      <c r="R97" t="s">
        <v>1218</v>
      </c>
    </row>
    <row r="98" spans="1:18">
      <c r="A98" t="s">
        <v>1219</v>
      </c>
      <c r="B98" t="s">
        <v>132</v>
      </c>
      <c r="C98" t="s">
        <v>39</v>
      </c>
      <c r="D98" t="s">
        <v>40</v>
      </c>
      <c r="E98" t="s">
        <v>82</v>
      </c>
      <c r="F98" t="s">
        <v>83</v>
      </c>
      <c r="G98">
        <v>1</v>
      </c>
      <c r="H98">
        <v>0</v>
      </c>
      <c r="I98">
        <v>0</v>
      </c>
      <c r="J98">
        <v>6.7</v>
      </c>
      <c r="K98">
        <v>1</v>
      </c>
      <c r="L98">
        <v>0</v>
      </c>
      <c r="M98">
        <v>0</v>
      </c>
      <c r="N98">
        <v>14.7</v>
      </c>
      <c r="O98">
        <v>-14.7</v>
      </c>
      <c r="P98">
        <v>-69.09</v>
      </c>
      <c r="Q98" t="s">
        <v>1031</v>
      </c>
      <c r="R98" t="s">
        <v>1220</v>
      </c>
    </row>
    <row r="99" spans="1:18">
      <c r="A99" t="s">
        <v>1221</v>
      </c>
      <c r="B99" t="s">
        <v>132</v>
      </c>
      <c r="C99" t="s">
        <v>39</v>
      </c>
      <c r="D99" t="s">
        <v>40</v>
      </c>
      <c r="E99" t="s">
        <v>82</v>
      </c>
      <c r="F99" t="s">
        <v>83</v>
      </c>
      <c r="G99">
        <v>1</v>
      </c>
      <c r="H99">
        <v>0</v>
      </c>
      <c r="I99">
        <v>0</v>
      </c>
      <c r="J99">
        <v>6.7</v>
      </c>
      <c r="K99">
        <v>1</v>
      </c>
      <c r="L99">
        <v>0</v>
      </c>
      <c r="M99">
        <v>0</v>
      </c>
      <c r="N99">
        <v>14.7</v>
      </c>
      <c r="O99">
        <v>-14.7</v>
      </c>
      <c r="P99">
        <v>-69.09</v>
      </c>
      <c r="Q99" t="s">
        <v>1031</v>
      </c>
      <c r="R99" t="s">
        <v>1222</v>
      </c>
    </row>
    <row r="100" spans="1:18">
      <c r="A100" t="s">
        <v>1223</v>
      </c>
      <c r="B100" t="s">
        <v>132</v>
      </c>
      <c r="C100" t="s">
        <v>39</v>
      </c>
      <c r="D100" t="s">
        <v>40</v>
      </c>
      <c r="E100" t="s">
        <v>82</v>
      </c>
      <c r="F100" t="s">
        <v>83</v>
      </c>
      <c r="G100">
        <v>1</v>
      </c>
      <c r="H100">
        <v>0</v>
      </c>
      <c r="I100">
        <v>0</v>
      </c>
      <c r="J100">
        <v>6.7</v>
      </c>
      <c r="K100">
        <v>1</v>
      </c>
      <c r="L100">
        <v>0</v>
      </c>
      <c r="M100">
        <v>0</v>
      </c>
      <c r="N100">
        <v>14.7</v>
      </c>
      <c r="O100">
        <v>-14.7</v>
      </c>
      <c r="P100">
        <v>-69.09</v>
      </c>
      <c r="Q100" t="s">
        <v>1031</v>
      </c>
      <c r="R100" t="s">
        <v>1224</v>
      </c>
    </row>
    <row r="101" spans="1:18">
      <c r="A101" t="s">
        <v>1225</v>
      </c>
      <c r="B101" t="s">
        <v>132</v>
      </c>
      <c r="C101" t="s">
        <v>39</v>
      </c>
      <c r="D101" t="s">
        <v>40</v>
      </c>
      <c r="E101" t="s">
        <v>82</v>
      </c>
      <c r="F101" t="s">
        <v>83</v>
      </c>
      <c r="G101">
        <v>1</v>
      </c>
      <c r="H101">
        <v>0</v>
      </c>
      <c r="I101">
        <v>0</v>
      </c>
      <c r="J101">
        <v>6.7</v>
      </c>
      <c r="K101">
        <v>1</v>
      </c>
      <c r="L101">
        <v>0</v>
      </c>
      <c r="M101">
        <v>0</v>
      </c>
      <c r="N101">
        <v>14.7</v>
      </c>
      <c r="O101">
        <v>-14.7</v>
      </c>
      <c r="P101">
        <v>-69.09</v>
      </c>
      <c r="Q101" t="s">
        <v>1031</v>
      </c>
      <c r="R101" t="s">
        <v>1226</v>
      </c>
    </row>
    <row r="102" spans="1:18">
      <c r="A102" t="s">
        <v>1227</v>
      </c>
      <c r="B102" t="s">
        <v>132</v>
      </c>
      <c r="C102" t="s">
        <v>39</v>
      </c>
      <c r="D102" t="s">
        <v>40</v>
      </c>
      <c r="E102" t="s">
        <v>82</v>
      </c>
      <c r="F102" t="s">
        <v>83</v>
      </c>
      <c r="G102">
        <v>1</v>
      </c>
      <c r="H102">
        <v>0</v>
      </c>
      <c r="I102">
        <v>0</v>
      </c>
      <c r="J102">
        <v>6.7</v>
      </c>
      <c r="K102">
        <v>1</v>
      </c>
      <c r="L102">
        <v>0</v>
      </c>
      <c r="M102">
        <v>0</v>
      </c>
      <c r="N102">
        <v>14.7</v>
      </c>
      <c r="O102">
        <v>-14.7</v>
      </c>
      <c r="P102">
        <v>-69.09</v>
      </c>
      <c r="Q102" t="s">
        <v>1031</v>
      </c>
      <c r="R102" t="s">
        <v>1228</v>
      </c>
    </row>
    <row r="103" spans="1:18">
      <c r="A103" t="s">
        <v>1229</v>
      </c>
      <c r="B103" t="s">
        <v>132</v>
      </c>
      <c r="C103" t="s">
        <v>41</v>
      </c>
      <c r="D103" t="s">
        <v>42</v>
      </c>
      <c r="E103" t="s">
        <v>122</v>
      </c>
      <c r="F103" t="s">
        <v>123</v>
      </c>
      <c r="G103">
        <v>1</v>
      </c>
      <c r="H103">
        <v>0</v>
      </c>
      <c r="I103">
        <v>0</v>
      </c>
      <c r="J103">
        <v>10.73</v>
      </c>
      <c r="K103">
        <v>1</v>
      </c>
      <c r="L103">
        <v>0</v>
      </c>
      <c r="M103">
        <v>0</v>
      </c>
      <c r="N103">
        <v>18.73</v>
      </c>
      <c r="O103">
        <v>-18.73</v>
      </c>
      <c r="P103">
        <v>-88.02</v>
      </c>
      <c r="Q103" t="s">
        <v>1031</v>
      </c>
      <c r="R103" t="s">
        <v>1230</v>
      </c>
    </row>
    <row r="104" spans="1:18">
      <c r="A104" t="s">
        <v>1231</v>
      </c>
      <c r="B104" t="s">
        <v>132</v>
      </c>
      <c r="C104" t="s">
        <v>39</v>
      </c>
      <c r="D104" t="s">
        <v>40</v>
      </c>
      <c r="E104" t="s">
        <v>82</v>
      </c>
      <c r="F104" t="s">
        <v>83</v>
      </c>
      <c r="G104">
        <v>1</v>
      </c>
      <c r="H104">
        <v>0</v>
      </c>
      <c r="I104">
        <v>0</v>
      </c>
      <c r="J104">
        <v>6.7</v>
      </c>
      <c r="K104">
        <v>1</v>
      </c>
      <c r="L104">
        <v>0</v>
      </c>
      <c r="M104">
        <v>0</v>
      </c>
      <c r="N104">
        <v>14.7</v>
      </c>
      <c r="O104">
        <v>-14.7</v>
      </c>
      <c r="P104">
        <v>-69.09</v>
      </c>
      <c r="Q104" t="s">
        <v>1031</v>
      </c>
      <c r="R104" t="s">
        <v>1232</v>
      </c>
    </row>
    <row r="105" spans="1:18">
      <c r="A105" t="s">
        <v>1233</v>
      </c>
      <c r="B105" t="s">
        <v>132</v>
      </c>
      <c r="C105" t="s">
        <v>39</v>
      </c>
      <c r="D105" t="s">
        <v>40</v>
      </c>
      <c r="E105" t="s">
        <v>82</v>
      </c>
      <c r="F105" t="s">
        <v>83</v>
      </c>
      <c r="G105">
        <v>1</v>
      </c>
      <c r="H105">
        <v>0</v>
      </c>
      <c r="I105">
        <v>0</v>
      </c>
      <c r="J105">
        <v>6.7</v>
      </c>
      <c r="K105">
        <v>1</v>
      </c>
      <c r="L105">
        <v>0</v>
      </c>
      <c r="M105">
        <v>0</v>
      </c>
      <c r="N105">
        <v>14.7</v>
      </c>
      <c r="O105">
        <v>-14.7</v>
      </c>
      <c r="P105">
        <v>-69.09</v>
      </c>
      <c r="Q105" t="s">
        <v>1031</v>
      </c>
      <c r="R105" t="s">
        <v>1234</v>
      </c>
    </row>
    <row r="106" spans="1:18">
      <c r="A106" t="s">
        <v>1235</v>
      </c>
      <c r="B106" t="s">
        <v>132</v>
      </c>
      <c r="C106" t="s">
        <v>39</v>
      </c>
      <c r="D106" t="s">
        <v>40</v>
      </c>
      <c r="E106" t="s">
        <v>82</v>
      </c>
      <c r="F106" t="s">
        <v>83</v>
      </c>
      <c r="G106">
        <v>1</v>
      </c>
      <c r="H106">
        <v>0</v>
      </c>
      <c r="I106">
        <v>0</v>
      </c>
      <c r="J106">
        <v>6.7</v>
      </c>
      <c r="K106">
        <v>1</v>
      </c>
      <c r="L106">
        <v>0</v>
      </c>
      <c r="M106">
        <v>0</v>
      </c>
      <c r="N106">
        <v>14.7</v>
      </c>
      <c r="O106">
        <v>-14.7</v>
      </c>
      <c r="P106">
        <v>-69.09</v>
      </c>
      <c r="Q106" t="s">
        <v>1031</v>
      </c>
      <c r="R106" t="s">
        <v>1236</v>
      </c>
    </row>
    <row r="107" spans="1:18">
      <c r="A107" t="s">
        <v>1237</v>
      </c>
      <c r="B107" t="s">
        <v>132</v>
      </c>
      <c r="C107" t="s">
        <v>41</v>
      </c>
      <c r="D107" t="s">
        <v>42</v>
      </c>
      <c r="E107" t="s">
        <v>122</v>
      </c>
      <c r="F107" t="s">
        <v>123</v>
      </c>
      <c r="G107">
        <v>1</v>
      </c>
      <c r="H107">
        <v>0</v>
      </c>
      <c r="I107">
        <v>0</v>
      </c>
      <c r="J107">
        <v>10.73</v>
      </c>
      <c r="K107">
        <v>1</v>
      </c>
      <c r="L107">
        <v>0</v>
      </c>
      <c r="M107">
        <v>0</v>
      </c>
      <c r="N107">
        <v>18.73</v>
      </c>
      <c r="O107">
        <v>-18.73</v>
      </c>
      <c r="P107">
        <v>-88.02</v>
      </c>
      <c r="Q107" t="s">
        <v>1031</v>
      </c>
      <c r="R107" t="s">
        <v>1238</v>
      </c>
    </row>
    <row r="108" spans="1:18">
      <c r="A108" t="s">
        <v>1239</v>
      </c>
      <c r="B108" t="s">
        <v>132</v>
      </c>
      <c r="C108" t="s">
        <v>39</v>
      </c>
      <c r="D108" t="s">
        <v>40</v>
      </c>
      <c r="E108" t="s">
        <v>82</v>
      </c>
      <c r="F108" t="s">
        <v>83</v>
      </c>
      <c r="G108">
        <v>1</v>
      </c>
      <c r="H108">
        <v>0</v>
      </c>
      <c r="I108">
        <v>0</v>
      </c>
      <c r="J108">
        <v>6.7</v>
      </c>
      <c r="K108">
        <v>1</v>
      </c>
      <c r="L108">
        <v>0</v>
      </c>
      <c r="M108">
        <v>0</v>
      </c>
      <c r="N108">
        <v>14.7</v>
      </c>
      <c r="O108">
        <v>-14.7</v>
      </c>
      <c r="P108">
        <v>-69.09</v>
      </c>
      <c r="Q108" t="s">
        <v>1031</v>
      </c>
      <c r="R108" t="s">
        <v>1240</v>
      </c>
    </row>
    <row r="109" spans="1:18">
      <c r="A109" t="s">
        <v>1241</v>
      </c>
      <c r="B109" t="s">
        <v>132</v>
      </c>
      <c r="C109" t="s">
        <v>41</v>
      </c>
      <c r="D109" t="s">
        <v>42</v>
      </c>
      <c r="E109" t="s">
        <v>122</v>
      </c>
      <c r="F109" t="s">
        <v>123</v>
      </c>
      <c r="G109">
        <v>1</v>
      </c>
      <c r="H109">
        <v>0</v>
      </c>
      <c r="I109">
        <v>0</v>
      </c>
      <c r="J109">
        <v>10.73</v>
      </c>
      <c r="K109">
        <v>1</v>
      </c>
      <c r="L109">
        <v>0</v>
      </c>
      <c r="M109">
        <v>0</v>
      </c>
      <c r="N109">
        <v>18.73</v>
      </c>
      <c r="O109">
        <v>-18.73</v>
      </c>
      <c r="P109">
        <v>-88.02</v>
      </c>
      <c r="Q109" t="s">
        <v>1031</v>
      </c>
      <c r="R109" t="s">
        <v>1242</v>
      </c>
    </row>
    <row r="110" spans="1:18">
      <c r="A110" t="s">
        <v>1243</v>
      </c>
      <c r="B110" t="s">
        <v>132</v>
      </c>
      <c r="C110" t="s">
        <v>39</v>
      </c>
      <c r="D110" t="s">
        <v>40</v>
      </c>
      <c r="E110" t="s">
        <v>82</v>
      </c>
      <c r="F110" t="s">
        <v>83</v>
      </c>
      <c r="G110">
        <v>1</v>
      </c>
      <c r="H110">
        <v>0</v>
      </c>
      <c r="I110">
        <v>0</v>
      </c>
      <c r="J110">
        <v>6.7</v>
      </c>
      <c r="K110">
        <v>1</v>
      </c>
      <c r="L110">
        <v>0</v>
      </c>
      <c r="M110">
        <v>0</v>
      </c>
      <c r="N110">
        <v>14.7</v>
      </c>
      <c r="O110">
        <v>-14.7</v>
      </c>
      <c r="P110">
        <v>-69.09</v>
      </c>
      <c r="Q110" t="s">
        <v>1031</v>
      </c>
      <c r="R110" t="s">
        <v>1244</v>
      </c>
    </row>
    <row r="111" spans="1:18">
      <c r="A111" t="s">
        <v>1245</v>
      </c>
      <c r="B111" t="s">
        <v>132</v>
      </c>
      <c r="C111" t="s">
        <v>39</v>
      </c>
      <c r="D111" t="s">
        <v>40</v>
      </c>
      <c r="E111" t="s">
        <v>82</v>
      </c>
      <c r="F111" t="s">
        <v>83</v>
      </c>
      <c r="G111">
        <v>1</v>
      </c>
      <c r="H111">
        <v>0</v>
      </c>
      <c r="I111">
        <v>0</v>
      </c>
      <c r="J111">
        <v>6.7</v>
      </c>
      <c r="K111">
        <v>1</v>
      </c>
      <c r="L111">
        <v>0</v>
      </c>
      <c r="M111">
        <v>0</v>
      </c>
      <c r="N111">
        <v>14.7</v>
      </c>
      <c r="O111">
        <v>-14.7</v>
      </c>
      <c r="P111">
        <v>-69.09</v>
      </c>
      <c r="Q111" t="s">
        <v>1031</v>
      </c>
      <c r="R111" t="s">
        <v>1246</v>
      </c>
    </row>
    <row r="112" spans="1:18">
      <c r="A112" t="s">
        <v>1247</v>
      </c>
      <c r="B112" t="s">
        <v>132</v>
      </c>
      <c r="C112" t="s">
        <v>39</v>
      </c>
      <c r="D112" t="s">
        <v>40</v>
      </c>
      <c r="E112" t="s">
        <v>82</v>
      </c>
      <c r="F112" t="s">
        <v>83</v>
      </c>
      <c r="G112">
        <v>1</v>
      </c>
      <c r="H112">
        <v>0</v>
      </c>
      <c r="I112">
        <v>0</v>
      </c>
      <c r="J112">
        <v>6.7</v>
      </c>
      <c r="K112">
        <v>1</v>
      </c>
      <c r="L112">
        <v>0</v>
      </c>
      <c r="M112">
        <v>0</v>
      </c>
      <c r="N112">
        <v>14.7</v>
      </c>
      <c r="O112">
        <v>-14.7</v>
      </c>
      <c r="P112">
        <v>-69.09</v>
      </c>
      <c r="Q112" t="s">
        <v>1031</v>
      </c>
      <c r="R112" t="s">
        <v>1248</v>
      </c>
    </row>
    <row r="113" spans="1:18">
      <c r="A113" t="s">
        <v>1249</v>
      </c>
      <c r="B113" t="s">
        <v>132</v>
      </c>
      <c r="C113" t="s">
        <v>39</v>
      </c>
      <c r="D113" t="s">
        <v>40</v>
      </c>
      <c r="E113" t="s">
        <v>82</v>
      </c>
      <c r="F113" t="s">
        <v>83</v>
      </c>
      <c r="G113">
        <v>1</v>
      </c>
      <c r="H113">
        <v>0</v>
      </c>
      <c r="I113">
        <v>0</v>
      </c>
      <c r="J113">
        <v>6.7</v>
      </c>
      <c r="K113">
        <v>1</v>
      </c>
      <c r="L113">
        <v>0</v>
      </c>
      <c r="M113">
        <v>0</v>
      </c>
      <c r="N113">
        <v>14.7</v>
      </c>
      <c r="O113">
        <v>-14.7</v>
      </c>
      <c r="P113">
        <v>-69.09</v>
      </c>
      <c r="Q113" t="s">
        <v>1031</v>
      </c>
      <c r="R113" t="s">
        <v>1250</v>
      </c>
    </row>
    <row r="114" spans="1:18">
      <c r="A114" t="s">
        <v>1251</v>
      </c>
      <c r="B114" t="s">
        <v>132</v>
      </c>
      <c r="C114" t="s">
        <v>41</v>
      </c>
      <c r="D114" t="s">
        <v>42</v>
      </c>
      <c r="E114" t="s">
        <v>122</v>
      </c>
      <c r="F114" t="s">
        <v>123</v>
      </c>
      <c r="G114">
        <v>1</v>
      </c>
      <c r="H114">
        <v>0</v>
      </c>
      <c r="I114">
        <v>0</v>
      </c>
      <c r="J114">
        <v>10.73</v>
      </c>
      <c r="K114">
        <v>1</v>
      </c>
      <c r="L114">
        <v>0</v>
      </c>
      <c r="M114">
        <v>0</v>
      </c>
      <c r="N114">
        <v>18.73</v>
      </c>
      <c r="O114">
        <v>-18.73</v>
      </c>
      <c r="P114">
        <v>-88.02</v>
      </c>
      <c r="Q114" t="s">
        <v>1031</v>
      </c>
      <c r="R114" t="s">
        <v>1252</v>
      </c>
    </row>
    <row r="115" spans="1:18">
      <c r="A115" t="s">
        <v>1253</v>
      </c>
      <c r="B115" t="s">
        <v>132</v>
      </c>
      <c r="C115" t="s">
        <v>39</v>
      </c>
      <c r="D115" t="s">
        <v>40</v>
      </c>
      <c r="E115" t="s">
        <v>82</v>
      </c>
      <c r="F115" t="s">
        <v>83</v>
      </c>
      <c r="G115">
        <v>1</v>
      </c>
      <c r="H115">
        <v>0</v>
      </c>
      <c r="I115">
        <v>0</v>
      </c>
      <c r="J115">
        <v>6.7</v>
      </c>
      <c r="K115">
        <v>1</v>
      </c>
      <c r="L115">
        <v>0</v>
      </c>
      <c r="M115">
        <v>0</v>
      </c>
      <c r="N115">
        <v>14.7</v>
      </c>
      <c r="O115">
        <v>-14.7</v>
      </c>
      <c r="P115">
        <v>-69.09</v>
      </c>
      <c r="Q115" t="s">
        <v>1031</v>
      </c>
      <c r="R115" t="s">
        <v>1254</v>
      </c>
    </row>
    <row r="116" spans="1:18">
      <c r="A116" t="s">
        <v>1255</v>
      </c>
      <c r="B116" t="s">
        <v>132</v>
      </c>
      <c r="C116" t="s">
        <v>39</v>
      </c>
      <c r="D116" t="s">
        <v>40</v>
      </c>
      <c r="E116" t="s">
        <v>82</v>
      </c>
      <c r="F116" t="s">
        <v>83</v>
      </c>
      <c r="G116">
        <v>1</v>
      </c>
      <c r="H116">
        <v>0</v>
      </c>
      <c r="I116">
        <v>0</v>
      </c>
      <c r="J116">
        <v>6.7</v>
      </c>
      <c r="K116">
        <v>1</v>
      </c>
      <c r="L116">
        <v>0</v>
      </c>
      <c r="M116">
        <v>0</v>
      </c>
      <c r="N116">
        <v>14.7</v>
      </c>
      <c r="O116">
        <v>-14.7</v>
      </c>
      <c r="P116">
        <v>-69.09</v>
      </c>
      <c r="Q116" t="s">
        <v>1031</v>
      </c>
      <c r="R116" t="s">
        <v>1256</v>
      </c>
    </row>
    <row r="117" spans="1:18">
      <c r="A117" t="s">
        <v>1257</v>
      </c>
      <c r="B117" t="s">
        <v>132</v>
      </c>
      <c r="C117" t="s">
        <v>41</v>
      </c>
      <c r="D117" t="s">
        <v>42</v>
      </c>
      <c r="E117" t="s">
        <v>122</v>
      </c>
      <c r="F117" t="s">
        <v>123</v>
      </c>
      <c r="G117">
        <v>1</v>
      </c>
      <c r="H117">
        <v>0</v>
      </c>
      <c r="I117">
        <v>0</v>
      </c>
      <c r="J117">
        <v>10.73</v>
      </c>
      <c r="K117">
        <v>1</v>
      </c>
      <c r="L117">
        <v>0</v>
      </c>
      <c r="M117">
        <v>0</v>
      </c>
      <c r="N117">
        <v>18.73</v>
      </c>
      <c r="O117">
        <v>-18.73</v>
      </c>
      <c r="P117">
        <v>-88.02</v>
      </c>
      <c r="Q117" t="s">
        <v>1031</v>
      </c>
      <c r="R117" t="s">
        <v>1258</v>
      </c>
    </row>
    <row r="118" spans="1:18">
      <c r="A118" t="s">
        <v>1259</v>
      </c>
      <c r="B118" t="s">
        <v>132</v>
      </c>
      <c r="C118" t="s">
        <v>39</v>
      </c>
      <c r="D118" t="s">
        <v>40</v>
      </c>
      <c r="E118" t="s">
        <v>82</v>
      </c>
      <c r="F118" t="s">
        <v>83</v>
      </c>
      <c r="G118">
        <v>1</v>
      </c>
      <c r="H118">
        <v>0</v>
      </c>
      <c r="I118">
        <v>0</v>
      </c>
      <c r="J118">
        <v>6.7</v>
      </c>
      <c r="K118">
        <v>1</v>
      </c>
      <c r="L118">
        <v>0</v>
      </c>
      <c r="M118">
        <v>0</v>
      </c>
      <c r="N118">
        <v>14.7</v>
      </c>
      <c r="O118">
        <v>-14.7</v>
      </c>
      <c r="P118">
        <v>-69.09</v>
      </c>
      <c r="Q118" t="s">
        <v>1031</v>
      </c>
      <c r="R118" t="s">
        <v>1260</v>
      </c>
    </row>
    <row r="119" spans="1:18">
      <c r="A119" t="s">
        <v>1261</v>
      </c>
      <c r="B119" t="s">
        <v>132</v>
      </c>
      <c r="C119" t="s">
        <v>39</v>
      </c>
      <c r="D119" t="s">
        <v>40</v>
      </c>
      <c r="E119" t="s">
        <v>82</v>
      </c>
      <c r="F119" t="s">
        <v>83</v>
      </c>
      <c r="G119">
        <v>1</v>
      </c>
      <c r="H119">
        <v>0</v>
      </c>
      <c r="I119">
        <v>0</v>
      </c>
      <c r="J119">
        <v>6.7</v>
      </c>
      <c r="K119">
        <v>1</v>
      </c>
      <c r="L119">
        <v>0</v>
      </c>
      <c r="M119">
        <v>0</v>
      </c>
      <c r="N119">
        <v>14.7</v>
      </c>
      <c r="O119">
        <v>-14.7</v>
      </c>
      <c r="P119">
        <v>-69.09</v>
      </c>
      <c r="Q119" t="s">
        <v>1031</v>
      </c>
      <c r="R119" t="s">
        <v>1262</v>
      </c>
    </row>
    <row r="120" spans="1:18">
      <c r="A120" t="s">
        <v>1263</v>
      </c>
      <c r="B120" t="s">
        <v>132</v>
      </c>
      <c r="C120" t="s">
        <v>41</v>
      </c>
      <c r="D120" t="s">
        <v>42</v>
      </c>
      <c r="E120" t="s">
        <v>122</v>
      </c>
      <c r="F120" t="s">
        <v>123</v>
      </c>
      <c r="G120">
        <v>1</v>
      </c>
      <c r="H120">
        <v>0</v>
      </c>
      <c r="I120">
        <v>0</v>
      </c>
      <c r="J120">
        <v>10.73</v>
      </c>
      <c r="K120">
        <v>1</v>
      </c>
      <c r="L120">
        <v>0</v>
      </c>
      <c r="M120">
        <v>0</v>
      </c>
      <c r="N120">
        <v>18.73</v>
      </c>
      <c r="O120">
        <v>-18.73</v>
      </c>
      <c r="P120">
        <v>-88.02</v>
      </c>
      <c r="Q120" t="s">
        <v>1031</v>
      </c>
      <c r="R120" t="s">
        <v>1264</v>
      </c>
    </row>
    <row r="121" spans="1:18">
      <c r="A121" t="s">
        <v>1265</v>
      </c>
      <c r="B121" t="s">
        <v>132</v>
      </c>
      <c r="C121" t="s">
        <v>39</v>
      </c>
      <c r="D121" t="s">
        <v>40</v>
      </c>
      <c r="E121" t="s">
        <v>82</v>
      </c>
      <c r="F121" t="s">
        <v>83</v>
      </c>
      <c r="G121">
        <v>1</v>
      </c>
      <c r="H121">
        <v>0</v>
      </c>
      <c r="I121">
        <v>0</v>
      </c>
      <c r="J121">
        <v>6.7</v>
      </c>
      <c r="K121">
        <v>1</v>
      </c>
      <c r="L121">
        <v>0</v>
      </c>
      <c r="M121">
        <v>0</v>
      </c>
      <c r="N121">
        <v>14.7</v>
      </c>
      <c r="O121">
        <v>-14.7</v>
      </c>
      <c r="P121">
        <v>-69.09</v>
      </c>
      <c r="Q121" t="s">
        <v>1031</v>
      </c>
      <c r="R121" t="s">
        <v>1266</v>
      </c>
    </row>
    <row r="122" spans="1:18">
      <c r="A122" t="s">
        <v>1267</v>
      </c>
      <c r="B122" t="s">
        <v>132</v>
      </c>
      <c r="C122" t="s">
        <v>41</v>
      </c>
      <c r="D122" t="s">
        <v>42</v>
      </c>
      <c r="E122" t="s">
        <v>122</v>
      </c>
      <c r="F122" t="s">
        <v>123</v>
      </c>
      <c r="G122">
        <v>1</v>
      </c>
      <c r="H122">
        <v>0</v>
      </c>
      <c r="I122">
        <v>0</v>
      </c>
      <c r="J122">
        <v>10.73</v>
      </c>
      <c r="K122">
        <v>1</v>
      </c>
      <c r="L122">
        <v>0</v>
      </c>
      <c r="M122">
        <v>0</v>
      </c>
      <c r="N122">
        <v>18.73</v>
      </c>
      <c r="O122">
        <v>-18.73</v>
      </c>
      <c r="P122">
        <v>-88.02</v>
      </c>
      <c r="Q122" t="s">
        <v>1031</v>
      </c>
      <c r="R122" t="s">
        <v>1268</v>
      </c>
    </row>
    <row r="123" spans="1:18">
      <c r="A123" t="s">
        <v>1269</v>
      </c>
      <c r="B123" t="s">
        <v>132</v>
      </c>
      <c r="C123" t="s">
        <v>39</v>
      </c>
      <c r="D123" t="s">
        <v>40</v>
      </c>
      <c r="E123" t="s">
        <v>82</v>
      </c>
      <c r="F123" t="s">
        <v>83</v>
      </c>
      <c r="G123">
        <v>1</v>
      </c>
      <c r="H123">
        <v>0</v>
      </c>
      <c r="I123">
        <v>0</v>
      </c>
      <c r="J123">
        <v>6.7</v>
      </c>
      <c r="K123">
        <v>1</v>
      </c>
      <c r="L123">
        <v>0</v>
      </c>
      <c r="M123">
        <v>0</v>
      </c>
      <c r="N123">
        <v>14.7</v>
      </c>
      <c r="O123">
        <v>-14.7</v>
      </c>
      <c r="P123">
        <v>-69.09</v>
      </c>
      <c r="Q123" t="s">
        <v>1031</v>
      </c>
      <c r="R123" t="s">
        <v>1270</v>
      </c>
    </row>
    <row r="124" spans="1:18">
      <c r="A124" t="s">
        <v>1271</v>
      </c>
      <c r="B124" t="s">
        <v>132</v>
      </c>
      <c r="C124" t="s">
        <v>41</v>
      </c>
      <c r="D124" t="s">
        <v>42</v>
      </c>
      <c r="E124" t="s">
        <v>122</v>
      </c>
      <c r="F124" t="s">
        <v>123</v>
      </c>
      <c r="G124">
        <v>1</v>
      </c>
      <c r="H124">
        <v>0</v>
      </c>
      <c r="I124">
        <v>0</v>
      </c>
      <c r="J124">
        <v>10.73</v>
      </c>
      <c r="K124">
        <v>1</v>
      </c>
      <c r="L124">
        <v>0</v>
      </c>
      <c r="M124">
        <v>0</v>
      </c>
      <c r="N124">
        <v>18.73</v>
      </c>
      <c r="O124">
        <v>-18.73</v>
      </c>
      <c r="P124">
        <v>-88.02</v>
      </c>
      <c r="Q124" t="s">
        <v>1031</v>
      </c>
      <c r="R124" t="s">
        <v>1272</v>
      </c>
    </row>
    <row r="125" spans="1:18">
      <c r="A125" t="s">
        <v>1273</v>
      </c>
      <c r="B125" t="s">
        <v>132</v>
      </c>
      <c r="C125" t="s">
        <v>39</v>
      </c>
      <c r="D125" t="s">
        <v>40</v>
      </c>
      <c r="E125" t="s">
        <v>82</v>
      </c>
      <c r="F125" t="s">
        <v>83</v>
      </c>
      <c r="G125">
        <v>1</v>
      </c>
      <c r="H125">
        <v>0</v>
      </c>
      <c r="I125">
        <v>0</v>
      </c>
      <c r="J125">
        <v>6.7</v>
      </c>
      <c r="K125">
        <v>1</v>
      </c>
      <c r="L125">
        <v>0</v>
      </c>
      <c r="M125">
        <v>0</v>
      </c>
      <c r="N125">
        <v>14.7</v>
      </c>
      <c r="O125">
        <v>-14.7</v>
      </c>
      <c r="P125">
        <v>-69.09</v>
      </c>
      <c r="Q125" t="s">
        <v>1031</v>
      </c>
      <c r="R125" t="s">
        <v>1274</v>
      </c>
    </row>
    <row r="126" spans="1:18">
      <c r="A126" t="s">
        <v>1275</v>
      </c>
      <c r="B126" t="s">
        <v>132</v>
      </c>
      <c r="C126" t="s">
        <v>39</v>
      </c>
      <c r="D126" t="s">
        <v>40</v>
      </c>
      <c r="E126" t="s">
        <v>82</v>
      </c>
      <c r="F126" t="s">
        <v>83</v>
      </c>
      <c r="G126">
        <v>1</v>
      </c>
      <c r="H126">
        <v>0</v>
      </c>
      <c r="I126">
        <v>0</v>
      </c>
      <c r="J126">
        <v>6.7</v>
      </c>
      <c r="K126">
        <v>1</v>
      </c>
      <c r="L126">
        <v>0</v>
      </c>
      <c r="M126">
        <v>0</v>
      </c>
      <c r="N126">
        <v>14.7</v>
      </c>
      <c r="O126">
        <v>-14.7</v>
      </c>
      <c r="P126">
        <v>-69.09</v>
      </c>
      <c r="Q126" t="s">
        <v>1031</v>
      </c>
      <c r="R126" t="s">
        <v>1276</v>
      </c>
    </row>
    <row r="127" spans="1:18">
      <c r="A127" t="s">
        <v>1277</v>
      </c>
      <c r="B127" t="s">
        <v>132</v>
      </c>
      <c r="C127" t="s">
        <v>39</v>
      </c>
      <c r="D127" t="s">
        <v>40</v>
      </c>
      <c r="E127" t="s">
        <v>82</v>
      </c>
      <c r="F127" t="s">
        <v>83</v>
      </c>
      <c r="G127">
        <v>1</v>
      </c>
      <c r="H127">
        <v>0</v>
      </c>
      <c r="I127">
        <v>0</v>
      </c>
      <c r="J127">
        <v>6.7</v>
      </c>
      <c r="K127">
        <v>1</v>
      </c>
      <c r="L127">
        <v>0</v>
      </c>
      <c r="M127">
        <v>0</v>
      </c>
      <c r="N127">
        <v>14.7</v>
      </c>
      <c r="O127">
        <v>-14.7</v>
      </c>
      <c r="P127">
        <v>-69.09</v>
      </c>
      <c r="Q127" t="s">
        <v>1031</v>
      </c>
      <c r="R127" t="s">
        <v>1278</v>
      </c>
    </row>
    <row r="128" spans="1:18">
      <c r="A128" t="s">
        <v>1279</v>
      </c>
      <c r="B128" t="s">
        <v>132</v>
      </c>
      <c r="C128" t="s">
        <v>39</v>
      </c>
      <c r="D128" t="s">
        <v>40</v>
      </c>
      <c r="E128" t="s">
        <v>82</v>
      </c>
      <c r="F128" t="s">
        <v>83</v>
      </c>
      <c r="G128">
        <v>1</v>
      </c>
      <c r="H128">
        <v>0</v>
      </c>
      <c r="I128">
        <v>0</v>
      </c>
      <c r="J128">
        <v>6.7</v>
      </c>
      <c r="K128">
        <v>1</v>
      </c>
      <c r="L128">
        <v>0</v>
      </c>
      <c r="M128">
        <v>0</v>
      </c>
      <c r="N128">
        <v>14.7</v>
      </c>
      <c r="O128">
        <v>-14.7</v>
      </c>
      <c r="P128">
        <v>-69.09</v>
      </c>
      <c r="Q128" t="s">
        <v>1031</v>
      </c>
      <c r="R128" t="s">
        <v>1280</v>
      </c>
    </row>
    <row r="129" spans="1:18">
      <c r="A129" t="s">
        <v>1281</v>
      </c>
      <c r="B129" t="s">
        <v>132</v>
      </c>
      <c r="C129" t="s">
        <v>39</v>
      </c>
      <c r="D129" t="s">
        <v>40</v>
      </c>
      <c r="E129" t="s">
        <v>82</v>
      </c>
      <c r="F129" t="s">
        <v>83</v>
      </c>
      <c r="G129">
        <v>1</v>
      </c>
      <c r="H129">
        <v>0</v>
      </c>
      <c r="I129">
        <v>0</v>
      </c>
      <c r="J129">
        <v>6.7</v>
      </c>
      <c r="K129">
        <v>1</v>
      </c>
      <c r="L129">
        <v>0</v>
      </c>
      <c r="M129">
        <v>0</v>
      </c>
      <c r="N129">
        <v>14.7</v>
      </c>
      <c r="O129">
        <v>-14.7</v>
      </c>
      <c r="P129">
        <v>-69.09</v>
      </c>
      <c r="Q129" t="s">
        <v>1031</v>
      </c>
      <c r="R129" t="s">
        <v>1282</v>
      </c>
    </row>
    <row r="130" spans="1:18">
      <c r="A130" t="s">
        <v>1283</v>
      </c>
      <c r="B130" t="s">
        <v>132</v>
      </c>
      <c r="C130" t="s">
        <v>39</v>
      </c>
      <c r="D130" t="s">
        <v>40</v>
      </c>
      <c r="E130" t="s">
        <v>82</v>
      </c>
      <c r="F130" t="s">
        <v>83</v>
      </c>
      <c r="G130">
        <v>1</v>
      </c>
      <c r="H130">
        <v>0</v>
      </c>
      <c r="I130">
        <v>0</v>
      </c>
      <c r="J130">
        <v>6.7</v>
      </c>
      <c r="K130">
        <v>1</v>
      </c>
      <c r="L130">
        <v>0</v>
      </c>
      <c r="M130">
        <v>0</v>
      </c>
      <c r="N130">
        <v>14.7</v>
      </c>
      <c r="O130">
        <v>-14.7</v>
      </c>
      <c r="P130">
        <v>-69.09</v>
      </c>
      <c r="Q130" t="s">
        <v>1031</v>
      </c>
      <c r="R130" t="s">
        <v>1284</v>
      </c>
    </row>
    <row r="131" spans="1:18">
      <c r="A131" t="s">
        <v>1285</v>
      </c>
      <c r="B131" t="s">
        <v>132</v>
      </c>
      <c r="C131" t="s">
        <v>39</v>
      </c>
      <c r="D131" t="s">
        <v>40</v>
      </c>
      <c r="E131" t="s">
        <v>82</v>
      </c>
      <c r="F131" t="s">
        <v>83</v>
      </c>
      <c r="G131">
        <v>1</v>
      </c>
      <c r="H131">
        <v>0</v>
      </c>
      <c r="I131">
        <v>0</v>
      </c>
      <c r="J131">
        <v>6.7</v>
      </c>
      <c r="K131">
        <v>1</v>
      </c>
      <c r="L131">
        <v>0</v>
      </c>
      <c r="M131">
        <v>0</v>
      </c>
      <c r="N131">
        <v>14.7</v>
      </c>
      <c r="O131">
        <v>-14.7</v>
      </c>
      <c r="P131">
        <v>-69.09</v>
      </c>
      <c r="Q131" t="s">
        <v>1031</v>
      </c>
      <c r="R131" t="s">
        <v>1286</v>
      </c>
    </row>
    <row r="132" spans="1:18">
      <c r="A132" t="s">
        <v>1287</v>
      </c>
      <c r="B132" t="s">
        <v>132</v>
      </c>
      <c r="C132" t="s">
        <v>41</v>
      </c>
      <c r="D132" t="s">
        <v>42</v>
      </c>
      <c r="E132" t="s">
        <v>122</v>
      </c>
      <c r="F132" t="s">
        <v>123</v>
      </c>
      <c r="G132">
        <v>1</v>
      </c>
      <c r="H132">
        <v>0</v>
      </c>
      <c r="I132">
        <v>0</v>
      </c>
      <c r="J132">
        <v>10.73</v>
      </c>
      <c r="K132">
        <v>1</v>
      </c>
      <c r="L132">
        <v>0</v>
      </c>
      <c r="M132">
        <v>0</v>
      </c>
      <c r="N132">
        <v>18.73</v>
      </c>
      <c r="O132">
        <v>-18.73</v>
      </c>
      <c r="P132">
        <v>-88.02</v>
      </c>
      <c r="Q132" t="s">
        <v>1031</v>
      </c>
      <c r="R132" t="s">
        <v>1288</v>
      </c>
    </row>
    <row r="133" spans="1:18">
      <c r="A133" t="s">
        <v>1289</v>
      </c>
      <c r="B133" t="s">
        <v>132</v>
      </c>
      <c r="C133" t="s">
        <v>39</v>
      </c>
      <c r="D133" t="s">
        <v>40</v>
      </c>
      <c r="E133" t="s">
        <v>82</v>
      </c>
      <c r="F133" t="s">
        <v>83</v>
      </c>
      <c r="G133">
        <v>1</v>
      </c>
      <c r="H133">
        <v>0</v>
      </c>
      <c r="I133">
        <v>0</v>
      </c>
      <c r="J133">
        <v>6.7</v>
      </c>
      <c r="K133">
        <v>1</v>
      </c>
      <c r="L133">
        <v>0</v>
      </c>
      <c r="M133">
        <v>0</v>
      </c>
      <c r="N133">
        <v>14.7</v>
      </c>
      <c r="O133">
        <v>-14.7</v>
      </c>
      <c r="P133">
        <v>-69.09</v>
      </c>
      <c r="Q133" t="s">
        <v>1031</v>
      </c>
      <c r="R133" t="s">
        <v>1290</v>
      </c>
    </row>
    <row r="134" spans="1:18">
      <c r="A134" t="s">
        <v>1291</v>
      </c>
      <c r="B134" t="s">
        <v>132</v>
      </c>
      <c r="C134" t="s">
        <v>41</v>
      </c>
      <c r="D134" t="s">
        <v>42</v>
      </c>
      <c r="E134" t="s">
        <v>122</v>
      </c>
      <c r="F134" t="s">
        <v>123</v>
      </c>
      <c r="G134">
        <v>1</v>
      </c>
      <c r="H134">
        <v>0</v>
      </c>
      <c r="I134">
        <v>0</v>
      </c>
      <c r="J134">
        <v>10.73</v>
      </c>
      <c r="K134">
        <v>1</v>
      </c>
      <c r="L134">
        <v>0</v>
      </c>
      <c r="M134">
        <v>0</v>
      </c>
      <c r="N134">
        <v>18.73</v>
      </c>
      <c r="O134">
        <v>-18.73</v>
      </c>
      <c r="P134">
        <v>-88.02</v>
      </c>
      <c r="Q134" t="s">
        <v>1031</v>
      </c>
      <c r="R134" t="s">
        <v>1292</v>
      </c>
    </row>
    <row r="135" spans="1:18">
      <c r="A135" t="s">
        <v>1293</v>
      </c>
      <c r="B135" t="s">
        <v>132</v>
      </c>
      <c r="C135" t="s">
        <v>39</v>
      </c>
      <c r="D135" t="s">
        <v>40</v>
      </c>
      <c r="E135" t="s">
        <v>82</v>
      </c>
      <c r="F135" t="s">
        <v>83</v>
      </c>
      <c r="G135">
        <v>1</v>
      </c>
      <c r="H135">
        <v>0</v>
      </c>
      <c r="I135">
        <v>0</v>
      </c>
      <c r="J135">
        <v>6.7</v>
      </c>
      <c r="K135">
        <v>1</v>
      </c>
      <c r="L135">
        <v>0</v>
      </c>
      <c r="M135">
        <v>0</v>
      </c>
      <c r="N135">
        <v>14.7</v>
      </c>
      <c r="O135">
        <v>-14.7</v>
      </c>
      <c r="P135">
        <v>-69.09</v>
      </c>
      <c r="Q135" t="s">
        <v>1031</v>
      </c>
      <c r="R135" t="s">
        <v>1294</v>
      </c>
    </row>
    <row r="136" spans="1:18">
      <c r="A136" t="s">
        <v>1295</v>
      </c>
      <c r="B136" t="s">
        <v>132</v>
      </c>
      <c r="C136" t="s">
        <v>39</v>
      </c>
      <c r="D136" t="s">
        <v>40</v>
      </c>
      <c r="E136" t="s">
        <v>82</v>
      </c>
      <c r="F136" t="s">
        <v>83</v>
      </c>
      <c r="G136">
        <v>1</v>
      </c>
      <c r="H136">
        <v>0</v>
      </c>
      <c r="I136">
        <v>0</v>
      </c>
      <c r="J136">
        <v>6.7</v>
      </c>
      <c r="K136">
        <v>1</v>
      </c>
      <c r="L136">
        <v>0</v>
      </c>
      <c r="M136">
        <v>0</v>
      </c>
      <c r="N136">
        <v>14.7</v>
      </c>
      <c r="O136">
        <v>-14.7</v>
      </c>
      <c r="P136">
        <v>-69.09</v>
      </c>
      <c r="Q136" t="s">
        <v>1031</v>
      </c>
      <c r="R136" t="s">
        <v>1296</v>
      </c>
    </row>
    <row r="137" spans="1:18">
      <c r="A137" t="s">
        <v>1297</v>
      </c>
      <c r="B137" t="s">
        <v>132</v>
      </c>
      <c r="C137" t="s">
        <v>39</v>
      </c>
      <c r="D137" t="s">
        <v>40</v>
      </c>
      <c r="E137" t="s">
        <v>82</v>
      </c>
      <c r="F137" t="s">
        <v>83</v>
      </c>
      <c r="G137">
        <v>1</v>
      </c>
      <c r="H137">
        <v>0</v>
      </c>
      <c r="I137">
        <v>0</v>
      </c>
      <c r="J137">
        <v>6.7</v>
      </c>
      <c r="K137">
        <v>1</v>
      </c>
      <c r="L137">
        <v>0</v>
      </c>
      <c r="M137">
        <v>0</v>
      </c>
      <c r="N137">
        <v>14.7</v>
      </c>
      <c r="O137">
        <v>-14.7</v>
      </c>
      <c r="P137">
        <v>-69.09</v>
      </c>
      <c r="Q137" t="s">
        <v>1031</v>
      </c>
      <c r="R137" t="s">
        <v>1298</v>
      </c>
    </row>
    <row r="138" spans="1:18">
      <c r="A138" t="s">
        <v>1299</v>
      </c>
      <c r="B138" t="s">
        <v>132</v>
      </c>
      <c r="C138" t="s">
        <v>41</v>
      </c>
      <c r="D138" t="s">
        <v>42</v>
      </c>
      <c r="E138" t="s">
        <v>122</v>
      </c>
      <c r="F138" t="s">
        <v>123</v>
      </c>
      <c r="G138">
        <v>1</v>
      </c>
      <c r="H138">
        <v>0</v>
      </c>
      <c r="I138">
        <v>0</v>
      </c>
      <c r="J138">
        <v>10.73</v>
      </c>
      <c r="K138">
        <v>1</v>
      </c>
      <c r="L138">
        <v>0</v>
      </c>
      <c r="M138">
        <v>0</v>
      </c>
      <c r="N138">
        <v>18.73</v>
      </c>
      <c r="O138">
        <v>-18.73</v>
      </c>
      <c r="P138">
        <v>-88.02</v>
      </c>
      <c r="Q138" t="s">
        <v>1031</v>
      </c>
      <c r="R138" t="s">
        <v>1300</v>
      </c>
    </row>
    <row r="139" spans="1:18">
      <c r="A139" t="s">
        <v>1301</v>
      </c>
      <c r="B139" t="s">
        <v>132</v>
      </c>
      <c r="C139" t="s">
        <v>39</v>
      </c>
      <c r="D139" t="s">
        <v>40</v>
      </c>
      <c r="E139" t="s">
        <v>82</v>
      </c>
      <c r="F139" t="s">
        <v>83</v>
      </c>
      <c r="G139">
        <v>1</v>
      </c>
      <c r="H139">
        <v>0</v>
      </c>
      <c r="I139">
        <v>0</v>
      </c>
      <c r="J139">
        <v>6.7</v>
      </c>
      <c r="K139">
        <v>1</v>
      </c>
      <c r="L139">
        <v>0</v>
      </c>
      <c r="M139">
        <v>0</v>
      </c>
      <c r="N139">
        <v>14.7</v>
      </c>
      <c r="O139">
        <v>-14.7</v>
      </c>
      <c r="P139">
        <v>-69.09</v>
      </c>
      <c r="Q139" t="s">
        <v>1031</v>
      </c>
      <c r="R139" t="s">
        <v>1302</v>
      </c>
    </row>
    <row r="140" spans="1:18">
      <c r="A140" t="s">
        <v>1303</v>
      </c>
      <c r="B140" t="s">
        <v>132</v>
      </c>
      <c r="C140" t="s">
        <v>41</v>
      </c>
      <c r="D140" t="s">
        <v>42</v>
      </c>
      <c r="E140" t="s">
        <v>122</v>
      </c>
      <c r="F140" t="s">
        <v>123</v>
      </c>
      <c r="G140">
        <v>1</v>
      </c>
      <c r="H140">
        <v>0</v>
      </c>
      <c r="I140">
        <v>0</v>
      </c>
      <c r="J140">
        <v>10.73</v>
      </c>
      <c r="K140">
        <v>1</v>
      </c>
      <c r="L140">
        <v>0</v>
      </c>
      <c r="M140">
        <v>0</v>
      </c>
      <c r="N140">
        <v>18.73</v>
      </c>
      <c r="O140">
        <v>-18.73</v>
      </c>
      <c r="P140">
        <v>-88.02</v>
      </c>
      <c r="Q140" t="s">
        <v>1031</v>
      </c>
      <c r="R140" t="s">
        <v>1304</v>
      </c>
    </row>
    <row r="141" spans="1:18">
      <c r="A141" t="s">
        <v>1305</v>
      </c>
      <c r="B141" t="s">
        <v>132</v>
      </c>
      <c r="C141" t="s">
        <v>39</v>
      </c>
      <c r="D141" t="s">
        <v>40</v>
      </c>
      <c r="E141" t="s">
        <v>82</v>
      </c>
      <c r="F141" t="s">
        <v>83</v>
      </c>
      <c r="G141">
        <v>1</v>
      </c>
      <c r="H141">
        <v>0</v>
      </c>
      <c r="I141">
        <v>0</v>
      </c>
      <c r="J141">
        <v>6.7</v>
      </c>
      <c r="K141">
        <v>1</v>
      </c>
      <c r="L141">
        <v>0</v>
      </c>
      <c r="M141">
        <v>0</v>
      </c>
      <c r="N141">
        <v>14.7</v>
      </c>
      <c r="O141">
        <v>-14.7</v>
      </c>
      <c r="P141">
        <v>-69.09</v>
      </c>
      <c r="Q141" t="s">
        <v>1031</v>
      </c>
      <c r="R141" t="s">
        <v>1306</v>
      </c>
    </row>
    <row r="142" spans="1:18">
      <c r="A142" t="s">
        <v>1307</v>
      </c>
      <c r="B142" t="s">
        <v>132</v>
      </c>
      <c r="C142" t="s">
        <v>39</v>
      </c>
      <c r="D142" t="s">
        <v>40</v>
      </c>
      <c r="E142" t="s">
        <v>82</v>
      </c>
      <c r="F142" t="s">
        <v>83</v>
      </c>
      <c r="G142">
        <v>1</v>
      </c>
      <c r="H142">
        <v>0</v>
      </c>
      <c r="I142">
        <v>0</v>
      </c>
      <c r="J142">
        <v>6.7</v>
      </c>
      <c r="K142">
        <v>1</v>
      </c>
      <c r="L142">
        <v>0</v>
      </c>
      <c r="M142">
        <v>0</v>
      </c>
      <c r="N142">
        <v>14.7</v>
      </c>
      <c r="O142">
        <v>-14.7</v>
      </c>
      <c r="P142">
        <v>-69.09</v>
      </c>
      <c r="Q142" t="s">
        <v>1031</v>
      </c>
      <c r="R142" t="s">
        <v>1308</v>
      </c>
    </row>
    <row r="143" spans="1:18">
      <c r="A143" t="s">
        <v>1309</v>
      </c>
      <c r="B143" t="s">
        <v>622</v>
      </c>
      <c r="C143" t="s">
        <v>39</v>
      </c>
      <c r="D143" t="s">
        <v>40</v>
      </c>
      <c r="E143" t="s">
        <v>82</v>
      </c>
      <c r="F143" t="s">
        <v>83</v>
      </c>
      <c r="G143">
        <v>1</v>
      </c>
      <c r="H143">
        <v>0</v>
      </c>
      <c r="I143">
        <v>0</v>
      </c>
      <c r="J143">
        <v>6.7</v>
      </c>
      <c r="K143">
        <v>1</v>
      </c>
      <c r="L143">
        <v>0</v>
      </c>
      <c r="M143">
        <v>0</v>
      </c>
      <c r="N143">
        <v>14.7</v>
      </c>
      <c r="O143">
        <v>-14.7</v>
      </c>
      <c r="P143">
        <v>-69.09</v>
      </c>
      <c r="Q143" t="s">
        <v>1031</v>
      </c>
      <c r="R143" t="s">
        <v>1310</v>
      </c>
    </row>
    <row r="144" spans="1:18">
      <c r="A144" t="s">
        <v>1311</v>
      </c>
      <c r="B144" t="s">
        <v>132</v>
      </c>
      <c r="C144" t="s">
        <v>39</v>
      </c>
      <c r="D144" t="s">
        <v>40</v>
      </c>
      <c r="E144" t="s">
        <v>82</v>
      </c>
      <c r="F144" t="s">
        <v>83</v>
      </c>
      <c r="G144">
        <v>1</v>
      </c>
      <c r="H144">
        <v>0</v>
      </c>
      <c r="I144">
        <v>0</v>
      </c>
      <c r="J144">
        <v>6.7</v>
      </c>
      <c r="K144">
        <v>1</v>
      </c>
      <c r="L144">
        <v>0</v>
      </c>
      <c r="M144">
        <v>0</v>
      </c>
      <c r="N144">
        <v>14.7</v>
      </c>
      <c r="O144">
        <v>-14.7</v>
      </c>
      <c r="P144">
        <v>-69.09</v>
      </c>
      <c r="Q144" t="s">
        <v>1031</v>
      </c>
      <c r="R144" t="s">
        <v>1312</v>
      </c>
    </row>
    <row r="145" spans="1:18">
      <c r="A145" t="s">
        <v>1313</v>
      </c>
      <c r="B145" t="s">
        <v>622</v>
      </c>
      <c r="C145" t="s">
        <v>39</v>
      </c>
      <c r="D145" t="s">
        <v>40</v>
      </c>
      <c r="E145" t="s">
        <v>82</v>
      </c>
      <c r="F145" t="s">
        <v>83</v>
      </c>
      <c r="G145">
        <v>1</v>
      </c>
      <c r="H145">
        <v>0</v>
      </c>
      <c r="I145">
        <v>0</v>
      </c>
      <c r="J145">
        <v>6.7</v>
      </c>
      <c r="K145">
        <v>1</v>
      </c>
      <c r="L145">
        <v>0</v>
      </c>
      <c r="M145">
        <v>0</v>
      </c>
      <c r="N145">
        <v>14.7</v>
      </c>
      <c r="O145">
        <v>-14.7</v>
      </c>
      <c r="P145">
        <v>-69.09</v>
      </c>
      <c r="Q145" t="s">
        <v>1031</v>
      </c>
      <c r="R145" t="s">
        <v>1314</v>
      </c>
    </row>
    <row r="146" spans="1:18">
      <c r="A146" t="s">
        <v>1315</v>
      </c>
      <c r="B146" t="s">
        <v>622</v>
      </c>
      <c r="C146" t="s">
        <v>41</v>
      </c>
      <c r="D146" t="s">
        <v>42</v>
      </c>
      <c r="E146" t="s">
        <v>122</v>
      </c>
      <c r="F146" t="s">
        <v>123</v>
      </c>
      <c r="G146">
        <v>1</v>
      </c>
      <c r="H146">
        <v>0</v>
      </c>
      <c r="I146">
        <v>0</v>
      </c>
      <c r="J146">
        <v>10.73</v>
      </c>
      <c r="K146">
        <v>1</v>
      </c>
      <c r="L146">
        <v>0</v>
      </c>
      <c r="M146">
        <v>0</v>
      </c>
      <c r="N146">
        <v>18.73</v>
      </c>
      <c r="O146">
        <v>-18.73</v>
      </c>
      <c r="P146">
        <v>-88.02</v>
      </c>
      <c r="Q146" t="s">
        <v>1031</v>
      </c>
      <c r="R146" t="s">
        <v>1316</v>
      </c>
    </row>
    <row r="147" spans="1:18">
      <c r="A147" t="s">
        <v>1317</v>
      </c>
      <c r="B147" t="s">
        <v>622</v>
      </c>
      <c r="C147" t="s">
        <v>41</v>
      </c>
      <c r="D147" t="s">
        <v>42</v>
      </c>
      <c r="E147" t="s">
        <v>122</v>
      </c>
      <c r="F147" t="s">
        <v>123</v>
      </c>
      <c r="G147">
        <v>1</v>
      </c>
      <c r="H147">
        <v>0</v>
      </c>
      <c r="I147">
        <v>0</v>
      </c>
      <c r="J147">
        <v>10.73</v>
      </c>
      <c r="K147">
        <v>1</v>
      </c>
      <c r="L147">
        <v>0</v>
      </c>
      <c r="M147">
        <v>0</v>
      </c>
      <c r="N147">
        <v>18.73</v>
      </c>
      <c r="O147">
        <v>-18.73</v>
      </c>
      <c r="P147">
        <v>-88.02</v>
      </c>
      <c r="Q147" t="s">
        <v>1031</v>
      </c>
      <c r="R147" t="s">
        <v>1318</v>
      </c>
    </row>
    <row r="148" spans="1:18">
      <c r="A148" t="s">
        <v>1319</v>
      </c>
      <c r="B148" t="s">
        <v>107</v>
      </c>
      <c r="C148" t="s">
        <v>41</v>
      </c>
      <c r="D148" t="s">
        <v>42</v>
      </c>
      <c r="E148" t="s">
        <v>122</v>
      </c>
      <c r="F148" t="s">
        <v>123</v>
      </c>
      <c r="G148">
        <v>1</v>
      </c>
      <c r="H148">
        <v>0</v>
      </c>
      <c r="I148">
        <v>0</v>
      </c>
      <c r="J148">
        <v>10.73</v>
      </c>
      <c r="K148">
        <v>1</v>
      </c>
      <c r="L148">
        <v>0</v>
      </c>
      <c r="M148">
        <v>0</v>
      </c>
      <c r="N148">
        <v>18.73</v>
      </c>
      <c r="O148">
        <v>-18.73</v>
      </c>
      <c r="P148">
        <v>-88.02</v>
      </c>
      <c r="Q148" t="s">
        <v>1031</v>
      </c>
      <c r="R148" t="s">
        <v>1320</v>
      </c>
    </row>
    <row r="149" spans="1:18">
      <c r="A149" t="s">
        <v>1321</v>
      </c>
      <c r="B149" t="s">
        <v>622</v>
      </c>
      <c r="C149" t="s">
        <v>41</v>
      </c>
      <c r="D149" t="s">
        <v>42</v>
      </c>
      <c r="E149" t="s">
        <v>122</v>
      </c>
      <c r="F149" t="s">
        <v>123</v>
      </c>
      <c r="G149">
        <v>1</v>
      </c>
      <c r="H149">
        <v>0</v>
      </c>
      <c r="I149">
        <v>0</v>
      </c>
      <c r="J149">
        <v>10.73</v>
      </c>
      <c r="K149">
        <v>1</v>
      </c>
      <c r="L149">
        <v>0</v>
      </c>
      <c r="M149">
        <v>0</v>
      </c>
      <c r="N149">
        <v>18.73</v>
      </c>
      <c r="O149">
        <v>-18.73</v>
      </c>
      <c r="P149">
        <v>-88.02</v>
      </c>
      <c r="Q149" t="s">
        <v>1031</v>
      </c>
      <c r="R149" t="s">
        <v>1322</v>
      </c>
    </row>
    <row r="150" spans="1:18">
      <c r="A150" t="s">
        <v>1323</v>
      </c>
      <c r="B150" t="s">
        <v>622</v>
      </c>
      <c r="C150" t="s">
        <v>41</v>
      </c>
      <c r="D150" t="s">
        <v>42</v>
      </c>
      <c r="E150" t="s">
        <v>122</v>
      </c>
      <c r="F150" t="s">
        <v>123</v>
      </c>
      <c r="G150">
        <v>1</v>
      </c>
      <c r="H150">
        <v>0</v>
      </c>
      <c r="I150">
        <v>0</v>
      </c>
      <c r="J150">
        <v>10.73</v>
      </c>
      <c r="K150">
        <v>1</v>
      </c>
      <c r="L150">
        <v>0</v>
      </c>
      <c r="M150">
        <v>0</v>
      </c>
      <c r="N150">
        <v>18.73</v>
      </c>
      <c r="O150">
        <v>-18.73</v>
      </c>
      <c r="P150">
        <v>-88.02</v>
      </c>
      <c r="Q150" t="s">
        <v>1031</v>
      </c>
      <c r="R150" t="s">
        <v>1324</v>
      </c>
    </row>
    <row r="151" spans="1:18">
      <c r="A151" t="s">
        <v>1325</v>
      </c>
      <c r="B151" t="s">
        <v>622</v>
      </c>
      <c r="C151" t="s">
        <v>41</v>
      </c>
      <c r="D151" t="s">
        <v>42</v>
      </c>
      <c r="E151" t="s">
        <v>122</v>
      </c>
      <c r="F151" t="s">
        <v>123</v>
      </c>
      <c r="G151">
        <v>1</v>
      </c>
      <c r="H151">
        <v>0</v>
      </c>
      <c r="I151">
        <v>0</v>
      </c>
      <c r="J151">
        <v>10.73</v>
      </c>
      <c r="K151">
        <v>1</v>
      </c>
      <c r="L151">
        <v>0</v>
      </c>
      <c r="M151">
        <v>0</v>
      </c>
      <c r="N151">
        <v>18.73</v>
      </c>
      <c r="O151">
        <v>-18.73</v>
      </c>
      <c r="P151">
        <v>-88.02</v>
      </c>
      <c r="Q151" t="s">
        <v>1031</v>
      </c>
      <c r="R151" t="s">
        <v>1326</v>
      </c>
    </row>
    <row r="152" spans="1:18">
      <c r="A152" t="s">
        <v>1327</v>
      </c>
      <c r="B152" t="s">
        <v>622</v>
      </c>
      <c r="C152" t="s">
        <v>39</v>
      </c>
      <c r="D152" t="s">
        <v>40</v>
      </c>
      <c r="E152" t="s">
        <v>82</v>
      </c>
      <c r="F152" t="s">
        <v>83</v>
      </c>
      <c r="G152">
        <v>1</v>
      </c>
      <c r="H152">
        <v>0</v>
      </c>
      <c r="I152">
        <v>0</v>
      </c>
      <c r="J152">
        <v>6.7</v>
      </c>
      <c r="K152">
        <v>1</v>
      </c>
      <c r="L152">
        <v>0</v>
      </c>
      <c r="M152">
        <v>0</v>
      </c>
      <c r="N152">
        <v>14.7</v>
      </c>
      <c r="O152">
        <v>-14.7</v>
      </c>
      <c r="P152">
        <v>-69.09</v>
      </c>
      <c r="Q152" t="s">
        <v>1031</v>
      </c>
      <c r="R152" t="s">
        <v>1328</v>
      </c>
    </row>
    <row r="153" spans="1:18">
      <c r="A153" t="s">
        <v>1329</v>
      </c>
      <c r="B153" t="s">
        <v>622</v>
      </c>
      <c r="C153" t="s">
        <v>39</v>
      </c>
      <c r="D153" t="s">
        <v>40</v>
      </c>
      <c r="E153" t="s">
        <v>82</v>
      </c>
      <c r="F153" t="s">
        <v>83</v>
      </c>
      <c r="G153">
        <v>1</v>
      </c>
      <c r="H153">
        <v>0</v>
      </c>
      <c r="I153">
        <v>0</v>
      </c>
      <c r="J153">
        <v>6.7</v>
      </c>
      <c r="K153">
        <v>1</v>
      </c>
      <c r="L153">
        <v>0</v>
      </c>
      <c r="M153">
        <v>0</v>
      </c>
      <c r="N153">
        <v>14.7</v>
      </c>
      <c r="O153">
        <v>-14.7</v>
      </c>
      <c r="P153">
        <v>-69.09</v>
      </c>
      <c r="Q153" t="s">
        <v>1031</v>
      </c>
      <c r="R153" t="s">
        <v>1330</v>
      </c>
    </row>
    <row r="154" spans="1:18">
      <c r="A154" t="s">
        <v>1331</v>
      </c>
      <c r="B154" t="s">
        <v>622</v>
      </c>
      <c r="C154" t="s">
        <v>39</v>
      </c>
      <c r="D154" t="s">
        <v>40</v>
      </c>
      <c r="E154" t="s">
        <v>82</v>
      </c>
      <c r="F154" t="s">
        <v>83</v>
      </c>
      <c r="G154">
        <v>1</v>
      </c>
      <c r="H154">
        <v>0</v>
      </c>
      <c r="I154">
        <v>0</v>
      </c>
      <c r="J154">
        <v>6.7</v>
      </c>
      <c r="K154">
        <v>1</v>
      </c>
      <c r="L154">
        <v>0</v>
      </c>
      <c r="M154">
        <v>0</v>
      </c>
      <c r="N154">
        <v>14.7</v>
      </c>
      <c r="O154">
        <v>-14.7</v>
      </c>
      <c r="P154">
        <v>-69.09</v>
      </c>
      <c r="Q154" t="s">
        <v>1031</v>
      </c>
      <c r="R154" t="s">
        <v>1332</v>
      </c>
    </row>
    <row r="155" spans="1:18">
      <c r="A155" t="s">
        <v>1333</v>
      </c>
      <c r="B155" t="s">
        <v>622</v>
      </c>
      <c r="C155" t="s">
        <v>41</v>
      </c>
      <c r="D155" t="s">
        <v>42</v>
      </c>
      <c r="E155" t="s">
        <v>122</v>
      </c>
      <c r="F155" t="s">
        <v>123</v>
      </c>
      <c r="G155">
        <v>1</v>
      </c>
      <c r="H155">
        <v>0</v>
      </c>
      <c r="I155">
        <v>0</v>
      </c>
      <c r="J155">
        <v>10.73</v>
      </c>
      <c r="K155">
        <v>1</v>
      </c>
      <c r="L155">
        <v>0</v>
      </c>
      <c r="M155">
        <v>0</v>
      </c>
      <c r="N155">
        <v>18.73</v>
      </c>
      <c r="O155">
        <v>-18.73</v>
      </c>
      <c r="P155">
        <v>-88.02</v>
      </c>
      <c r="Q155" t="s">
        <v>1031</v>
      </c>
      <c r="R155" t="s">
        <v>1334</v>
      </c>
    </row>
    <row r="156" spans="1:18">
      <c r="A156" t="s">
        <v>1335</v>
      </c>
      <c r="B156" t="s">
        <v>622</v>
      </c>
      <c r="C156" t="s">
        <v>41</v>
      </c>
      <c r="D156" t="s">
        <v>42</v>
      </c>
      <c r="E156" t="s">
        <v>122</v>
      </c>
      <c r="F156" t="s">
        <v>123</v>
      </c>
      <c r="G156">
        <v>1</v>
      </c>
      <c r="H156">
        <v>0</v>
      </c>
      <c r="I156">
        <v>0</v>
      </c>
      <c r="J156">
        <v>10.73</v>
      </c>
      <c r="K156">
        <v>1</v>
      </c>
      <c r="L156">
        <v>0</v>
      </c>
      <c r="M156">
        <v>0</v>
      </c>
      <c r="N156">
        <v>18.73</v>
      </c>
      <c r="O156">
        <v>-18.73</v>
      </c>
      <c r="P156">
        <v>-88.02</v>
      </c>
      <c r="Q156" t="s">
        <v>1031</v>
      </c>
      <c r="R156" t="s">
        <v>1336</v>
      </c>
    </row>
    <row r="157" spans="1:18">
      <c r="A157" t="s">
        <v>1337</v>
      </c>
      <c r="B157" t="s">
        <v>622</v>
      </c>
      <c r="C157" t="s">
        <v>39</v>
      </c>
      <c r="D157" t="s">
        <v>40</v>
      </c>
      <c r="E157" t="s">
        <v>82</v>
      </c>
      <c r="F157" t="s">
        <v>83</v>
      </c>
      <c r="G157">
        <v>1</v>
      </c>
      <c r="H157">
        <v>0</v>
      </c>
      <c r="I157">
        <v>0</v>
      </c>
      <c r="J157">
        <v>6.7</v>
      </c>
      <c r="K157">
        <v>1</v>
      </c>
      <c r="L157">
        <v>0</v>
      </c>
      <c r="M157">
        <v>0</v>
      </c>
      <c r="N157">
        <v>14.7</v>
      </c>
      <c r="O157">
        <v>-14.7</v>
      </c>
      <c r="P157">
        <v>-69.09</v>
      </c>
      <c r="Q157" t="s">
        <v>1031</v>
      </c>
      <c r="R157" t="s">
        <v>1338</v>
      </c>
    </row>
    <row r="158" spans="1:18">
      <c r="A158" t="s">
        <v>1339</v>
      </c>
      <c r="B158" t="s">
        <v>622</v>
      </c>
      <c r="C158" t="s">
        <v>39</v>
      </c>
      <c r="D158" t="s">
        <v>40</v>
      </c>
      <c r="E158" t="s">
        <v>82</v>
      </c>
      <c r="F158" t="s">
        <v>83</v>
      </c>
      <c r="G158">
        <v>1</v>
      </c>
      <c r="H158">
        <v>0</v>
      </c>
      <c r="I158">
        <v>0</v>
      </c>
      <c r="J158">
        <v>6.7</v>
      </c>
      <c r="K158">
        <v>1</v>
      </c>
      <c r="L158">
        <v>0</v>
      </c>
      <c r="M158">
        <v>0</v>
      </c>
      <c r="N158">
        <v>14.7</v>
      </c>
      <c r="O158">
        <v>-14.7</v>
      </c>
      <c r="P158">
        <v>-69.09</v>
      </c>
      <c r="Q158" t="s">
        <v>1031</v>
      </c>
      <c r="R158" t="s">
        <v>1340</v>
      </c>
    </row>
    <row r="159" spans="1:18">
      <c r="A159" t="s">
        <v>1341</v>
      </c>
      <c r="B159" t="s">
        <v>132</v>
      </c>
      <c r="C159" t="s">
        <v>41</v>
      </c>
      <c r="D159" t="s">
        <v>42</v>
      </c>
      <c r="E159" t="s">
        <v>122</v>
      </c>
      <c r="F159" t="s">
        <v>123</v>
      </c>
      <c r="G159">
        <v>1</v>
      </c>
      <c r="H159">
        <v>0</v>
      </c>
      <c r="I159">
        <v>0</v>
      </c>
      <c r="J159">
        <v>10.73</v>
      </c>
      <c r="K159">
        <v>1</v>
      </c>
      <c r="L159">
        <v>0</v>
      </c>
      <c r="M159">
        <v>0</v>
      </c>
      <c r="N159">
        <v>18.73</v>
      </c>
      <c r="O159">
        <v>-18.73</v>
      </c>
      <c r="P159">
        <v>-88.02</v>
      </c>
      <c r="Q159" t="s">
        <v>1031</v>
      </c>
      <c r="R159" t="s">
        <v>1342</v>
      </c>
    </row>
    <row r="160" spans="1:18">
      <c r="A160" t="s">
        <v>1343</v>
      </c>
      <c r="B160" t="s">
        <v>622</v>
      </c>
      <c r="C160" t="s">
        <v>39</v>
      </c>
      <c r="D160" t="s">
        <v>40</v>
      </c>
      <c r="E160" t="s">
        <v>82</v>
      </c>
      <c r="F160" t="s">
        <v>83</v>
      </c>
      <c r="G160">
        <v>1</v>
      </c>
      <c r="H160">
        <v>0</v>
      </c>
      <c r="I160">
        <v>0</v>
      </c>
      <c r="J160">
        <v>6.7</v>
      </c>
      <c r="K160">
        <v>1</v>
      </c>
      <c r="L160">
        <v>0</v>
      </c>
      <c r="M160">
        <v>0</v>
      </c>
      <c r="N160">
        <v>14.7</v>
      </c>
      <c r="O160">
        <v>-14.7</v>
      </c>
      <c r="P160">
        <v>-69.09</v>
      </c>
      <c r="Q160" t="s">
        <v>1031</v>
      </c>
      <c r="R160" t="s">
        <v>1344</v>
      </c>
    </row>
    <row r="161" spans="1:18">
      <c r="A161" t="s">
        <v>1345</v>
      </c>
      <c r="B161" t="s">
        <v>622</v>
      </c>
      <c r="C161" t="s">
        <v>39</v>
      </c>
      <c r="D161" t="s">
        <v>40</v>
      </c>
      <c r="E161" t="s">
        <v>82</v>
      </c>
      <c r="F161" t="s">
        <v>83</v>
      </c>
      <c r="G161">
        <v>1</v>
      </c>
      <c r="H161">
        <v>0</v>
      </c>
      <c r="I161">
        <v>0</v>
      </c>
      <c r="J161">
        <v>6.7</v>
      </c>
      <c r="K161">
        <v>1</v>
      </c>
      <c r="L161">
        <v>0</v>
      </c>
      <c r="M161">
        <v>0</v>
      </c>
      <c r="N161">
        <v>14.7</v>
      </c>
      <c r="O161">
        <v>-14.7</v>
      </c>
      <c r="P161">
        <v>-69.09</v>
      </c>
      <c r="Q161" t="s">
        <v>1031</v>
      </c>
      <c r="R161" t="s">
        <v>1346</v>
      </c>
    </row>
    <row r="162" spans="1:18">
      <c r="A162" t="s">
        <v>1347</v>
      </c>
      <c r="B162" t="s">
        <v>622</v>
      </c>
      <c r="C162" t="s">
        <v>39</v>
      </c>
      <c r="D162" t="s">
        <v>40</v>
      </c>
      <c r="E162" t="s">
        <v>82</v>
      </c>
      <c r="F162" t="s">
        <v>83</v>
      </c>
      <c r="G162">
        <v>1</v>
      </c>
      <c r="H162">
        <v>0</v>
      </c>
      <c r="I162">
        <v>0</v>
      </c>
      <c r="J162">
        <v>6.7</v>
      </c>
      <c r="K162">
        <v>1</v>
      </c>
      <c r="L162">
        <v>0</v>
      </c>
      <c r="M162">
        <v>0</v>
      </c>
      <c r="N162">
        <v>14.7</v>
      </c>
      <c r="O162">
        <v>-14.7</v>
      </c>
      <c r="P162">
        <v>-69.09</v>
      </c>
      <c r="Q162" t="s">
        <v>1031</v>
      </c>
      <c r="R162" t="s">
        <v>1348</v>
      </c>
    </row>
    <row r="163" spans="1:18">
      <c r="A163" t="s">
        <v>1349</v>
      </c>
      <c r="B163" t="s">
        <v>622</v>
      </c>
      <c r="C163" t="s">
        <v>41</v>
      </c>
      <c r="D163" t="s">
        <v>42</v>
      </c>
      <c r="E163" t="s">
        <v>122</v>
      </c>
      <c r="F163" t="s">
        <v>123</v>
      </c>
      <c r="G163">
        <v>1</v>
      </c>
      <c r="H163">
        <v>0</v>
      </c>
      <c r="I163">
        <v>0</v>
      </c>
      <c r="J163">
        <v>10.73</v>
      </c>
      <c r="K163">
        <v>1</v>
      </c>
      <c r="L163">
        <v>0</v>
      </c>
      <c r="M163">
        <v>0</v>
      </c>
      <c r="N163">
        <v>18.73</v>
      </c>
      <c r="O163">
        <v>-18.73</v>
      </c>
      <c r="P163">
        <v>-88.02</v>
      </c>
      <c r="Q163" t="s">
        <v>1031</v>
      </c>
      <c r="R163" t="s">
        <v>1350</v>
      </c>
    </row>
    <row r="164" spans="1:18">
      <c r="A164" t="s">
        <v>1351</v>
      </c>
      <c r="B164" t="s">
        <v>622</v>
      </c>
      <c r="C164" t="s">
        <v>41</v>
      </c>
      <c r="D164" t="s">
        <v>42</v>
      </c>
      <c r="E164" t="s">
        <v>122</v>
      </c>
      <c r="F164" t="s">
        <v>123</v>
      </c>
      <c r="G164">
        <v>1</v>
      </c>
      <c r="H164">
        <v>0</v>
      </c>
      <c r="I164">
        <v>0</v>
      </c>
      <c r="J164">
        <v>10.73</v>
      </c>
      <c r="K164">
        <v>1</v>
      </c>
      <c r="L164">
        <v>0</v>
      </c>
      <c r="M164">
        <v>0</v>
      </c>
      <c r="N164">
        <v>18.73</v>
      </c>
      <c r="O164">
        <v>-18.73</v>
      </c>
      <c r="P164">
        <v>-88.02</v>
      </c>
      <c r="Q164" t="s">
        <v>1031</v>
      </c>
      <c r="R164" t="s">
        <v>1352</v>
      </c>
    </row>
    <row r="165" spans="1:18">
      <c r="A165" t="s">
        <v>1353</v>
      </c>
      <c r="B165" t="s">
        <v>622</v>
      </c>
      <c r="C165" t="s">
        <v>39</v>
      </c>
      <c r="D165" t="s">
        <v>40</v>
      </c>
      <c r="E165" t="s">
        <v>82</v>
      </c>
      <c r="F165" t="s">
        <v>83</v>
      </c>
      <c r="G165">
        <v>1</v>
      </c>
      <c r="H165">
        <v>0</v>
      </c>
      <c r="I165">
        <v>0</v>
      </c>
      <c r="J165">
        <v>6.7</v>
      </c>
      <c r="K165">
        <v>1</v>
      </c>
      <c r="L165">
        <v>0</v>
      </c>
      <c r="M165">
        <v>0</v>
      </c>
      <c r="N165">
        <v>14.7</v>
      </c>
      <c r="O165">
        <v>-14.7</v>
      </c>
      <c r="P165">
        <v>-69.09</v>
      </c>
      <c r="Q165" t="s">
        <v>1031</v>
      </c>
      <c r="R165" t="s">
        <v>1354</v>
      </c>
    </row>
    <row r="166" spans="1:18">
      <c r="A166" t="s">
        <v>1355</v>
      </c>
      <c r="B166" t="s">
        <v>622</v>
      </c>
      <c r="C166" t="s">
        <v>39</v>
      </c>
      <c r="D166" t="s">
        <v>40</v>
      </c>
      <c r="E166" t="s">
        <v>82</v>
      </c>
      <c r="F166" t="s">
        <v>83</v>
      </c>
      <c r="G166">
        <v>1</v>
      </c>
      <c r="H166">
        <v>0</v>
      </c>
      <c r="I166">
        <v>0</v>
      </c>
      <c r="J166">
        <v>6.7</v>
      </c>
      <c r="K166">
        <v>1</v>
      </c>
      <c r="L166">
        <v>0</v>
      </c>
      <c r="M166">
        <v>0</v>
      </c>
      <c r="N166">
        <v>14.7</v>
      </c>
      <c r="O166">
        <v>-14.7</v>
      </c>
      <c r="P166">
        <v>-69.09</v>
      </c>
      <c r="Q166" t="s">
        <v>1031</v>
      </c>
      <c r="R166" t="s">
        <v>1356</v>
      </c>
    </row>
    <row r="167" spans="1:18">
      <c r="A167" t="s">
        <v>1357</v>
      </c>
      <c r="B167" t="s">
        <v>622</v>
      </c>
      <c r="C167" t="s">
        <v>39</v>
      </c>
      <c r="D167" t="s">
        <v>40</v>
      </c>
      <c r="E167" t="s">
        <v>82</v>
      </c>
      <c r="F167" t="s">
        <v>83</v>
      </c>
      <c r="G167">
        <v>1</v>
      </c>
      <c r="H167">
        <v>0</v>
      </c>
      <c r="I167">
        <v>0</v>
      </c>
      <c r="J167">
        <v>6.7</v>
      </c>
      <c r="K167">
        <v>1</v>
      </c>
      <c r="L167">
        <v>0</v>
      </c>
      <c r="M167">
        <v>0</v>
      </c>
      <c r="N167">
        <v>14.7</v>
      </c>
      <c r="O167">
        <v>-14.7</v>
      </c>
      <c r="P167">
        <v>-69.09</v>
      </c>
      <c r="Q167" t="s">
        <v>1031</v>
      </c>
      <c r="R167" t="s">
        <v>1358</v>
      </c>
    </row>
    <row r="168" spans="1:18">
      <c r="A168" t="s">
        <v>1359</v>
      </c>
      <c r="B168" t="s">
        <v>622</v>
      </c>
      <c r="C168" t="s">
        <v>39</v>
      </c>
      <c r="D168" t="s">
        <v>40</v>
      </c>
      <c r="E168" t="s">
        <v>82</v>
      </c>
      <c r="F168" t="s">
        <v>83</v>
      </c>
      <c r="G168">
        <v>1</v>
      </c>
      <c r="H168">
        <v>0</v>
      </c>
      <c r="I168">
        <v>0</v>
      </c>
      <c r="J168">
        <v>6.7</v>
      </c>
      <c r="K168">
        <v>1</v>
      </c>
      <c r="L168">
        <v>0</v>
      </c>
      <c r="M168">
        <v>0</v>
      </c>
      <c r="N168">
        <v>14.7</v>
      </c>
      <c r="O168">
        <v>-14.7</v>
      </c>
      <c r="P168">
        <v>-69.09</v>
      </c>
      <c r="Q168" t="s">
        <v>1031</v>
      </c>
      <c r="R168" t="s">
        <v>1360</v>
      </c>
    </row>
    <row r="169" spans="1:18">
      <c r="A169" t="s">
        <v>1361</v>
      </c>
      <c r="B169" t="s">
        <v>622</v>
      </c>
      <c r="C169" t="s">
        <v>39</v>
      </c>
      <c r="D169" t="s">
        <v>40</v>
      </c>
      <c r="E169" t="s">
        <v>82</v>
      </c>
      <c r="F169" t="s">
        <v>83</v>
      </c>
      <c r="G169">
        <v>1</v>
      </c>
      <c r="H169">
        <v>0</v>
      </c>
      <c r="I169">
        <v>0</v>
      </c>
      <c r="J169">
        <v>6.7</v>
      </c>
      <c r="K169">
        <v>1</v>
      </c>
      <c r="L169">
        <v>0</v>
      </c>
      <c r="M169">
        <v>0</v>
      </c>
      <c r="N169">
        <v>14.7</v>
      </c>
      <c r="O169">
        <v>-14.7</v>
      </c>
      <c r="P169">
        <v>-69.09</v>
      </c>
      <c r="Q169" t="s">
        <v>1031</v>
      </c>
      <c r="R169" t="s">
        <v>1362</v>
      </c>
    </row>
    <row r="170" spans="1:18">
      <c r="A170" t="s">
        <v>1363</v>
      </c>
      <c r="B170" t="s">
        <v>622</v>
      </c>
      <c r="C170" t="s">
        <v>39</v>
      </c>
      <c r="D170" t="s">
        <v>40</v>
      </c>
      <c r="E170" t="s">
        <v>82</v>
      </c>
      <c r="F170" t="s">
        <v>83</v>
      </c>
      <c r="G170">
        <v>1</v>
      </c>
      <c r="H170">
        <v>0</v>
      </c>
      <c r="I170">
        <v>0</v>
      </c>
      <c r="J170">
        <v>6.7</v>
      </c>
      <c r="K170">
        <v>1</v>
      </c>
      <c r="L170">
        <v>0</v>
      </c>
      <c r="M170">
        <v>0</v>
      </c>
      <c r="N170">
        <v>14.7</v>
      </c>
      <c r="O170">
        <v>-14.7</v>
      </c>
      <c r="P170">
        <v>-69.09</v>
      </c>
      <c r="Q170" t="s">
        <v>1031</v>
      </c>
      <c r="R170" t="s">
        <v>1364</v>
      </c>
    </row>
    <row r="171" spans="1:18">
      <c r="A171" t="s">
        <v>1365</v>
      </c>
      <c r="B171" t="s">
        <v>622</v>
      </c>
      <c r="C171" t="s">
        <v>39</v>
      </c>
      <c r="D171" t="s">
        <v>40</v>
      </c>
      <c r="E171" t="s">
        <v>82</v>
      </c>
      <c r="F171" t="s">
        <v>83</v>
      </c>
      <c r="G171">
        <v>1</v>
      </c>
      <c r="H171">
        <v>0</v>
      </c>
      <c r="I171">
        <v>0</v>
      </c>
      <c r="J171">
        <v>6.7</v>
      </c>
      <c r="K171">
        <v>1</v>
      </c>
      <c r="L171">
        <v>0</v>
      </c>
      <c r="M171">
        <v>0</v>
      </c>
      <c r="N171">
        <v>14.7</v>
      </c>
      <c r="O171">
        <v>-14.7</v>
      </c>
      <c r="P171">
        <v>-69.09</v>
      </c>
      <c r="Q171" t="s">
        <v>1031</v>
      </c>
      <c r="R171" t="s">
        <v>1366</v>
      </c>
    </row>
    <row r="172" spans="1:18">
      <c r="A172" t="s">
        <v>1367</v>
      </c>
      <c r="B172" t="s">
        <v>622</v>
      </c>
      <c r="C172" t="s">
        <v>39</v>
      </c>
      <c r="D172" t="s">
        <v>40</v>
      </c>
      <c r="E172" t="s">
        <v>82</v>
      </c>
      <c r="F172" t="s">
        <v>83</v>
      </c>
      <c r="G172">
        <v>1</v>
      </c>
      <c r="H172">
        <v>0</v>
      </c>
      <c r="I172">
        <v>0</v>
      </c>
      <c r="J172">
        <v>6.7</v>
      </c>
      <c r="K172">
        <v>1</v>
      </c>
      <c r="L172">
        <v>0</v>
      </c>
      <c r="M172">
        <v>0</v>
      </c>
      <c r="N172">
        <v>14.7</v>
      </c>
      <c r="O172">
        <v>-14.7</v>
      </c>
      <c r="P172">
        <v>-69.09</v>
      </c>
      <c r="Q172" t="s">
        <v>1031</v>
      </c>
      <c r="R172" t="s">
        <v>1368</v>
      </c>
    </row>
    <row r="173" spans="1:18">
      <c r="A173" t="s">
        <v>1369</v>
      </c>
      <c r="B173" t="s">
        <v>622</v>
      </c>
      <c r="C173" t="s">
        <v>39</v>
      </c>
      <c r="D173" t="s">
        <v>40</v>
      </c>
      <c r="E173" t="s">
        <v>82</v>
      </c>
      <c r="F173" t="s">
        <v>83</v>
      </c>
      <c r="G173">
        <v>1</v>
      </c>
      <c r="H173">
        <v>0</v>
      </c>
      <c r="I173">
        <v>0</v>
      </c>
      <c r="J173">
        <v>6.7</v>
      </c>
      <c r="K173">
        <v>1</v>
      </c>
      <c r="L173">
        <v>0</v>
      </c>
      <c r="M173">
        <v>0</v>
      </c>
      <c r="N173">
        <v>14.7</v>
      </c>
      <c r="O173">
        <v>-14.7</v>
      </c>
      <c r="P173">
        <v>-69.09</v>
      </c>
      <c r="Q173" t="s">
        <v>1031</v>
      </c>
      <c r="R173" t="s">
        <v>1370</v>
      </c>
    </row>
    <row r="174" spans="1:18">
      <c r="A174" t="s">
        <v>1371</v>
      </c>
      <c r="B174" t="s">
        <v>622</v>
      </c>
      <c r="C174" t="s">
        <v>39</v>
      </c>
      <c r="D174" t="s">
        <v>40</v>
      </c>
      <c r="E174" t="s">
        <v>82</v>
      </c>
      <c r="F174" t="s">
        <v>83</v>
      </c>
      <c r="G174">
        <v>1</v>
      </c>
      <c r="H174">
        <v>0</v>
      </c>
      <c r="I174">
        <v>0</v>
      </c>
      <c r="J174">
        <v>6.7</v>
      </c>
      <c r="K174">
        <v>1</v>
      </c>
      <c r="L174">
        <v>0</v>
      </c>
      <c r="M174">
        <v>0</v>
      </c>
      <c r="N174">
        <v>14.7</v>
      </c>
      <c r="O174">
        <v>-14.7</v>
      </c>
      <c r="P174">
        <v>-69.09</v>
      </c>
      <c r="Q174" t="s">
        <v>1031</v>
      </c>
      <c r="R174" t="s">
        <v>1372</v>
      </c>
    </row>
    <row r="175" spans="1:18">
      <c r="A175" t="s">
        <v>1373</v>
      </c>
      <c r="B175" t="s">
        <v>622</v>
      </c>
      <c r="C175" t="s">
        <v>39</v>
      </c>
      <c r="D175" t="s">
        <v>40</v>
      </c>
      <c r="E175" t="s">
        <v>82</v>
      </c>
      <c r="F175" t="s">
        <v>83</v>
      </c>
      <c r="G175">
        <v>1</v>
      </c>
      <c r="H175">
        <v>0</v>
      </c>
      <c r="I175">
        <v>0</v>
      </c>
      <c r="J175">
        <v>6.7</v>
      </c>
      <c r="K175">
        <v>1</v>
      </c>
      <c r="L175">
        <v>0</v>
      </c>
      <c r="M175">
        <v>0</v>
      </c>
      <c r="N175">
        <v>14.7</v>
      </c>
      <c r="O175">
        <v>-14.7</v>
      </c>
      <c r="P175">
        <v>-69.09</v>
      </c>
      <c r="Q175" t="s">
        <v>1031</v>
      </c>
      <c r="R175" t="s">
        <v>1374</v>
      </c>
    </row>
    <row r="176" spans="1:18">
      <c r="A176" t="s">
        <v>1375</v>
      </c>
      <c r="B176" t="s">
        <v>622</v>
      </c>
      <c r="C176" t="s">
        <v>39</v>
      </c>
      <c r="D176" t="s">
        <v>40</v>
      </c>
      <c r="E176" t="s">
        <v>82</v>
      </c>
      <c r="F176" t="s">
        <v>83</v>
      </c>
      <c r="G176">
        <v>1</v>
      </c>
      <c r="H176">
        <v>0</v>
      </c>
      <c r="I176">
        <v>0</v>
      </c>
      <c r="J176">
        <v>6.7</v>
      </c>
      <c r="K176">
        <v>1</v>
      </c>
      <c r="L176">
        <v>0</v>
      </c>
      <c r="M176">
        <v>0</v>
      </c>
      <c r="N176">
        <v>14.7</v>
      </c>
      <c r="O176">
        <v>-14.7</v>
      </c>
      <c r="P176">
        <v>-69.09</v>
      </c>
      <c r="Q176" t="s">
        <v>1031</v>
      </c>
      <c r="R176" t="s">
        <v>1376</v>
      </c>
    </row>
    <row r="177" spans="1:18">
      <c r="A177" t="s">
        <v>1377</v>
      </c>
      <c r="B177" t="s">
        <v>622</v>
      </c>
      <c r="C177" t="s">
        <v>39</v>
      </c>
      <c r="D177" t="s">
        <v>40</v>
      </c>
      <c r="E177" t="s">
        <v>82</v>
      </c>
      <c r="F177" t="s">
        <v>83</v>
      </c>
      <c r="G177">
        <v>1</v>
      </c>
      <c r="H177">
        <v>0</v>
      </c>
      <c r="I177">
        <v>0</v>
      </c>
      <c r="J177">
        <v>6.7</v>
      </c>
      <c r="K177">
        <v>1</v>
      </c>
      <c r="L177">
        <v>0</v>
      </c>
      <c r="M177">
        <v>0</v>
      </c>
      <c r="N177">
        <v>14.7</v>
      </c>
      <c r="O177">
        <v>-14.7</v>
      </c>
      <c r="P177">
        <v>-69.09</v>
      </c>
      <c r="Q177" t="s">
        <v>1031</v>
      </c>
      <c r="R177" t="s">
        <v>1378</v>
      </c>
    </row>
    <row r="178" spans="1:18">
      <c r="A178" t="s">
        <v>1379</v>
      </c>
      <c r="B178" t="s">
        <v>622</v>
      </c>
      <c r="C178" t="s">
        <v>39</v>
      </c>
      <c r="D178" t="s">
        <v>40</v>
      </c>
      <c r="E178" t="s">
        <v>82</v>
      </c>
      <c r="F178" t="s">
        <v>83</v>
      </c>
      <c r="G178">
        <v>1</v>
      </c>
      <c r="H178">
        <v>0</v>
      </c>
      <c r="I178">
        <v>0</v>
      </c>
      <c r="J178">
        <v>6.7</v>
      </c>
      <c r="K178">
        <v>1</v>
      </c>
      <c r="L178">
        <v>0</v>
      </c>
      <c r="M178">
        <v>0</v>
      </c>
      <c r="N178">
        <v>14.7</v>
      </c>
      <c r="O178">
        <v>-14.7</v>
      </c>
      <c r="P178">
        <v>-69.09</v>
      </c>
      <c r="Q178" t="s">
        <v>1031</v>
      </c>
      <c r="R178" t="s">
        <v>1380</v>
      </c>
    </row>
    <row r="179" spans="1:18">
      <c r="A179" t="s">
        <v>1381</v>
      </c>
      <c r="B179" t="s">
        <v>622</v>
      </c>
      <c r="C179" t="s">
        <v>39</v>
      </c>
      <c r="D179" t="s">
        <v>40</v>
      </c>
      <c r="E179" t="s">
        <v>82</v>
      </c>
      <c r="F179" t="s">
        <v>83</v>
      </c>
      <c r="G179">
        <v>1</v>
      </c>
      <c r="H179">
        <v>0</v>
      </c>
      <c r="I179">
        <v>0</v>
      </c>
      <c r="J179">
        <v>6.7</v>
      </c>
      <c r="K179">
        <v>1</v>
      </c>
      <c r="L179">
        <v>0</v>
      </c>
      <c r="M179">
        <v>0</v>
      </c>
      <c r="N179">
        <v>14.7</v>
      </c>
      <c r="O179">
        <v>-14.7</v>
      </c>
      <c r="P179">
        <v>-69.09</v>
      </c>
      <c r="Q179" t="s">
        <v>1031</v>
      </c>
      <c r="R179" t="s">
        <v>1382</v>
      </c>
    </row>
    <row r="180" spans="1:18">
      <c r="A180" t="s">
        <v>1383</v>
      </c>
      <c r="B180" t="s">
        <v>622</v>
      </c>
      <c r="C180" t="s">
        <v>39</v>
      </c>
      <c r="D180" t="s">
        <v>40</v>
      </c>
      <c r="E180" t="s">
        <v>82</v>
      </c>
      <c r="F180" t="s">
        <v>83</v>
      </c>
      <c r="G180">
        <v>1</v>
      </c>
      <c r="H180">
        <v>0</v>
      </c>
      <c r="I180">
        <v>0</v>
      </c>
      <c r="J180">
        <v>6.7</v>
      </c>
      <c r="K180">
        <v>1</v>
      </c>
      <c r="L180">
        <v>0</v>
      </c>
      <c r="M180">
        <v>0</v>
      </c>
      <c r="N180">
        <v>14.7</v>
      </c>
      <c r="O180">
        <v>-14.7</v>
      </c>
      <c r="P180">
        <v>-69.09</v>
      </c>
      <c r="Q180" t="s">
        <v>1031</v>
      </c>
      <c r="R180" t="s">
        <v>1384</v>
      </c>
    </row>
    <row r="181" spans="1:18">
      <c r="A181" t="s">
        <v>1385</v>
      </c>
      <c r="B181" t="s">
        <v>622</v>
      </c>
      <c r="C181" t="s">
        <v>39</v>
      </c>
      <c r="D181" t="s">
        <v>40</v>
      </c>
      <c r="E181" t="s">
        <v>82</v>
      </c>
      <c r="F181" t="s">
        <v>83</v>
      </c>
      <c r="G181">
        <v>1</v>
      </c>
      <c r="H181">
        <v>0</v>
      </c>
      <c r="I181">
        <v>0</v>
      </c>
      <c r="J181">
        <v>6.7</v>
      </c>
      <c r="K181">
        <v>1</v>
      </c>
      <c r="L181">
        <v>0</v>
      </c>
      <c r="M181">
        <v>0</v>
      </c>
      <c r="N181">
        <v>14.7</v>
      </c>
      <c r="O181">
        <v>-14.7</v>
      </c>
      <c r="P181">
        <v>-69.09</v>
      </c>
      <c r="Q181" t="s">
        <v>1031</v>
      </c>
      <c r="R181" t="s">
        <v>1386</v>
      </c>
    </row>
    <row r="182" spans="1:18">
      <c r="A182" t="s">
        <v>1387</v>
      </c>
      <c r="B182" t="s">
        <v>622</v>
      </c>
      <c r="C182" t="s">
        <v>39</v>
      </c>
      <c r="D182" t="s">
        <v>40</v>
      </c>
      <c r="E182" t="s">
        <v>82</v>
      </c>
      <c r="F182" t="s">
        <v>83</v>
      </c>
      <c r="G182">
        <v>1</v>
      </c>
      <c r="H182">
        <v>0</v>
      </c>
      <c r="I182">
        <v>0</v>
      </c>
      <c r="J182">
        <v>6.7</v>
      </c>
      <c r="K182">
        <v>1</v>
      </c>
      <c r="L182">
        <v>0</v>
      </c>
      <c r="M182">
        <v>0</v>
      </c>
      <c r="N182">
        <v>14.7</v>
      </c>
      <c r="O182">
        <v>-14.7</v>
      </c>
      <c r="P182">
        <v>-69.09</v>
      </c>
      <c r="Q182" t="s">
        <v>1031</v>
      </c>
      <c r="R182" t="s">
        <v>1388</v>
      </c>
    </row>
    <row r="183" spans="1:18">
      <c r="A183" t="s">
        <v>1389</v>
      </c>
      <c r="B183" t="s">
        <v>622</v>
      </c>
      <c r="C183" t="s">
        <v>39</v>
      </c>
      <c r="D183" t="s">
        <v>40</v>
      </c>
      <c r="E183" t="s">
        <v>82</v>
      </c>
      <c r="F183" t="s">
        <v>83</v>
      </c>
      <c r="G183">
        <v>1</v>
      </c>
      <c r="H183">
        <v>0</v>
      </c>
      <c r="I183">
        <v>0</v>
      </c>
      <c r="J183">
        <v>6.7</v>
      </c>
      <c r="K183">
        <v>1</v>
      </c>
      <c r="L183">
        <v>0</v>
      </c>
      <c r="M183">
        <v>0</v>
      </c>
      <c r="N183">
        <v>14.7</v>
      </c>
      <c r="O183">
        <v>-14.7</v>
      </c>
      <c r="P183">
        <v>-69.09</v>
      </c>
      <c r="Q183" t="s">
        <v>1031</v>
      </c>
      <c r="R183" t="s">
        <v>1390</v>
      </c>
    </row>
    <row r="184" spans="1:18">
      <c r="A184" t="s">
        <v>1391</v>
      </c>
      <c r="B184" t="s">
        <v>622</v>
      </c>
      <c r="C184" t="s">
        <v>39</v>
      </c>
      <c r="D184" t="s">
        <v>40</v>
      </c>
      <c r="E184" t="s">
        <v>82</v>
      </c>
      <c r="F184" t="s">
        <v>83</v>
      </c>
      <c r="G184">
        <v>1</v>
      </c>
      <c r="H184">
        <v>0</v>
      </c>
      <c r="I184">
        <v>0</v>
      </c>
      <c r="J184">
        <v>6.7</v>
      </c>
      <c r="K184">
        <v>1</v>
      </c>
      <c r="L184">
        <v>0</v>
      </c>
      <c r="M184">
        <v>0</v>
      </c>
      <c r="N184">
        <v>14.7</v>
      </c>
      <c r="O184">
        <v>-14.7</v>
      </c>
      <c r="P184">
        <v>-69.09</v>
      </c>
      <c r="Q184" t="s">
        <v>1031</v>
      </c>
      <c r="R184" t="s">
        <v>1392</v>
      </c>
    </row>
    <row r="185" spans="1:18">
      <c r="A185" t="s">
        <v>1393</v>
      </c>
      <c r="B185" t="s">
        <v>622</v>
      </c>
      <c r="C185" t="s">
        <v>39</v>
      </c>
      <c r="D185" t="s">
        <v>40</v>
      </c>
      <c r="E185" t="s">
        <v>82</v>
      </c>
      <c r="F185" t="s">
        <v>83</v>
      </c>
      <c r="G185">
        <v>1</v>
      </c>
      <c r="H185">
        <v>0</v>
      </c>
      <c r="I185">
        <v>0</v>
      </c>
      <c r="J185">
        <v>6.7</v>
      </c>
      <c r="K185">
        <v>1</v>
      </c>
      <c r="L185">
        <v>0</v>
      </c>
      <c r="M185">
        <v>0</v>
      </c>
      <c r="N185">
        <v>14.7</v>
      </c>
      <c r="O185">
        <v>-14.7</v>
      </c>
      <c r="P185">
        <v>-69.09</v>
      </c>
      <c r="Q185" t="s">
        <v>1031</v>
      </c>
      <c r="R185" t="s">
        <v>1394</v>
      </c>
    </row>
    <row r="186" spans="1:18">
      <c r="A186" t="s">
        <v>1395</v>
      </c>
      <c r="B186" t="s">
        <v>622</v>
      </c>
      <c r="C186" t="s">
        <v>39</v>
      </c>
      <c r="D186" t="s">
        <v>40</v>
      </c>
      <c r="E186" t="s">
        <v>82</v>
      </c>
      <c r="F186" t="s">
        <v>83</v>
      </c>
      <c r="G186">
        <v>1</v>
      </c>
      <c r="H186">
        <v>0</v>
      </c>
      <c r="I186">
        <v>0</v>
      </c>
      <c r="J186">
        <v>6.7</v>
      </c>
      <c r="K186">
        <v>1</v>
      </c>
      <c r="L186">
        <v>0</v>
      </c>
      <c r="M186">
        <v>0</v>
      </c>
      <c r="N186">
        <v>14.7</v>
      </c>
      <c r="O186">
        <v>-14.7</v>
      </c>
      <c r="P186">
        <v>-69.09</v>
      </c>
      <c r="Q186" t="s">
        <v>1031</v>
      </c>
      <c r="R186" t="s">
        <v>1396</v>
      </c>
    </row>
    <row r="187" spans="1:18">
      <c r="A187" t="s">
        <v>1397</v>
      </c>
      <c r="B187" t="s">
        <v>622</v>
      </c>
      <c r="C187" t="s">
        <v>39</v>
      </c>
      <c r="D187" t="s">
        <v>40</v>
      </c>
      <c r="E187" t="s">
        <v>82</v>
      </c>
      <c r="F187" t="s">
        <v>83</v>
      </c>
      <c r="G187">
        <v>1</v>
      </c>
      <c r="H187">
        <v>0</v>
      </c>
      <c r="I187">
        <v>0</v>
      </c>
      <c r="J187">
        <v>6.7</v>
      </c>
      <c r="K187">
        <v>1</v>
      </c>
      <c r="L187">
        <v>0</v>
      </c>
      <c r="M187">
        <v>0</v>
      </c>
      <c r="N187">
        <v>14.7</v>
      </c>
      <c r="O187">
        <v>-14.7</v>
      </c>
      <c r="P187">
        <v>-69.09</v>
      </c>
      <c r="Q187" t="s">
        <v>1031</v>
      </c>
      <c r="R187" t="s">
        <v>1398</v>
      </c>
    </row>
    <row r="188" spans="1:18">
      <c r="A188" t="s">
        <v>1399</v>
      </c>
      <c r="B188" t="s">
        <v>622</v>
      </c>
      <c r="C188" t="s">
        <v>39</v>
      </c>
      <c r="D188" t="s">
        <v>40</v>
      </c>
      <c r="E188" t="s">
        <v>82</v>
      </c>
      <c r="F188" t="s">
        <v>83</v>
      </c>
      <c r="G188">
        <v>1</v>
      </c>
      <c r="H188">
        <v>0</v>
      </c>
      <c r="I188">
        <v>0</v>
      </c>
      <c r="J188">
        <v>6.7</v>
      </c>
      <c r="K188">
        <v>1</v>
      </c>
      <c r="L188">
        <v>0</v>
      </c>
      <c r="M188">
        <v>0</v>
      </c>
      <c r="N188">
        <v>14.7</v>
      </c>
      <c r="O188">
        <v>-14.7</v>
      </c>
      <c r="P188">
        <v>-69.09</v>
      </c>
      <c r="Q188" t="s">
        <v>1031</v>
      </c>
      <c r="R188" t="s">
        <v>1400</v>
      </c>
    </row>
    <row r="189" spans="1:18">
      <c r="A189" t="s">
        <v>1401</v>
      </c>
      <c r="B189" t="s">
        <v>622</v>
      </c>
      <c r="C189" t="s">
        <v>39</v>
      </c>
      <c r="D189" t="s">
        <v>40</v>
      </c>
      <c r="E189" t="s">
        <v>82</v>
      </c>
      <c r="F189" t="s">
        <v>83</v>
      </c>
      <c r="G189">
        <v>1</v>
      </c>
      <c r="H189">
        <v>0</v>
      </c>
      <c r="I189">
        <v>0</v>
      </c>
      <c r="J189">
        <v>6.7</v>
      </c>
      <c r="K189">
        <v>1</v>
      </c>
      <c r="L189">
        <v>0</v>
      </c>
      <c r="M189">
        <v>0</v>
      </c>
      <c r="N189">
        <v>14.7</v>
      </c>
      <c r="O189">
        <v>-14.7</v>
      </c>
      <c r="P189">
        <v>-69.09</v>
      </c>
      <c r="Q189" t="s">
        <v>1031</v>
      </c>
      <c r="R189" t="s">
        <v>1402</v>
      </c>
    </row>
    <row r="190" spans="1:18">
      <c r="A190" t="s">
        <v>1403</v>
      </c>
      <c r="B190" t="s">
        <v>622</v>
      </c>
      <c r="C190" t="s">
        <v>39</v>
      </c>
      <c r="D190" t="s">
        <v>40</v>
      </c>
      <c r="E190" t="s">
        <v>82</v>
      </c>
      <c r="F190" t="s">
        <v>83</v>
      </c>
      <c r="G190">
        <v>1</v>
      </c>
      <c r="H190">
        <v>0</v>
      </c>
      <c r="I190">
        <v>0</v>
      </c>
      <c r="J190">
        <v>6.7</v>
      </c>
      <c r="K190">
        <v>1</v>
      </c>
      <c r="L190">
        <v>0</v>
      </c>
      <c r="M190">
        <v>0</v>
      </c>
      <c r="N190">
        <v>14.7</v>
      </c>
      <c r="O190">
        <v>-14.7</v>
      </c>
      <c r="P190">
        <v>-69.09</v>
      </c>
      <c r="Q190" t="s">
        <v>1031</v>
      </c>
      <c r="R190" t="s">
        <v>1404</v>
      </c>
    </row>
    <row r="191" spans="1:18">
      <c r="A191" t="s">
        <v>1405</v>
      </c>
      <c r="B191" t="s">
        <v>622</v>
      </c>
      <c r="C191" t="s">
        <v>39</v>
      </c>
      <c r="D191" t="s">
        <v>40</v>
      </c>
      <c r="E191" t="s">
        <v>82</v>
      </c>
      <c r="F191" t="s">
        <v>83</v>
      </c>
      <c r="G191">
        <v>1</v>
      </c>
      <c r="H191">
        <v>0</v>
      </c>
      <c r="I191">
        <v>0</v>
      </c>
      <c r="J191">
        <v>6.7</v>
      </c>
      <c r="K191">
        <v>1</v>
      </c>
      <c r="L191">
        <v>0</v>
      </c>
      <c r="M191">
        <v>0</v>
      </c>
      <c r="N191">
        <v>14.7</v>
      </c>
      <c r="O191">
        <v>-14.7</v>
      </c>
      <c r="P191">
        <v>-69.09</v>
      </c>
      <c r="Q191" t="s">
        <v>1031</v>
      </c>
      <c r="R191" t="s">
        <v>1406</v>
      </c>
    </row>
    <row r="192" spans="1:18">
      <c r="A192" t="s">
        <v>1407</v>
      </c>
      <c r="B192" t="s">
        <v>622</v>
      </c>
      <c r="C192" t="s">
        <v>39</v>
      </c>
      <c r="D192" t="s">
        <v>40</v>
      </c>
      <c r="E192" t="s">
        <v>82</v>
      </c>
      <c r="F192" t="s">
        <v>83</v>
      </c>
      <c r="G192">
        <v>1</v>
      </c>
      <c r="H192">
        <v>0</v>
      </c>
      <c r="I192">
        <v>0</v>
      </c>
      <c r="J192">
        <v>6.7</v>
      </c>
      <c r="K192">
        <v>1</v>
      </c>
      <c r="L192">
        <v>0</v>
      </c>
      <c r="M192">
        <v>0</v>
      </c>
      <c r="N192">
        <v>14.7</v>
      </c>
      <c r="O192">
        <v>-14.7</v>
      </c>
      <c r="P192">
        <v>-69.09</v>
      </c>
      <c r="Q192" t="s">
        <v>1031</v>
      </c>
      <c r="R192" t="s">
        <v>1408</v>
      </c>
    </row>
    <row r="193" spans="1:18">
      <c r="A193" t="s">
        <v>1409</v>
      </c>
      <c r="B193" t="s">
        <v>622</v>
      </c>
      <c r="C193" t="s">
        <v>39</v>
      </c>
      <c r="D193" t="s">
        <v>40</v>
      </c>
      <c r="E193" t="s">
        <v>82</v>
      </c>
      <c r="F193" t="s">
        <v>83</v>
      </c>
      <c r="G193">
        <v>1</v>
      </c>
      <c r="H193">
        <v>0</v>
      </c>
      <c r="I193">
        <v>0</v>
      </c>
      <c r="J193">
        <v>6.7</v>
      </c>
      <c r="K193">
        <v>1</v>
      </c>
      <c r="L193">
        <v>0</v>
      </c>
      <c r="M193">
        <v>0</v>
      </c>
      <c r="N193">
        <v>14.7</v>
      </c>
      <c r="O193">
        <v>-14.7</v>
      </c>
      <c r="P193">
        <v>-69.09</v>
      </c>
      <c r="Q193" t="s">
        <v>1031</v>
      </c>
      <c r="R193" t="s">
        <v>1410</v>
      </c>
    </row>
    <row r="194" spans="1:18">
      <c r="A194" t="s">
        <v>1411</v>
      </c>
      <c r="B194" t="s">
        <v>622</v>
      </c>
      <c r="C194" t="s">
        <v>39</v>
      </c>
      <c r="D194" t="s">
        <v>40</v>
      </c>
      <c r="E194" t="s">
        <v>82</v>
      </c>
      <c r="F194" t="s">
        <v>83</v>
      </c>
      <c r="G194">
        <v>1</v>
      </c>
      <c r="H194">
        <v>0</v>
      </c>
      <c r="I194">
        <v>0</v>
      </c>
      <c r="J194">
        <v>6.7</v>
      </c>
      <c r="K194">
        <v>1</v>
      </c>
      <c r="L194">
        <v>0</v>
      </c>
      <c r="M194">
        <v>0</v>
      </c>
      <c r="N194">
        <v>14.7</v>
      </c>
      <c r="O194">
        <v>-14.7</v>
      </c>
      <c r="P194">
        <v>-69.09</v>
      </c>
      <c r="Q194" t="s">
        <v>1031</v>
      </c>
      <c r="R194" t="s">
        <v>1412</v>
      </c>
    </row>
    <row r="195" spans="1:18">
      <c r="A195" t="s">
        <v>1413</v>
      </c>
      <c r="B195" t="s">
        <v>622</v>
      </c>
      <c r="C195" t="s">
        <v>39</v>
      </c>
      <c r="D195" t="s">
        <v>40</v>
      </c>
      <c r="E195" t="s">
        <v>82</v>
      </c>
      <c r="F195" t="s">
        <v>83</v>
      </c>
      <c r="G195">
        <v>1</v>
      </c>
      <c r="H195">
        <v>0</v>
      </c>
      <c r="I195">
        <v>0</v>
      </c>
      <c r="J195">
        <v>6.7</v>
      </c>
      <c r="K195">
        <v>1</v>
      </c>
      <c r="L195">
        <v>0</v>
      </c>
      <c r="M195">
        <v>0</v>
      </c>
      <c r="N195">
        <v>14.7</v>
      </c>
      <c r="O195">
        <v>-14.7</v>
      </c>
      <c r="P195">
        <v>-69.09</v>
      </c>
      <c r="Q195" t="s">
        <v>1031</v>
      </c>
      <c r="R195" t="s">
        <v>1414</v>
      </c>
    </row>
    <row r="196" spans="1:18">
      <c r="A196" t="s">
        <v>1415</v>
      </c>
      <c r="B196" t="s">
        <v>622</v>
      </c>
      <c r="C196" t="s">
        <v>39</v>
      </c>
      <c r="D196" t="s">
        <v>40</v>
      </c>
      <c r="E196" t="s">
        <v>82</v>
      </c>
      <c r="F196" t="s">
        <v>83</v>
      </c>
      <c r="G196">
        <v>1</v>
      </c>
      <c r="H196">
        <v>0</v>
      </c>
      <c r="I196">
        <v>0</v>
      </c>
      <c r="J196">
        <v>6.7</v>
      </c>
      <c r="K196">
        <v>1</v>
      </c>
      <c r="L196">
        <v>0</v>
      </c>
      <c r="M196">
        <v>0</v>
      </c>
      <c r="N196">
        <v>14.7</v>
      </c>
      <c r="O196">
        <v>-14.7</v>
      </c>
      <c r="P196">
        <v>-69.09</v>
      </c>
      <c r="Q196" t="s">
        <v>1031</v>
      </c>
      <c r="R196" t="s">
        <v>1416</v>
      </c>
    </row>
    <row r="197" spans="1:18">
      <c r="A197" t="s">
        <v>1417</v>
      </c>
      <c r="B197" t="s">
        <v>622</v>
      </c>
      <c r="C197" t="s">
        <v>39</v>
      </c>
      <c r="D197" t="s">
        <v>40</v>
      </c>
      <c r="E197" t="s">
        <v>82</v>
      </c>
      <c r="F197" t="s">
        <v>83</v>
      </c>
      <c r="G197">
        <v>1</v>
      </c>
      <c r="H197">
        <v>0</v>
      </c>
      <c r="I197">
        <v>0</v>
      </c>
      <c r="J197">
        <v>6.7</v>
      </c>
      <c r="K197">
        <v>1</v>
      </c>
      <c r="L197">
        <v>0</v>
      </c>
      <c r="M197">
        <v>0</v>
      </c>
      <c r="N197">
        <v>14.7</v>
      </c>
      <c r="O197">
        <v>-14.7</v>
      </c>
      <c r="P197">
        <v>-69.09</v>
      </c>
      <c r="Q197" t="s">
        <v>1031</v>
      </c>
      <c r="R197" t="s">
        <v>1418</v>
      </c>
    </row>
    <row r="198" spans="1:18">
      <c r="A198" t="s">
        <v>1419</v>
      </c>
      <c r="B198" t="s">
        <v>622</v>
      </c>
      <c r="C198" t="s">
        <v>39</v>
      </c>
      <c r="D198" t="s">
        <v>40</v>
      </c>
      <c r="E198" t="s">
        <v>82</v>
      </c>
      <c r="F198" t="s">
        <v>83</v>
      </c>
      <c r="G198">
        <v>1</v>
      </c>
      <c r="H198">
        <v>0</v>
      </c>
      <c r="I198">
        <v>0</v>
      </c>
      <c r="J198">
        <v>6.7</v>
      </c>
      <c r="K198">
        <v>1</v>
      </c>
      <c r="L198">
        <v>0</v>
      </c>
      <c r="M198">
        <v>0</v>
      </c>
      <c r="N198">
        <v>14.7</v>
      </c>
      <c r="O198">
        <v>-14.7</v>
      </c>
      <c r="P198">
        <v>-69.09</v>
      </c>
      <c r="Q198" t="s">
        <v>1031</v>
      </c>
      <c r="R198" t="s">
        <v>1420</v>
      </c>
    </row>
    <row r="199" spans="1:18">
      <c r="A199" t="s">
        <v>1421</v>
      </c>
      <c r="B199" t="s">
        <v>622</v>
      </c>
      <c r="C199" t="s">
        <v>39</v>
      </c>
      <c r="D199" t="s">
        <v>40</v>
      </c>
      <c r="E199" t="s">
        <v>82</v>
      </c>
      <c r="F199" t="s">
        <v>83</v>
      </c>
      <c r="G199">
        <v>1</v>
      </c>
      <c r="H199">
        <v>0</v>
      </c>
      <c r="I199">
        <v>0</v>
      </c>
      <c r="J199">
        <v>6.7</v>
      </c>
      <c r="K199">
        <v>1</v>
      </c>
      <c r="L199">
        <v>0</v>
      </c>
      <c r="M199">
        <v>0</v>
      </c>
      <c r="N199">
        <v>14.7</v>
      </c>
      <c r="O199">
        <v>-14.7</v>
      </c>
      <c r="P199">
        <v>-69.09</v>
      </c>
      <c r="Q199" t="s">
        <v>1031</v>
      </c>
      <c r="R199" t="s">
        <v>1422</v>
      </c>
    </row>
    <row r="200" spans="1:18">
      <c r="A200" t="s">
        <v>1423</v>
      </c>
      <c r="B200" t="s">
        <v>622</v>
      </c>
      <c r="C200" t="s">
        <v>39</v>
      </c>
      <c r="D200" t="s">
        <v>40</v>
      </c>
      <c r="E200" t="s">
        <v>82</v>
      </c>
      <c r="F200" t="s">
        <v>83</v>
      </c>
      <c r="G200">
        <v>1</v>
      </c>
      <c r="H200">
        <v>0</v>
      </c>
      <c r="I200">
        <v>0</v>
      </c>
      <c r="J200">
        <v>6.7</v>
      </c>
      <c r="K200">
        <v>1</v>
      </c>
      <c r="L200">
        <v>0</v>
      </c>
      <c r="M200">
        <v>0</v>
      </c>
      <c r="N200">
        <v>14.7</v>
      </c>
      <c r="O200">
        <v>-14.7</v>
      </c>
      <c r="P200">
        <v>-69.09</v>
      </c>
      <c r="Q200" t="s">
        <v>1031</v>
      </c>
      <c r="R200" t="s">
        <v>1424</v>
      </c>
    </row>
    <row r="201" spans="1:18">
      <c r="A201" t="s">
        <v>1425</v>
      </c>
      <c r="B201" t="s">
        <v>622</v>
      </c>
      <c r="C201" t="s">
        <v>39</v>
      </c>
      <c r="D201" t="s">
        <v>40</v>
      </c>
      <c r="E201" t="s">
        <v>82</v>
      </c>
      <c r="F201" t="s">
        <v>83</v>
      </c>
      <c r="G201">
        <v>1</v>
      </c>
      <c r="H201">
        <v>0</v>
      </c>
      <c r="I201">
        <v>0</v>
      </c>
      <c r="J201">
        <v>6.7</v>
      </c>
      <c r="K201">
        <v>1</v>
      </c>
      <c r="L201">
        <v>0</v>
      </c>
      <c r="M201">
        <v>0</v>
      </c>
      <c r="N201">
        <v>14.7</v>
      </c>
      <c r="O201">
        <v>-14.7</v>
      </c>
      <c r="P201">
        <v>-69.09</v>
      </c>
      <c r="Q201" t="s">
        <v>1031</v>
      </c>
      <c r="R201" t="s">
        <v>1426</v>
      </c>
    </row>
    <row r="202" spans="1:18">
      <c r="A202" t="s">
        <v>1427</v>
      </c>
      <c r="B202" t="s">
        <v>622</v>
      </c>
      <c r="C202" t="s">
        <v>39</v>
      </c>
      <c r="D202" t="s">
        <v>40</v>
      </c>
      <c r="E202" t="s">
        <v>82</v>
      </c>
      <c r="F202" t="s">
        <v>83</v>
      </c>
      <c r="G202">
        <v>1</v>
      </c>
      <c r="H202">
        <v>0</v>
      </c>
      <c r="I202">
        <v>0</v>
      </c>
      <c r="J202">
        <v>6.7</v>
      </c>
      <c r="K202">
        <v>1</v>
      </c>
      <c r="L202">
        <v>0</v>
      </c>
      <c r="M202">
        <v>0</v>
      </c>
      <c r="N202">
        <v>14.7</v>
      </c>
      <c r="O202">
        <v>-14.7</v>
      </c>
      <c r="P202">
        <v>-69.09</v>
      </c>
      <c r="Q202" t="s">
        <v>1031</v>
      </c>
      <c r="R202" t="s">
        <v>1428</v>
      </c>
    </row>
    <row r="203" spans="1:18">
      <c r="A203" t="s">
        <v>1429</v>
      </c>
      <c r="B203" t="s">
        <v>622</v>
      </c>
      <c r="C203" t="s">
        <v>39</v>
      </c>
      <c r="D203" t="s">
        <v>40</v>
      </c>
      <c r="E203" t="s">
        <v>82</v>
      </c>
      <c r="F203" t="s">
        <v>83</v>
      </c>
      <c r="G203">
        <v>1</v>
      </c>
      <c r="H203">
        <v>0</v>
      </c>
      <c r="I203">
        <v>0</v>
      </c>
      <c r="J203">
        <v>6.7</v>
      </c>
      <c r="K203">
        <v>1</v>
      </c>
      <c r="L203">
        <v>0</v>
      </c>
      <c r="M203">
        <v>0</v>
      </c>
      <c r="N203">
        <v>14.7</v>
      </c>
      <c r="O203">
        <v>-14.7</v>
      </c>
      <c r="P203">
        <v>-69.09</v>
      </c>
      <c r="Q203" t="s">
        <v>1031</v>
      </c>
      <c r="R203" t="s">
        <v>1430</v>
      </c>
    </row>
    <row r="204" spans="1:18">
      <c r="A204" t="s">
        <v>1431</v>
      </c>
      <c r="B204" t="s">
        <v>622</v>
      </c>
      <c r="C204" t="s">
        <v>39</v>
      </c>
      <c r="D204" t="s">
        <v>40</v>
      </c>
      <c r="E204" t="s">
        <v>82</v>
      </c>
      <c r="F204" t="s">
        <v>83</v>
      </c>
      <c r="G204">
        <v>1</v>
      </c>
      <c r="H204">
        <v>0</v>
      </c>
      <c r="I204">
        <v>0</v>
      </c>
      <c r="J204">
        <v>6.7</v>
      </c>
      <c r="K204">
        <v>1</v>
      </c>
      <c r="L204">
        <v>0</v>
      </c>
      <c r="M204">
        <v>0</v>
      </c>
      <c r="N204">
        <v>14.7</v>
      </c>
      <c r="O204">
        <v>-14.7</v>
      </c>
      <c r="P204">
        <v>-69.09</v>
      </c>
      <c r="Q204" t="s">
        <v>1031</v>
      </c>
      <c r="R204" t="s">
        <v>1432</v>
      </c>
    </row>
    <row r="205" spans="1:18">
      <c r="A205" t="s">
        <v>1433</v>
      </c>
      <c r="B205" t="s">
        <v>622</v>
      </c>
      <c r="C205" t="s">
        <v>39</v>
      </c>
      <c r="D205" t="s">
        <v>40</v>
      </c>
      <c r="E205" t="s">
        <v>82</v>
      </c>
      <c r="F205" t="s">
        <v>83</v>
      </c>
      <c r="G205">
        <v>1</v>
      </c>
      <c r="H205">
        <v>0</v>
      </c>
      <c r="I205">
        <v>0</v>
      </c>
      <c r="J205">
        <v>6.7</v>
      </c>
      <c r="K205">
        <v>1</v>
      </c>
      <c r="L205">
        <v>0</v>
      </c>
      <c r="M205">
        <v>0</v>
      </c>
      <c r="N205">
        <v>14.7</v>
      </c>
      <c r="O205">
        <v>-14.7</v>
      </c>
      <c r="P205">
        <v>-69.09</v>
      </c>
      <c r="Q205" t="s">
        <v>1031</v>
      </c>
      <c r="R205" t="s">
        <v>1434</v>
      </c>
    </row>
    <row r="206" spans="1:18">
      <c r="A206" t="s">
        <v>1435</v>
      </c>
      <c r="B206" t="s">
        <v>622</v>
      </c>
      <c r="C206" t="s">
        <v>39</v>
      </c>
      <c r="D206" t="s">
        <v>40</v>
      </c>
      <c r="E206" t="s">
        <v>82</v>
      </c>
      <c r="F206" t="s">
        <v>83</v>
      </c>
      <c r="G206">
        <v>1</v>
      </c>
      <c r="H206">
        <v>0</v>
      </c>
      <c r="I206">
        <v>0</v>
      </c>
      <c r="J206">
        <v>6.7</v>
      </c>
      <c r="K206">
        <v>1</v>
      </c>
      <c r="L206">
        <v>0</v>
      </c>
      <c r="M206">
        <v>0</v>
      </c>
      <c r="N206">
        <v>14.7</v>
      </c>
      <c r="O206">
        <v>-14.7</v>
      </c>
      <c r="P206">
        <v>-69.09</v>
      </c>
      <c r="Q206" t="s">
        <v>1031</v>
      </c>
      <c r="R206" t="s">
        <v>1436</v>
      </c>
    </row>
    <row r="207" spans="1:18">
      <c r="A207" t="s">
        <v>1437</v>
      </c>
      <c r="B207" t="s">
        <v>622</v>
      </c>
      <c r="C207" t="s">
        <v>39</v>
      </c>
      <c r="D207" t="s">
        <v>40</v>
      </c>
      <c r="E207" t="s">
        <v>82</v>
      </c>
      <c r="F207" t="s">
        <v>83</v>
      </c>
      <c r="G207">
        <v>1</v>
      </c>
      <c r="H207">
        <v>0</v>
      </c>
      <c r="I207">
        <v>0</v>
      </c>
      <c r="J207">
        <v>6.7</v>
      </c>
      <c r="K207">
        <v>1</v>
      </c>
      <c r="L207">
        <v>0</v>
      </c>
      <c r="M207">
        <v>0</v>
      </c>
      <c r="N207">
        <v>14.7</v>
      </c>
      <c r="O207">
        <v>-14.7</v>
      </c>
      <c r="P207">
        <v>-69.09</v>
      </c>
      <c r="Q207" t="s">
        <v>1031</v>
      </c>
      <c r="R207" t="s">
        <v>1438</v>
      </c>
    </row>
    <row r="208" spans="1:18">
      <c r="A208" t="s">
        <v>1439</v>
      </c>
      <c r="B208" t="s">
        <v>622</v>
      </c>
      <c r="C208" t="s">
        <v>39</v>
      </c>
      <c r="D208" t="s">
        <v>40</v>
      </c>
      <c r="E208" t="s">
        <v>82</v>
      </c>
      <c r="F208" t="s">
        <v>83</v>
      </c>
      <c r="G208">
        <v>1</v>
      </c>
      <c r="H208">
        <v>0</v>
      </c>
      <c r="I208">
        <v>0</v>
      </c>
      <c r="J208">
        <v>6.7</v>
      </c>
      <c r="K208">
        <v>1</v>
      </c>
      <c r="L208">
        <v>0</v>
      </c>
      <c r="M208">
        <v>0</v>
      </c>
      <c r="N208">
        <v>14.7</v>
      </c>
      <c r="O208">
        <v>-14.7</v>
      </c>
      <c r="P208">
        <v>-69.09</v>
      </c>
      <c r="Q208" t="s">
        <v>1031</v>
      </c>
      <c r="R208" t="s">
        <v>1440</v>
      </c>
    </row>
    <row r="209" spans="1:18">
      <c r="A209" t="s">
        <v>1441</v>
      </c>
      <c r="B209" t="s">
        <v>622</v>
      </c>
      <c r="C209" t="s">
        <v>39</v>
      </c>
      <c r="D209" t="s">
        <v>40</v>
      </c>
      <c r="E209" t="s">
        <v>82</v>
      </c>
      <c r="F209" t="s">
        <v>83</v>
      </c>
      <c r="G209">
        <v>1</v>
      </c>
      <c r="H209">
        <v>0</v>
      </c>
      <c r="I209">
        <v>0</v>
      </c>
      <c r="J209">
        <v>6.7</v>
      </c>
      <c r="K209">
        <v>1</v>
      </c>
      <c r="L209">
        <v>0</v>
      </c>
      <c r="M209">
        <v>0</v>
      </c>
      <c r="N209">
        <v>14.7</v>
      </c>
      <c r="O209">
        <v>-14.7</v>
      </c>
      <c r="P209">
        <v>-69.09</v>
      </c>
      <c r="Q209" t="s">
        <v>1031</v>
      </c>
      <c r="R209" t="s">
        <v>1442</v>
      </c>
    </row>
    <row r="210" spans="1:18">
      <c r="A210" t="s">
        <v>1443</v>
      </c>
      <c r="B210" t="s">
        <v>622</v>
      </c>
      <c r="C210" t="s">
        <v>39</v>
      </c>
      <c r="D210" t="s">
        <v>40</v>
      </c>
      <c r="E210" t="s">
        <v>82</v>
      </c>
      <c r="F210" t="s">
        <v>83</v>
      </c>
      <c r="G210">
        <v>1</v>
      </c>
      <c r="H210">
        <v>0</v>
      </c>
      <c r="I210">
        <v>0</v>
      </c>
      <c r="J210">
        <v>6.7</v>
      </c>
      <c r="K210">
        <v>1</v>
      </c>
      <c r="L210">
        <v>0</v>
      </c>
      <c r="M210">
        <v>0</v>
      </c>
      <c r="N210">
        <v>14.7</v>
      </c>
      <c r="O210">
        <v>-14.7</v>
      </c>
      <c r="P210">
        <v>-69.09</v>
      </c>
      <c r="Q210" t="s">
        <v>1031</v>
      </c>
      <c r="R210" t="s">
        <v>1444</v>
      </c>
    </row>
    <row r="211" spans="1:18">
      <c r="A211" t="s">
        <v>1445</v>
      </c>
      <c r="B211" t="s">
        <v>622</v>
      </c>
      <c r="C211" t="s">
        <v>39</v>
      </c>
      <c r="D211" t="s">
        <v>40</v>
      </c>
      <c r="E211" t="s">
        <v>82</v>
      </c>
      <c r="F211" t="s">
        <v>83</v>
      </c>
      <c r="G211">
        <v>1</v>
      </c>
      <c r="H211">
        <v>0</v>
      </c>
      <c r="I211">
        <v>0</v>
      </c>
      <c r="J211">
        <v>6.7</v>
      </c>
      <c r="K211">
        <v>1</v>
      </c>
      <c r="L211">
        <v>0</v>
      </c>
      <c r="M211">
        <v>0</v>
      </c>
      <c r="N211">
        <v>14.7</v>
      </c>
      <c r="O211">
        <v>-14.7</v>
      </c>
      <c r="P211">
        <v>-69.09</v>
      </c>
      <c r="Q211" t="s">
        <v>1031</v>
      </c>
      <c r="R211" t="s">
        <v>1446</v>
      </c>
    </row>
    <row r="212" spans="1:18">
      <c r="A212" t="s">
        <v>1447</v>
      </c>
      <c r="B212" t="s">
        <v>622</v>
      </c>
      <c r="C212" t="s">
        <v>39</v>
      </c>
      <c r="D212" t="s">
        <v>40</v>
      </c>
      <c r="E212" t="s">
        <v>82</v>
      </c>
      <c r="F212" t="s">
        <v>83</v>
      </c>
      <c r="G212">
        <v>1</v>
      </c>
      <c r="H212">
        <v>0</v>
      </c>
      <c r="I212">
        <v>0</v>
      </c>
      <c r="J212">
        <v>6.7</v>
      </c>
      <c r="K212">
        <v>1</v>
      </c>
      <c r="L212">
        <v>0</v>
      </c>
      <c r="M212">
        <v>0</v>
      </c>
      <c r="N212">
        <v>14.7</v>
      </c>
      <c r="O212">
        <v>-14.7</v>
      </c>
      <c r="P212">
        <v>-69.09</v>
      </c>
      <c r="Q212" t="s">
        <v>1031</v>
      </c>
      <c r="R212" t="s">
        <v>1448</v>
      </c>
    </row>
    <row r="213" spans="1:18">
      <c r="A213" t="s">
        <v>1449</v>
      </c>
      <c r="B213" t="s">
        <v>622</v>
      </c>
      <c r="C213" t="s">
        <v>39</v>
      </c>
      <c r="D213" t="s">
        <v>40</v>
      </c>
      <c r="E213" t="s">
        <v>82</v>
      </c>
      <c r="F213" t="s">
        <v>83</v>
      </c>
      <c r="G213">
        <v>1</v>
      </c>
      <c r="H213">
        <v>0</v>
      </c>
      <c r="I213">
        <v>0</v>
      </c>
      <c r="J213">
        <v>6.7</v>
      </c>
      <c r="K213">
        <v>1</v>
      </c>
      <c r="L213">
        <v>0</v>
      </c>
      <c r="M213">
        <v>0</v>
      </c>
      <c r="N213">
        <v>14.7</v>
      </c>
      <c r="O213">
        <v>-14.7</v>
      </c>
      <c r="P213">
        <v>-69.09</v>
      </c>
      <c r="Q213" t="s">
        <v>1031</v>
      </c>
      <c r="R213" t="s">
        <v>1450</v>
      </c>
    </row>
    <row r="214" spans="1:18">
      <c r="A214" t="s">
        <v>1451</v>
      </c>
      <c r="B214" t="s">
        <v>622</v>
      </c>
      <c r="C214" t="s">
        <v>39</v>
      </c>
      <c r="D214" t="s">
        <v>40</v>
      </c>
      <c r="E214" t="s">
        <v>82</v>
      </c>
      <c r="F214" t="s">
        <v>83</v>
      </c>
      <c r="G214">
        <v>1</v>
      </c>
      <c r="H214">
        <v>0</v>
      </c>
      <c r="I214">
        <v>0</v>
      </c>
      <c r="J214">
        <v>6.7</v>
      </c>
      <c r="K214">
        <v>1</v>
      </c>
      <c r="L214">
        <v>0</v>
      </c>
      <c r="M214">
        <v>0</v>
      </c>
      <c r="N214">
        <v>14.7</v>
      </c>
      <c r="O214">
        <v>-14.7</v>
      </c>
      <c r="P214">
        <v>-69.09</v>
      </c>
      <c r="Q214" t="s">
        <v>1031</v>
      </c>
      <c r="R214" t="s">
        <v>1452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产品统计(Normal)</vt:lpstr>
      <vt:lpstr>产品统计(样品)</vt:lpstr>
      <vt:lpstr>Normal订单</vt:lpstr>
      <vt:lpstr>样品订单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jianing</cp:lastModifiedBy>
  <dcterms:created xsi:type="dcterms:W3CDTF">2026-05-19T18:05:10Z</dcterms:created>
  <dcterms:modified xsi:type="dcterms:W3CDTF">2026-05-20T09:15:23Z</dcterms:modified>
</cp:coreProperties>
</file>