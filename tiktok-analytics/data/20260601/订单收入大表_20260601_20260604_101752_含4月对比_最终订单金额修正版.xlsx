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产品统计(Normal)" sheetId="2" state="visible" r:id="rId2"/>
    <sheet xmlns:r="http://schemas.openxmlformats.org/officeDocument/2006/relationships" name="产品统计(样品)" sheetId="3" state="visible" r:id="rId3"/>
    <sheet xmlns:r="http://schemas.openxmlformats.org/officeDocument/2006/relationships" name="Normal订单" sheetId="4" state="visible" r:id="rId4"/>
    <sheet xmlns:r="http://schemas.openxmlformats.org/officeDocument/2006/relationships" name="样品订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等线"/>
      <b val="1"/>
      <sz val="14"/>
    </font>
    <font>
      <name val="等线"/>
      <b val="1"/>
      <sz val="11"/>
    </font>
    <font>
      <name val="等线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9" fontId="2" fillId="0" borderId="1" pivotButton="0" quotePrefix="0" xfId="0"/>
    <xf numFmtId="0" fontId="3" fillId="0" borderId="1" applyAlignment="1" pivotButton="0" quotePrefix="0" xfId="0">
      <alignment horizontal="left"/>
    </xf>
    <xf numFmtId="0" fontId="2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2" pivotButton="0" quotePrefix="0" xfId="0"/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9" fontId="3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9" fontId="2" fillId="0" borderId="1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  <col width="14" customWidth="1" min="9" max="9"/>
  </cols>
  <sheetData>
    <row r="1">
      <c r="A1" s="1" t="inlineStr">
        <is>
          <t>TikTok订单数据汇总</t>
        </is>
      </c>
    </row>
    <row r="3" ht="36" customHeight="1">
      <c r="A3" s="2" t="inlineStr">
        <is>
          <t>类别</t>
        </is>
      </c>
      <c r="B3" s="2" t="inlineStr">
        <is>
          <t>订单数</t>
        </is>
      </c>
      <c r="C3" s="2" t="inlineStr">
        <is>
          <t>总收入
(CNY)</t>
        </is>
      </c>
      <c r="D3" s="2" t="inlineStr">
        <is>
          <t>总收入
(泰铢)</t>
        </is>
      </c>
      <c r="E3" s="2" t="inlineStr">
        <is>
          <t>总成本
(CNY)</t>
        </is>
      </c>
      <c r="F3" s="2" t="inlineStr">
        <is>
          <t>总成本
(泰铢)</t>
        </is>
      </c>
      <c r="G3" s="2" t="inlineStr">
        <is>
          <t>总利润
(CNY)</t>
        </is>
      </c>
      <c r="H3" s="2" t="inlineStr">
        <is>
          <t>总利润
(泰铢)</t>
        </is>
      </c>
      <c r="I3" s="2" t="inlineStr">
        <is>
          <t>利润率
(%)</t>
        </is>
      </c>
    </row>
    <row r="4" ht="36" customHeight="1">
      <c r="A4" s="2" t="inlineStr">
        <is>
          <t>Type</t>
        </is>
      </c>
      <c r="B4" s="2" t="inlineStr">
        <is>
          <t>Order Count</t>
        </is>
      </c>
      <c r="C4" s="2" t="inlineStr">
        <is>
          <t>Total Revenue
(CNY)</t>
        </is>
      </c>
      <c r="D4" s="2" t="inlineStr">
        <is>
          <t>Total Revenue
(THB)</t>
        </is>
      </c>
      <c r="E4" s="2" t="inlineStr">
        <is>
          <t>Total Cost
(CNY)</t>
        </is>
      </c>
      <c r="F4" s="2" t="inlineStr">
        <is>
          <t>Total Cost
(THB)</t>
        </is>
      </c>
      <c r="G4" s="2" t="inlineStr">
        <is>
          <t>Total Profit
(CNY)</t>
        </is>
      </c>
      <c r="H4" s="2" t="inlineStr">
        <is>
          <t>Total Profit
(THB)</t>
        </is>
      </c>
      <c r="I4" s="2" t="inlineStr">
        <is>
          <t>Profit Rate
(%)</t>
        </is>
      </c>
    </row>
    <row r="5">
      <c r="A5" s="3" t="inlineStr">
        <is>
          <t>Normal订单</t>
        </is>
      </c>
      <c r="B5" s="4" t="n">
        <v>996</v>
      </c>
      <c r="C5" s="5" t="n">
        <v>33852.82553191489</v>
      </c>
      <c r="D5" s="6">
        <f>C5*4.7</f>
        <v/>
      </c>
      <c r="E5" s="5" t="n">
        <v>21447.98576521131</v>
      </c>
      <c r="F5" s="6">
        <f>E5*4.7</f>
        <v/>
      </c>
      <c r="G5" s="5" t="n">
        <v>12404.83976670358</v>
      </c>
      <c r="H5" s="6">
        <f>G5*4.7</f>
        <v/>
      </c>
      <c r="I5" s="7">
        <f>IF(C5&gt;0,G5/C5,0)</f>
        <v/>
      </c>
    </row>
    <row r="6">
      <c r="A6" s="3" t="inlineStr">
        <is>
          <t>样品订单</t>
        </is>
      </c>
      <c r="B6" s="4" t="n">
        <v>366</v>
      </c>
      <c r="C6" s="5" t="n">
        <v>0</v>
      </c>
      <c r="D6" s="6" t="n">
        <v>0</v>
      </c>
      <c r="E6" s="5" t="n">
        <v>5770.317418045755</v>
      </c>
      <c r="F6" s="6">
        <f>E6*4.7</f>
        <v/>
      </c>
      <c r="G6" s="5" t="n">
        <v>-5770.317418045755</v>
      </c>
      <c r="H6" s="6">
        <f>G6*4.7</f>
        <v/>
      </c>
      <c r="I6" s="7" t="inlineStr">
        <is>
          <t>-</t>
        </is>
      </c>
    </row>
    <row r="7">
      <c r="A7" s="3" t="inlineStr">
        <is>
          <t>全部累加</t>
        </is>
      </c>
      <c r="B7" s="4">
        <f>B5+B6</f>
        <v/>
      </c>
      <c r="C7" s="5">
        <f>C5+C6</f>
        <v/>
      </c>
      <c r="D7" s="6">
        <f>D5+D6</f>
        <v/>
      </c>
      <c r="E7" s="5">
        <f>E5+E6</f>
        <v/>
      </c>
      <c r="F7" s="6">
        <f>F5+F6</f>
        <v/>
      </c>
      <c r="G7" s="5">
        <f>G5+G6</f>
        <v/>
      </c>
      <c r="H7" s="6">
        <f>H5+H6</f>
        <v/>
      </c>
      <c r="I7" s="7">
        <f>IF(C7&gt;0,G7/C7,0)</f>
        <v/>
      </c>
    </row>
    <row r="8">
      <c r="A8" s="3" t="inlineStr">
        <is>
          <t>GMV广告</t>
        </is>
      </c>
      <c r="B8" s="4" t="inlineStr">
        <is>
          <t>-</t>
        </is>
      </c>
      <c r="C8" s="5" t="n">
        <v>24627.628</v>
      </c>
      <c r="D8" s="6">
        <f>C8*4.7</f>
        <v/>
      </c>
      <c r="E8" s="5" t="n">
        <v>9435.204</v>
      </c>
      <c r="F8" s="6">
        <f>E8*4.7</f>
        <v/>
      </c>
      <c r="G8" s="5">
        <f>C8-E8</f>
        <v/>
      </c>
      <c r="H8" s="6">
        <f>G8*4.7</f>
        <v/>
      </c>
      <c r="I8" s="7" t="n">
        <v>2.610185005008901</v>
      </c>
    </row>
    <row r="9">
      <c r="A9" s="3" t="inlineStr">
        <is>
          <t>项目利润率</t>
        </is>
      </c>
      <c r="B9" s="4" t="inlineStr">
        <is>
          <t>-</t>
        </is>
      </c>
      <c r="C9" s="5">
        <f>C7</f>
        <v/>
      </c>
      <c r="D9" s="6">
        <f>C9*4.7</f>
        <v/>
      </c>
      <c r="E9" s="5">
        <f>E7+E8</f>
        <v/>
      </c>
      <c r="F9" s="6">
        <f>E9*4.7</f>
        <v/>
      </c>
      <c r="G9" s="5">
        <f>C9-E9</f>
        <v/>
      </c>
      <c r="H9" s="6">
        <f>G9*4.7</f>
        <v/>
      </c>
      <c r="I9" s="7">
        <f>IF(E9&gt;0,G9/E9,0)</f>
        <v/>
      </c>
    </row>
    <row r="12">
      <c r="A12" s="10" t="inlineStr">
        <is>
          <t>4月-5月总览对比</t>
        </is>
      </c>
      <c r="B12" s="18" t="n"/>
      <c r="C12" s="18" t="n"/>
      <c r="D12" s="18" t="n"/>
      <c r="E12" s="18" t="n"/>
      <c r="F12" s="18" t="n"/>
      <c r="G12" s="18" t="n"/>
      <c r="H12" s="19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 ht="36" customHeight="1">
      <c r="A14" s="2" t="inlineStr">
        <is>
          <t>指标</t>
        </is>
      </c>
      <c r="B14" s="2" t="inlineStr">
        <is>
          <t>4月</t>
        </is>
      </c>
      <c r="C14" s="2" t="inlineStr">
        <is>
          <t>5月</t>
        </is>
      </c>
      <c r="D14" s="2" t="inlineStr">
        <is>
          <t>环比差值
(5月-4月)</t>
        </is>
      </c>
      <c r="E14" s="2" t="inlineStr">
        <is>
          <t>环比比例</t>
        </is>
      </c>
      <c r="F14" s="2" t="inlineStr">
        <is>
          <t>同比差值
(同口径)</t>
        </is>
      </c>
      <c r="G14" s="2" t="inlineStr">
        <is>
          <t>同比比例
(同口径)</t>
        </is>
      </c>
      <c r="H14" s="2" t="inlineStr">
        <is>
          <t>计算逻辑</t>
        </is>
      </c>
    </row>
    <row r="15">
      <c r="A15" s="13" t="inlineStr">
        <is>
          <t>订单数</t>
        </is>
      </c>
      <c r="B15" s="14" t="n">
        <v>992</v>
      </c>
      <c r="C15" s="14" t="n">
        <v>1362</v>
      </c>
      <c r="D15" s="14">
        <f>C15-B15</f>
        <v/>
      </c>
      <c r="E15" s="15">
        <f>IF(B15&lt;&gt;0,D15/B15,0)</f>
        <v/>
      </c>
      <c r="F15" s="14">
        <f>C15-B15</f>
        <v/>
      </c>
      <c r="G15" s="15">
        <f>IF(B15&lt;&gt;0,F15/B15,0)</f>
        <v/>
      </c>
      <c r="H15" s="13" t="inlineStr">
        <is>
          <t>5月与4月同口径对比</t>
        </is>
      </c>
    </row>
    <row r="16">
      <c r="A16" s="13" t="inlineStr">
        <is>
          <t>订单收入(CNY)</t>
        </is>
      </c>
      <c r="B16" s="16" t="n">
        <v>26829.6829787234</v>
      </c>
      <c r="C16" s="16" t="n">
        <v>33852.82553191489</v>
      </c>
      <c r="D16" s="16">
        <f>C16-B16</f>
        <v/>
      </c>
      <c r="E16" s="17">
        <f>IF(B16&lt;&gt;0,D16/B16,0)</f>
        <v/>
      </c>
      <c r="F16" s="16">
        <f>C16-B16</f>
        <v/>
      </c>
      <c r="G16" s="17">
        <f>IF(B16&lt;&gt;0,F16/B16,0)</f>
        <v/>
      </c>
      <c r="H16" s="13" t="inlineStr">
        <is>
          <t>最终订单金额=订单金额+SKU平台折扣;不含运费平台折扣</t>
        </is>
      </c>
    </row>
    <row r="17">
      <c r="A17" s="13" t="inlineStr">
        <is>
          <t>订单成本(CNY)</t>
        </is>
      </c>
      <c r="B17" s="16" t="n">
        <v>19786.23659179479</v>
      </c>
      <c r="C17" s="16" t="n">
        <v>27218.30318325706</v>
      </c>
      <c r="D17" s="16">
        <f>C17-B17</f>
        <v/>
      </c>
      <c r="E17" s="17">
        <f>IF(B17&lt;&gt;0,D17/B17,0)</f>
        <v/>
      </c>
      <c r="F17" s="16">
        <f>C17-B17</f>
        <v/>
      </c>
      <c r="G17" s="17">
        <f>IF(B17&lt;&gt;0,F17/B17,0)</f>
        <v/>
      </c>
      <c r="H17" s="13" t="inlineStr">
        <is>
          <t>5月与4月同口径对比</t>
        </is>
      </c>
    </row>
    <row r="18">
      <c r="A18" s="13" t="inlineStr">
        <is>
          <t>订单利润(CNY)</t>
        </is>
      </c>
      <c r="B18" s="16" t="n">
        <v>7043.446386928613</v>
      </c>
      <c r="C18" s="16" t="n">
        <v>6634.522348657825</v>
      </c>
      <c r="D18" s="16">
        <f>C18-B18</f>
        <v/>
      </c>
      <c r="E18" s="17">
        <f>IF(B18&lt;&gt;0,D18/B18,0)</f>
        <v/>
      </c>
      <c r="F18" s="16">
        <f>C18-B18</f>
        <v/>
      </c>
      <c r="G18" s="17">
        <f>IF(B18&lt;&gt;0,F18/B18,0)</f>
        <v/>
      </c>
      <c r="H18" s="13" t="inlineStr">
        <is>
          <t>5月与4月同口径对比</t>
        </is>
      </c>
    </row>
    <row r="19">
      <c r="A19" s="13" t="inlineStr">
        <is>
          <t>订单利润率</t>
        </is>
      </c>
      <c r="B19" s="17" t="n">
        <v>0.2625243985370323</v>
      </c>
      <c r="C19" s="17" t="n">
        <v>0.1959813470341819</v>
      </c>
      <c r="D19" s="17">
        <f>C19-B19</f>
        <v/>
      </c>
      <c r="E19" s="17">
        <f>IF(B19&lt;&gt;0,D19/B19,0)</f>
        <v/>
      </c>
      <c r="F19" s="17">
        <f>C19-B19</f>
        <v/>
      </c>
      <c r="G19" s="17">
        <f>IF(B19&lt;&gt;0,F19/B19,0)</f>
        <v/>
      </c>
      <c r="H19" s="13" t="inlineStr">
        <is>
          <t>5月与4月同口径对比</t>
        </is>
      </c>
    </row>
    <row r="20">
      <c r="A20" s="13" t="inlineStr">
        <is>
          <t>GMV收入(CNY)</t>
        </is>
      </c>
      <c r="B20" s="14" t="n">
        <v>18988.252</v>
      </c>
      <c r="C20" s="14" t="n">
        <v>24627.628</v>
      </c>
      <c r="D20" s="14">
        <f>C20-B20</f>
        <v/>
      </c>
      <c r="E20" s="15">
        <f>IF(B20&lt;&gt;0,D20/B20,0)</f>
        <v/>
      </c>
      <c r="F20" s="14">
        <f>C20-B20</f>
        <v/>
      </c>
      <c r="G20" s="15">
        <f>IF(B20&lt;&gt;0,F20/B20,0)</f>
        <v/>
      </c>
      <c r="H20" s="13" t="inlineStr">
        <is>
          <t>5月与4月同口径对比</t>
        </is>
      </c>
    </row>
    <row r="21">
      <c r="A21" s="13" t="inlineStr">
        <is>
          <t>GMV成本(CNY)</t>
        </is>
      </c>
      <c r="B21" s="14" t="n">
        <v>8424.248</v>
      </c>
      <c r="C21" s="14" t="n">
        <v>9435.204</v>
      </c>
      <c r="D21" s="14">
        <f>C21-B21</f>
        <v/>
      </c>
      <c r="E21" s="15">
        <f>IF(B21&lt;&gt;0,D21/B21,0)</f>
        <v/>
      </c>
      <c r="F21" s="14">
        <f>C21-B21</f>
        <v/>
      </c>
      <c r="G21" s="15">
        <f>IF(B21&lt;&gt;0,F21/B21,0)</f>
        <v/>
      </c>
      <c r="H21" s="13" t="inlineStr">
        <is>
          <t>5月与4月同口径对比</t>
        </is>
      </c>
    </row>
    <row r="22">
      <c r="A22" s="13" t="inlineStr">
        <is>
          <t>GMV利润(CNY)</t>
        </is>
      </c>
      <c r="B22" s="14" t="n">
        <v>10564.004</v>
      </c>
      <c r="C22" s="14" t="n">
        <v>15192.424</v>
      </c>
      <c r="D22" s="14">
        <f>C22-B22</f>
        <v/>
      </c>
      <c r="E22" s="15">
        <f>IF(B22&lt;&gt;0,D22/B22,0)</f>
        <v/>
      </c>
      <c r="F22" s="14">
        <f>C22-B22</f>
        <v/>
      </c>
      <c r="G22" s="15">
        <f>IF(B22&lt;&gt;0,F22/B22,0)</f>
        <v/>
      </c>
      <c r="H22" s="13" t="inlineStr">
        <is>
          <t>5月与4月同口径对比</t>
        </is>
      </c>
    </row>
    <row r="23">
      <c r="A23" s="13" t="inlineStr">
        <is>
          <t>GMV ROI</t>
        </is>
      </c>
      <c r="B23" s="15" t="n">
        <v>2.253999644834768</v>
      </c>
      <c r="C23" s="15" t="n">
        <v>2.610185005008901</v>
      </c>
      <c r="D23" s="15">
        <f>C23-B23</f>
        <v/>
      </c>
      <c r="E23" s="15">
        <f>IF(B23&lt;&gt;0,D23/B23,0)</f>
        <v/>
      </c>
      <c r="F23" s="15">
        <f>C23-B23</f>
        <v/>
      </c>
      <c r="G23" s="15">
        <f>IF(B23&lt;&gt;0,F23/B23,0)</f>
        <v/>
      </c>
      <c r="H23" s="13" t="inlineStr">
        <is>
          <t>GMV收入 / GMV成本</t>
        </is>
      </c>
    </row>
    <row r="24">
      <c r="A24" s="13" t="inlineStr">
        <is>
          <t>项目总收入(CNY)</t>
        </is>
      </c>
      <c r="B24" s="16" t="n">
        <v>26829.6829787234</v>
      </c>
      <c r="C24" s="16" t="n">
        <v>33852.82553191489</v>
      </c>
      <c r="D24" s="16">
        <f>C24-B24</f>
        <v/>
      </c>
      <c r="E24" s="17">
        <f>IF(B24&lt;&gt;0,D24/B24,0)</f>
        <v/>
      </c>
      <c r="F24" s="16">
        <f>C24-B24</f>
        <v/>
      </c>
      <c r="G24" s="17">
        <f>IF(B24&lt;&gt;0,F24/B24,0)</f>
        <v/>
      </c>
      <c r="H24" s="13" t="inlineStr">
        <is>
          <t>只包含订单收入,不包含GMV收入</t>
        </is>
      </c>
    </row>
    <row r="25">
      <c r="A25" s="13" t="inlineStr">
        <is>
          <t>项目总成本(CNY)</t>
        </is>
      </c>
      <c r="B25" s="16" t="n">
        <v>28210.48459179479</v>
      </c>
      <c r="C25" s="16" t="n">
        <v>36653.50718325706</v>
      </c>
      <c r="D25" s="16">
        <f>C25-B25</f>
        <v/>
      </c>
      <c r="E25" s="17">
        <f>IF(B25&lt;&gt;0,D25/B25,0)</f>
        <v/>
      </c>
      <c r="F25" s="16">
        <f>C25-B25</f>
        <v/>
      </c>
      <c r="G25" s="17">
        <f>IF(B25&lt;&gt;0,F25/B25,0)</f>
        <v/>
      </c>
      <c r="H25" s="13" t="inlineStr">
        <is>
          <t>订单成本 + GMV成本</t>
        </is>
      </c>
    </row>
    <row r="26">
      <c r="A26" s="13" t="inlineStr">
        <is>
          <t>项目总利润(CNY)</t>
        </is>
      </c>
      <c r="B26" s="16">
        <f>B24-B25</f>
        <v/>
      </c>
      <c r="C26" s="16">
        <f>C24-C25</f>
        <v/>
      </c>
      <c r="D26" s="16">
        <f>C26-B26</f>
        <v/>
      </c>
      <c r="E26" s="17">
        <f>IF(B26&lt;&gt;0,D26/B26,0)</f>
        <v/>
      </c>
      <c r="F26" s="16">
        <f>C26-B26</f>
        <v/>
      </c>
      <c r="G26" s="17">
        <f>IF(B26&lt;&gt;0,F26/B26,0)</f>
        <v/>
      </c>
      <c r="H26" s="13" t="inlineStr">
        <is>
          <t>订单收入 - 订单成本 - GMV成本</t>
        </is>
      </c>
    </row>
    <row r="27">
      <c r="A27" s="13" t="inlineStr">
        <is>
          <t>项目利润率</t>
        </is>
      </c>
      <c r="B27" s="17">
        <f>IF(B25&lt;&gt;0,B26/B25,0)</f>
        <v/>
      </c>
      <c r="C27" s="17">
        <f>IF(C25&lt;&gt;0,C26/C25,0)</f>
        <v/>
      </c>
      <c r="D27" s="17">
        <f>C27-B27</f>
        <v/>
      </c>
      <c r="E27" s="17">
        <f>IF(B27&lt;&gt;0,D27/B27,0)</f>
        <v/>
      </c>
      <c r="F27" s="17">
        <f>C27-B27</f>
        <v/>
      </c>
      <c r="G27" s="17">
        <f>IF(B27&lt;&gt;0,F27/B27,0)</f>
        <v/>
      </c>
      <c r="H27" s="13" t="inlineStr">
        <is>
          <t>项目总利润 / 项目总成本</t>
        </is>
      </c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</row>
  </sheetData>
  <mergeCells count="2">
    <mergeCell ref="A1:I1"/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6" customHeight="1">
      <c r="A1" s="2" t="inlineStr">
        <is>
          <t>商家SKU</t>
        </is>
      </c>
      <c r="B1" s="2" t="inlineStr">
        <is>
          <t>产品名称
(中文)</t>
        </is>
      </c>
      <c r="C1" s="2" t="inlineStr">
        <is>
          <t>订单数</t>
        </is>
      </c>
      <c r="D1" s="2" t="inlineStr">
        <is>
          <t>总收入
(CNY)</t>
        </is>
      </c>
      <c r="E1" s="2" t="inlineStr">
        <is>
          <t>总收入
(泰铢)</t>
        </is>
      </c>
      <c r="F1" s="2" t="inlineStr">
        <is>
          <t>产品成本
(CNY)</t>
        </is>
      </c>
      <c r="G1" s="2" t="inlineStr">
        <is>
          <t>包装成本
(CNY)</t>
        </is>
      </c>
      <c r="H1" s="2" t="inlineStr">
        <is>
          <t>平台佣金
(CNY)</t>
        </is>
      </c>
      <c r="I1" s="2" t="inlineStr">
        <is>
          <t>包邮服务
(CNY)</t>
        </is>
      </c>
      <c r="J1" s="2" t="inlineStr">
        <is>
          <t>订单总成本
(CNY)</t>
        </is>
      </c>
      <c r="K1" s="2" t="inlineStr">
        <is>
          <t>订单总成本
(泰铢)</t>
        </is>
      </c>
      <c r="L1" s="2" t="inlineStr">
        <is>
          <t>总利润
(CNY)</t>
        </is>
      </c>
      <c r="M1" s="2" t="inlineStr">
        <is>
          <t>总利润
(泰铢)</t>
        </is>
      </c>
      <c r="N1" s="2" t="inlineStr">
        <is>
          <t>单品利润率</t>
        </is>
      </c>
    </row>
    <row r="2">
      <c r="A2" s="8" t="inlineStr">
        <is>
          <t>C1</t>
        </is>
      </c>
      <c r="B2" s="3" t="inlineStr">
        <is>
          <t>魔芋笋1大袋</t>
        </is>
      </c>
      <c r="C2" s="6" t="n">
        <v>266</v>
      </c>
      <c r="D2" s="5" t="n">
        <v>4723</v>
      </c>
      <c r="E2" s="6">
        <f>D2*4.7</f>
        <v/>
      </c>
      <c r="F2" s="6" t="n">
        <v>1782.2</v>
      </c>
      <c r="G2" s="6" t="n">
        <v>239</v>
      </c>
      <c r="H2" s="6" t="n">
        <v>633.8503170212766</v>
      </c>
      <c r="I2" s="6" t="n">
        <v>353.7527</v>
      </c>
      <c r="J2" s="5" t="n">
        <v>3008.803017021276</v>
      </c>
      <c r="K2" s="6">
        <f>J2*4.7</f>
        <v/>
      </c>
      <c r="L2" s="5" t="n">
        <v>1714.196982978724</v>
      </c>
      <c r="M2" s="6">
        <f>L2*4.7</f>
        <v/>
      </c>
      <c r="N2" s="7">
        <f>IF(D2&gt;0,L2/D2,0)</f>
        <v/>
      </c>
    </row>
    <row r="3">
      <c r="A3" s="8" t="inlineStr">
        <is>
          <t>CK</t>
        </is>
      </c>
      <c r="B3" s="3" t="inlineStr">
        <is>
          <t>黑松露黑麦苏打饼干</t>
        </is>
      </c>
      <c r="C3" s="6" t="n">
        <v>177</v>
      </c>
      <c r="D3" s="5" t="n">
        <v>4023.563829787234</v>
      </c>
      <c r="E3" s="6">
        <f>D3*4.7</f>
        <v/>
      </c>
      <c r="F3" s="6" t="n">
        <v>1898.617138870756</v>
      </c>
      <c r="G3" s="6" t="n">
        <v>155</v>
      </c>
      <c r="H3" s="6" t="n">
        <v>529.1236542553191</v>
      </c>
      <c r="I3" s="6" t="n">
        <v>301.3649308510638</v>
      </c>
      <c r="J3" s="5" t="n">
        <v>2884.105723977139</v>
      </c>
      <c r="K3" s="6">
        <f>J3*4.7</f>
        <v/>
      </c>
      <c r="L3" s="5" t="n">
        <v>1139.458105810095</v>
      </c>
      <c r="M3" s="6">
        <f>L3*4.7</f>
        <v/>
      </c>
      <c r="N3" s="7">
        <f>IF(D3&gt;0,L3/D3,0)</f>
        <v/>
      </c>
    </row>
    <row r="4">
      <c r="A4" s="8" t="inlineStr">
        <is>
          <t>C2</t>
        </is>
      </c>
      <c r="B4" s="3" t="inlineStr">
        <is>
          <t>魔芋笋2大袋</t>
        </is>
      </c>
      <c r="C4" s="6" t="n">
        <v>129</v>
      </c>
      <c r="D4" s="5" t="n">
        <v>4321.723404255319</v>
      </c>
      <c r="E4" s="6">
        <f>D4*4.7</f>
        <v/>
      </c>
      <c r="F4" s="6" t="n">
        <v>1728.6</v>
      </c>
      <c r="G4" s="6" t="n">
        <v>118</v>
      </c>
      <c r="H4" s="6" t="n">
        <v>557.5015085106382</v>
      </c>
      <c r="I4" s="6" t="n">
        <v>323.6970829787234</v>
      </c>
      <c r="J4" s="5" t="n">
        <v>2727.798591489362</v>
      </c>
      <c r="K4" s="6">
        <f>J4*4.7</f>
        <v/>
      </c>
      <c r="L4" s="5" t="n">
        <v>1593.924812765958</v>
      </c>
      <c r="M4" s="6">
        <f>L4*4.7</f>
        <v/>
      </c>
      <c r="N4" s="7">
        <f>IF(D4&gt;0,L4/D4,0)</f>
        <v/>
      </c>
    </row>
    <row r="5">
      <c r="A5" s="8" t="inlineStr">
        <is>
          <t>C3</t>
        </is>
      </c>
      <c r="B5" s="3" t="inlineStr">
        <is>
          <t>魔芋笋3大袋</t>
        </is>
      </c>
      <c r="C5" s="6" t="n">
        <v>110</v>
      </c>
      <c r="D5" s="5" t="n">
        <v>4421.085106382979</v>
      </c>
      <c r="E5" s="6">
        <f>D5*4.7</f>
        <v/>
      </c>
      <c r="F5" s="6" t="n">
        <v>2211</v>
      </c>
      <c r="G5" s="6" t="n">
        <v>94</v>
      </c>
      <c r="H5" s="6" t="n">
        <v>564.351359574468</v>
      </c>
      <c r="I5" s="6" t="n">
        <v>331.1392744680851</v>
      </c>
      <c r="J5" s="5" t="n">
        <v>3200.490634042553</v>
      </c>
      <c r="K5" s="6">
        <f>J5*4.7</f>
        <v/>
      </c>
      <c r="L5" s="5" t="n">
        <v>1220.594472340425</v>
      </c>
      <c r="M5" s="6">
        <f>L5*4.7</f>
        <v/>
      </c>
      <c r="N5" s="7">
        <f>IF(D5&gt;0,L5/D5,0)</f>
        <v/>
      </c>
    </row>
    <row r="6">
      <c r="A6" s="8" t="inlineStr">
        <is>
          <t>B1</t>
        </is>
      </c>
      <c r="B6" s="3" t="inlineStr">
        <is>
          <t>魔芋笋1大袋</t>
        </is>
      </c>
      <c r="C6" s="6" t="n">
        <v>105</v>
      </c>
      <c r="D6" s="5" t="n">
        <v>2468.436170212766</v>
      </c>
      <c r="E6" s="6">
        <f>D6*4.7</f>
        <v/>
      </c>
      <c r="F6" s="6" t="n">
        <v>703.4999999999999</v>
      </c>
      <c r="G6" s="6" t="n">
        <v>99</v>
      </c>
      <c r="H6" s="6" t="n">
        <v>325.4878265957447</v>
      </c>
      <c r="I6" s="6" t="n">
        <v>184.8858691489362</v>
      </c>
      <c r="J6" s="5" t="n">
        <v>1312.873695744681</v>
      </c>
      <c r="K6" s="6">
        <f>J6*4.7</f>
        <v/>
      </c>
      <c r="L6" s="5" t="n">
        <v>1155.562474468085</v>
      </c>
      <c r="M6" s="6">
        <f>L6*4.7</f>
        <v/>
      </c>
      <c r="N6" s="7">
        <f>IF(D6&gt;0,L6/D6,0)</f>
        <v/>
      </c>
    </row>
    <row r="7">
      <c r="A7" s="8" t="inlineStr">
        <is>
          <t>C5s</t>
        </is>
      </c>
      <c r="B7" s="3" t="inlineStr">
        <is>
          <t>香辣味魔芋笋5小袋</t>
        </is>
      </c>
      <c r="C7" s="6" t="n">
        <v>99</v>
      </c>
      <c r="D7" s="5" t="n">
        <v>1272.542553191489</v>
      </c>
      <c r="E7" s="6">
        <f>D7*4.7</f>
        <v/>
      </c>
      <c r="F7" s="6" t="n">
        <v>331.65</v>
      </c>
      <c r="G7" s="6" t="n">
        <v>84</v>
      </c>
      <c r="H7" s="6" t="n">
        <v>175.1614372340426</v>
      </c>
      <c r="I7" s="6" t="n">
        <v>95.31343723404254</v>
      </c>
      <c r="J7" s="5" t="n">
        <v>686.1248744680851</v>
      </c>
      <c r="K7" s="6">
        <f>J7*4.7</f>
        <v/>
      </c>
      <c r="L7" s="5" t="n">
        <v>586.4176787234043</v>
      </c>
      <c r="M7" s="6">
        <f>L7*4.7</f>
        <v/>
      </c>
      <c r="N7" s="7">
        <f>IF(D7&gt;0,L7/D7,0)</f>
        <v/>
      </c>
    </row>
    <row r="8">
      <c r="A8" s="8" t="inlineStr">
        <is>
          <t>B5s</t>
        </is>
      </c>
      <c r="B8" s="3" t="inlineStr">
        <is>
          <t>酸辣味5小袋</t>
        </is>
      </c>
      <c r="C8" s="6" t="n">
        <v>51</v>
      </c>
      <c r="D8" s="5" t="n">
        <v>952.4723404255319</v>
      </c>
      <c r="E8" s="6">
        <f>D8*4.7</f>
        <v/>
      </c>
      <c r="F8" s="6" t="n">
        <v>170.85</v>
      </c>
      <c r="G8" s="6" t="n">
        <v>47</v>
      </c>
      <c r="H8" s="6" t="n">
        <v>127.5588506382979</v>
      </c>
      <c r="I8" s="6" t="n">
        <v>71.34017829787233</v>
      </c>
      <c r="J8" s="5" t="n">
        <v>416.7490289361702</v>
      </c>
      <c r="K8" s="6">
        <f>J8*4.7</f>
        <v/>
      </c>
      <c r="L8" s="5" t="n">
        <v>535.7233114893617</v>
      </c>
      <c r="M8" s="6">
        <f>L8*4.7</f>
        <v/>
      </c>
      <c r="N8" s="7">
        <f>IF(D8&gt;0,L8/D8,0)</f>
        <v/>
      </c>
    </row>
    <row r="9">
      <c r="A9" s="8" t="inlineStr">
        <is>
          <t>ER-B</t>
        </is>
      </c>
      <c r="B9" s="3" t="inlineStr">
        <is>
          <t>广州酒家黄油鸡蛋卷480g</t>
        </is>
      </c>
      <c r="C9" s="6" t="n">
        <v>50</v>
      </c>
      <c r="D9" s="5" t="n">
        <v>4604.4</v>
      </c>
      <c r="E9" s="6">
        <f>D9*4.7</f>
        <v/>
      </c>
      <c r="F9" s="6" t="n">
        <v>2274.941218175999</v>
      </c>
      <c r="G9" s="6" t="n">
        <v>96</v>
      </c>
      <c r="H9" s="6" t="n">
        <v>576.6041642553191</v>
      </c>
      <c r="I9" s="6" t="n">
        <v>344.86956</v>
      </c>
      <c r="J9" s="5" t="n">
        <v>3292.414942431318</v>
      </c>
      <c r="K9" s="6">
        <f>J9*4.7</f>
        <v/>
      </c>
      <c r="L9" s="5" t="n">
        <v>1311.985057568682</v>
      </c>
      <c r="M9" s="6">
        <f>L9*4.7</f>
        <v/>
      </c>
      <c r="N9" s="7">
        <f>IF(D9&gt;0,L9/D9,0)</f>
        <v/>
      </c>
    </row>
    <row r="10">
      <c r="A10" s="8" t="inlineStr">
        <is>
          <t>B2</t>
        </is>
      </c>
      <c r="B10" s="3" t="inlineStr">
        <is>
          <t>魔芋笋2大袋</t>
        </is>
      </c>
      <c r="C10" s="6" t="n">
        <v>47</v>
      </c>
      <c r="D10" s="5" t="n">
        <v>2302.206382978723</v>
      </c>
      <c r="E10" s="6">
        <f>D10*4.7</f>
        <v/>
      </c>
      <c r="F10" s="6" t="n">
        <v>629.8</v>
      </c>
      <c r="G10" s="6" t="n">
        <v>41</v>
      </c>
      <c r="H10" s="6" t="n">
        <v>292.1007389361702</v>
      </c>
      <c r="I10" s="6" t="n">
        <v>172.4352580851064</v>
      </c>
      <c r="J10" s="5" t="n">
        <v>1135.335997021276</v>
      </c>
      <c r="K10" s="6">
        <f>J10*4.7</f>
        <v/>
      </c>
      <c r="L10" s="5" t="n">
        <v>1166.870385957447</v>
      </c>
      <c r="M10" s="6">
        <f>L10*4.7</f>
        <v/>
      </c>
      <c r="N10" s="7">
        <f>IF(D10&gt;0,L10/D10,0)</f>
        <v/>
      </c>
    </row>
    <row r="11">
      <c r="A11" s="8" t="inlineStr">
        <is>
          <t>B3</t>
        </is>
      </c>
      <c r="B11" s="3" t="inlineStr">
        <is>
          <t>魔芋笋3大袋</t>
        </is>
      </c>
      <c r="C11" s="6" t="n">
        <v>24</v>
      </c>
      <c r="D11" s="5" t="n">
        <v>1153.225531914894</v>
      </c>
      <c r="E11" s="6">
        <f>D11*4.7</f>
        <v/>
      </c>
      <c r="F11" s="6" t="n">
        <v>482.4</v>
      </c>
      <c r="G11" s="6" t="n">
        <v>18</v>
      </c>
      <c r="H11" s="6" t="n">
        <v>145.7526944680851</v>
      </c>
      <c r="I11" s="6" t="n">
        <v>86.37659234042552</v>
      </c>
      <c r="J11" s="5" t="n">
        <v>732.5292868085106</v>
      </c>
      <c r="K11" s="6">
        <f>J11*4.7</f>
        <v/>
      </c>
      <c r="L11" s="5" t="n">
        <v>420.6962451063829</v>
      </c>
      <c r="M11" s="6">
        <f>L11*4.7</f>
        <v/>
      </c>
      <c r="N11" s="7">
        <f>IF(D11&gt;0,L11/D11,0)</f>
        <v/>
      </c>
    </row>
    <row r="12">
      <c r="A12" s="8" t="inlineStr">
        <is>
          <t>ER-A</t>
        </is>
      </c>
      <c r="B12" s="3" t="inlineStr">
        <is>
          <t>广州酒家传统鸡蛋卷454g</t>
        </is>
      </c>
      <c r="C12" s="6" t="n">
        <v>23</v>
      </c>
      <c r="D12" s="5" t="n">
        <v>2549.057446808511</v>
      </c>
      <c r="E12" s="6">
        <f>D12*4.7</f>
        <v/>
      </c>
      <c r="F12" s="6" t="n">
        <v>925.8278796539164</v>
      </c>
      <c r="G12" s="6" t="n">
        <v>44</v>
      </c>
      <c r="H12" s="6" t="n">
        <v>318.1940538297872</v>
      </c>
      <c r="I12" s="6" t="n">
        <v>190.9244027659574</v>
      </c>
      <c r="J12" s="5" t="n">
        <v>1478.946336249661</v>
      </c>
      <c r="K12" s="6">
        <f>J12*4.7</f>
        <v/>
      </c>
      <c r="L12" s="5" t="n">
        <v>1070.111110558849</v>
      </c>
      <c r="M12" s="6">
        <f>L12*4.7</f>
        <v/>
      </c>
      <c r="N12" s="7">
        <f>IF(D12&gt;0,L12/D12,0)</f>
        <v/>
      </c>
    </row>
    <row r="13">
      <c r="A13" s="8" t="inlineStr">
        <is>
          <t>A1</t>
        </is>
      </c>
      <c r="B13" s="3" t="inlineStr">
        <is>
          <t>魔芋干1包</t>
        </is>
      </c>
      <c r="C13" s="6" t="n">
        <v>16</v>
      </c>
      <c r="D13" s="5" t="n">
        <v>269.3914893617021</v>
      </c>
      <c r="E13" s="6">
        <f>D13*4.7</f>
        <v/>
      </c>
      <c r="F13" s="6" t="n">
        <v>97.59999999999999</v>
      </c>
      <c r="G13" s="6" t="n">
        <v>5</v>
      </c>
      <c r="H13" s="6" t="n">
        <v>35.34225659574468</v>
      </c>
      <c r="I13" s="6" t="n">
        <v>20.17742255319149</v>
      </c>
      <c r="J13" s="5" t="n">
        <v>158.1196791489362</v>
      </c>
      <c r="K13" s="6">
        <f>J13*4.7</f>
        <v/>
      </c>
      <c r="L13" s="5" t="n">
        <v>111.2718102127659</v>
      </c>
      <c r="M13" s="6">
        <f>L13*4.7</f>
        <v/>
      </c>
      <c r="N13" s="7">
        <f>IF(D13&gt;0,L13/D13,0)</f>
        <v/>
      </c>
    </row>
    <row r="14">
      <c r="A14" s="8" t="inlineStr">
        <is>
          <t>A2</t>
        </is>
      </c>
      <c r="B14" s="3" t="inlineStr">
        <is>
          <t>魔芋干2包</t>
        </is>
      </c>
      <c r="C14" s="6" t="n">
        <v>9</v>
      </c>
      <c r="D14" s="5" t="n">
        <v>246.8085106382979</v>
      </c>
      <c r="E14" s="6">
        <f>D14*4.7</f>
        <v/>
      </c>
      <c r="F14" s="6" t="n">
        <v>109.8</v>
      </c>
      <c r="G14" s="6" t="n">
        <v>4.5</v>
      </c>
      <c r="H14" s="6" t="n">
        <v>32.34340425531914</v>
      </c>
      <c r="I14" s="6" t="n">
        <v>18.48595744680851</v>
      </c>
      <c r="J14" s="5" t="n">
        <v>165.1293617021277</v>
      </c>
      <c r="K14" s="6">
        <f>J14*4.7</f>
        <v/>
      </c>
      <c r="L14" s="5" t="n">
        <v>81.67914893617024</v>
      </c>
      <c r="M14" s="6">
        <f>L14*4.7</f>
        <v/>
      </c>
      <c r="N14" s="7">
        <f>IF(D14&gt;0,L14/D14,0)</f>
        <v/>
      </c>
    </row>
    <row r="15">
      <c r="A15" s="8" t="inlineStr">
        <is>
          <t>Js6</t>
        </is>
      </c>
      <c r="B15" s="3" t="inlineStr">
        <is>
          <t>果冻6个</t>
        </is>
      </c>
      <c r="C15" s="6" t="n">
        <v>6</v>
      </c>
      <c r="D15" s="5" t="n">
        <v>121.2765957446808</v>
      </c>
      <c r="E15" s="6">
        <f>D15*4.7</f>
        <v/>
      </c>
      <c r="F15" s="6" t="n">
        <v>24</v>
      </c>
      <c r="G15" s="6" t="n">
        <v>2.5</v>
      </c>
      <c r="H15" s="6" t="n">
        <v>16.02191489361702</v>
      </c>
      <c r="I15" s="6" t="n">
        <v>9.083617021276595</v>
      </c>
      <c r="J15" s="5" t="n">
        <v>51.60553191489362</v>
      </c>
      <c r="K15" s="6">
        <f>J15*4.7</f>
        <v/>
      </c>
      <c r="L15" s="5" t="n">
        <v>69.67106382978723</v>
      </c>
      <c r="M15" s="6">
        <f>L15*4.7</f>
        <v/>
      </c>
      <c r="N15" s="7">
        <f>IF(D15&gt;0,L15/D15,0)</f>
        <v/>
      </c>
    </row>
    <row r="16">
      <c r="A16" s="8" t="inlineStr">
        <is>
          <t>Js18</t>
        </is>
      </c>
      <c r="B16" s="3" t="inlineStr">
        <is>
          <t>果冻18个</t>
        </is>
      </c>
      <c r="C16" s="6" t="n">
        <v>3</v>
      </c>
      <c r="D16" s="5" t="n">
        <v>83.02553191489361</v>
      </c>
      <c r="E16" s="6">
        <f>D16*4.7</f>
        <v/>
      </c>
      <c r="F16" s="6" t="n">
        <v>36</v>
      </c>
      <c r="G16" s="6" t="n">
        <v>3</v>
      </c>
      <c r="H16" s="6" t="n">
        <v>10.87405063829787</v>
      </c>
      <c r="I16" s="6" t="n">
        <v>6.218612340425532</v>
      </c>
      <c r="J16" s="5" t="n">
        <v>56.0926629787234</v>
      </c>
      <c r="K16" s="6">
        <f>J16*4.7</f>
        <v/>
      </c>
      <c r="L16" s="5" t="n">
        <v>26.93286893617021</v>
      </c>
      <c r="M16" s="6">
        <f>L16*4.7</f>
        <v/>
      </c>
      <c r="N16" s="7">
        <f>IF(D16&gt;0,L16/D16,0)</f>
        <v/>
      </c>
    </row>
    <row r="17">
      <c r="A17" s="8" t="inlineStr">
        <is>
          <t>B1C1</t>
        </is>
      </c>
      <c r="B17" s="3" t="inlineStr">
        <is>
          <t>酸辣香辣魔芋笋各1大袋</t>
        </is>
      </c>
      <c r="C17" s="6" t="n">
        <v>2</v>
      </c>
      <c r="D17" s="5" t="n">
        <v>118.2702127659574</v>
      </c>
      <c r="E17" s="6">
        <f>D17*4.7</f>
        <v/>
      </c>
      <c r="F17" s="6" t="n">
        <v>26.8</v>
      </c>
      <c r="G17" s="6" t="n">
        <v>2</v>
      </c>
      <c r="H17" s="6" t="n">
        <v>14.98221765957446</v>
      </c>
      <c r="I17" s="6" t="n">
        <v>8.858438936170213</v>
      </c>
      <c r="J17" s="5" t="n">
        <v>52.64065659574467</v>
      </c>
      <c r="K17" s="6">
        <f>J17*4.7</f>
        <v/>
      </c>
      <c r="L17" s="5" t="n">
        <v>65.62955617021277</v>
      </c>
      <c r="M17" s="6">
        <f>L17*4.7</f>
        <v/>
      </c>
      <c r="N17" s="7">
        <f>IF(D17&gt;0,L17/D17,0)</f>
        <v/>
      </c>
    </row>
    <row r="18">
      <c r="A18" s="8" t="inlineStr">
        <is>
          <t>A3</t>
        </is>
      </c>
      <c r="B18" s="3" t="inlineStr">
        <is>
          <t>魔芋干3包</t>
        </is>
      </c>
      <c r="C18" s="6" t="n">
        <v>1</v>
      </c>
      <c r="D18" s="5" t="n">
        <v>31.91489361702127</v>
      </c>
      <c r="E18" s="6">
        <f>D18*4.7</f>
        <v/>
      </c>
      <c r="F18" s="6" t="n">
        <v>18.3</v>
      </c>
      <c r="G18" s="6" t="n">
        <v>0.5</v>
      </c>
      <c r="H18" s="6" t="n">
        <v>4.145744680851063</v>
      </c>
      <c r="I18" s="6" t="n">
        <v>2.390425531914893</v>
      </c>
      <c r="J18" s="5" t="n">
        <v>25.33617021276596</v>
      </c>
      <c r="K18" s="6">
        <f>J18*4.7</f>
        <v/>
      </c>
      <c r="L18" s="5" t="n">
        <v>6.578723404255317</v>
      </c>
      <c r="M18" s="6">
        <f>L18*4.7</f>
        <v/>
      </c>
      <c r="N18" s="7">
        <f>IF(D18&gt;0,L18/D18,0)</f>
        <v/>
      </c>
    </row>
    <row r="19">
      <c r="A19" s="8" t="inlineStr">
        <is>
          <t>Js36</t>
        </is>
      </c>
      <c r="B19" s="3" t="inlineStr">
        <is>
          <t>果冻36个</t>
        </is>
      </c>
      <c r="C19" s="6" t="n">
        <v>1</v>
      </c>
      <c r="D19" s="5" t="n">
        <v>190.4255319148936</v>
      </c>
      <c r="E19" s="6">
        <f>D19*4.7</f>
        <v/>
      </c>
      <c r="F19" s="6" t="n">
        <v>24</v>
      </c>
      <c r="G19" s="6" t="n">
        <v>1</v>
      </c>
      <c r="H19" s="6" t="n">
        <v>23.62670212765957</v>
      </c>
      <c r="I19" s="6" t="n">
        <v>14.26287234042553</v>
      </c>
      <c r="J19" s="5" t="n">
        <v>62.8895744680851</v>
      </c>
      <c r="K19" s="6">
        <f>J19*4.7</f>
        <v/>
      </c>
      <c r="L19" s="5" t="n">
        <v>127.5359574468085</v>
      </c>
      <c r="M19" s="6">
        <f>L19*4.7</f>
        <v/>
      </c>
      <c r="N19" s="7">
        <f>IF(D19&gt;0,L19/D19,0)</f>
        <v/>
      </c>
    </row>
    <row r="20">
      <c r="A20" s="9" t="inlineStr">
        <is>
          <t>汇总</t>
        </is>
      </c>
      <c r="B20" s="9" t="inlineStr"/>
      <c r="C20" s="5">
        <f>SUM(C2:C19)</f>
        <v/>
      </c>
      <c r="D20" s="5">
        <f>SUM(D2:D19)</f>
        <v/>
      </c>
      <c r="E20" s="5">
        <f>D20*4.7</f>
        <v/>
      </c>
      <c r="F20" s="5">
        <f>SUM(F2:F19)</f>
        <v/>
      </c>
      <c r="G20" s="5">
        <f>SUM(G2:G19)</f>
        <v/>
      </c>
      <c r="H20" s="5">
        <f>SUM(H2:H19)</f>
        <v/>
      </c>
      <c r="I20" s="5">
        <f>SUM(I2:I19)</f>
        <v/>
      </c>
      <c r="J20" s="5">
        <f>SUM(J2:J19)</f>
        <v/>
      </c>
      <c r="K20" s="5">
        <f>J20*4.7</f>
        <v/>
      </c>
      <c r="L20" s="5">
        <f>SUM(L2:L19)</f>
        <v/>
      </c>
      <c r="M20" s="5">
        <f>L20*4.7</f>
        <v/>
      </c>
      <c r="N20" s="7">
        <f>IF(D20&gt;0,L20/D20,0)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6" customHeight="1">
      <c r="A1" s="2" t="inlineStr">
        <is>
          <t>商家SKU</t>
        </is>
      </c>
      <c r="B1" s="2" t="inlineStr">
        <is>
          <t>产品名称
(中文)</t>
        </is>
      </c>
      <c r="C1" s="2" t="inlineStr">
        <is>
          <t>订单数</t>
        </is>
      </c>
      <c r="D1" s="2" t="inlineStr">
        <is>
          <t>产品成本
(CNY)</t>
        </is>
      </c>
      <c r="E1" s="2" t="inlineStr">
        <is>
          <t>包装成本
(CNY)</t>
        </is>
      </c>
      <c r="F1" s="2" t="inlineStr">
        <is>
          <t>快递费
(CNY)</t>
        </is>
      </c>
      <c r="G1" s="2" t="inlineStr">
        <is>
          <t>订单总成本
(CNY)</t>
        </is>
      </c>
      <c r="H1" s="2" t="inlineStr">
        <is>
          <t>订单总成本
(泰铢)</t>
        </is>
      </c>
      <c r="I1" s="2" t="inlineStr">
        <is>
          <t>总利润
(CNY)</t>
        </is>
      </c>
      <c r="J1" s="2" t="inlineStr">
        <is>
          <t>总利润
(泰铢)</t>
        </is>
      </c>
    </row>
    <row r="2">
      <c r="A2" s="8" t="inlineStr">
        <is>
          <t>C1</t>
        </is>
      </c>
      <c r="B2" s="3" t="inlineStr">
        <is>
          <t>魔芋笋1大袋</t>
        </is>
      </c>
      <c r="C2" s="6" t="n">
        <v>278</v>
      </c>
      <c r="D2" s="6" t="n">
        <v>1862.6</v>
      </c>
      <c r="E2" s="6" t="n">
        <v>278</v>
      </c>
      <c r="F2" s="6" t="n">
        <v>1946</v>
      </c>
      <c r="G2" s="5">
        <f>D2+E2+F2</f>
        <v/>
      </c>
      <c r="H2" s="6">
        <f>G2*4.7</f>
        <v/>
      </c>
      <c r="I2" s="5">
        <f>-G2</f>
        <v/>
      </c>
      <c r="J2" s="5">
        <f>I2*4.7</f>
        <v/>
      </c>
    </row>
    <row r="3">
      <c r="A3" s="8" t="inlineStr">
        <is>
          <t>CK</t>
        </is>
      </c>
      <c r="B3" s="3" t="inlineStr">
        <is>
          <t>黑松露黑麦苏打饼干</t>
        </is>
      </c>
      <c r="C3" s="6" t="n">
        <v>87</v>
      </c>
      <c r="D3" s="6" t="n">
        <v>933.2185936822359</v>
      </c>
      <c r="E3" s="6" t="n">
        <v>87</v>
      </c>
      <c r="F3" s="6" t="n">
        <v>609</v>
      </c>
      <c r="G3" s="5">
        <f>D3+E3+F3</f>
        <v/>
      </c>
      <c r="H3" s="6">
        <f>G3*4.7</f>
        <v/>
      </c>
      <c r="I3" s="5">
        <f>-G3</f>
        <v/>
      </c>
      <c r="J3" s="5">
        <f>I3*4.7</f>
        <v/>
      </c>
    </row>
    <row r="4">
      <c r="A4" s="8" t="inlineStr">
        <is>
          <t>ER-B</t>
        </is>
      </c>
      <c r="B4" s="3" t="inlineStr">
        <is>
          <t>广州酒家黄油鸡蛋卷480g</t>
        </is>
      </c>
      <c r="C4" s="6" t="n">
        <v>1</v>
      </c>
      <c r="D4" s="6" t="n">
        <v>45.49882436351998</v>
      </c>
      <c r="E4" s="6" t="n">
        <v>2</v>
      </c>
      <c r="F4" s="6" t="n">
        <v>7</v>
      </c>
      <c r="G4" s="5">
        <f>D4+E4+F4</f>
        <v/>
      </c>
      <c r="H4" s="6">
        <f>G4*4.7</f>
        <v/>
      </c>
      <c r="I4" s="5">
        <f>-G4</f>
        <v/>
      </c>
      <c r="J4" s="5">
        <f>I4*4.7</f>
        <v/>
      </c>
    </row>
    <row r="5">
      <c r="A5" s="9" t="inlineStr">
        <is>
          <t>汇总</t>
        </is>
      </c>
      <c r="B5" s="9" t="inlineStr"/>
      <c r="C5" s="5">
        <f>SUM(C2:C4)</f>
        <v/>
      </c>
      <c r="D5" s="5">
        <f>SUM(D2:D4)</f>
        <v/>
      </c>
      <c r="E5" s="5">
        <f>SUM(E2:E4)</f>
        <v/>
      </c>
      <c r="F5" s="5">
        <f>SUM(F2:F4)</f>
        <v/>
      </c>
      <c r="G5" s="5">
        <f>SUM(G2:G4)</f>
        <v/>
      </c>
      <c r="H5" s="5">
        <f>G5*4.7</f>
        <v/>
      </c>
      <c r="I5" s="5">
        <f>SUM(I2:I4)</f>
        <v/>
      </c>
      <c r="J5" s="5">
        <f>I5*4.7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9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36" customHeight="1">
      <c r="A1" s="2" t="inlineStr">
        <is>
          <t>订单ID</t>
        </is>
      </c>
      <c r="B1" s="2" t="inlineStr">
        <is>
          <t>订单状态</t>
        </is>
      </c>
      <c r="C1" s="2" t="inlineStr">
        <is>
          <t>商家SKU</t>
        </is>
      </c>
      <c r="D1" s="2" t="inlineStr">
        <is>
          <t>产品名称
(中文)</t>
        </is>
      </c>
      <c r="E1" s="2" t="inlineStr">
        <is>
          <t>产品名称
(泰语)</t>
        </is>
      </c>
      <c r="F1" s="2" t="inlineStr">
        <is>
          <t>规格变体</t>
        </is>
      </c>
      <c r="G1" s="2" t="inlineStr">
        <is>
          <t>数量
(件)</t>
        </is>
      </c>
      <c r="H1" s="2" t="inlineStr">
        <is>
          <t>订单金额
(泰铢)</t>
        </is>
      </c>
      <c r="I1" s="2" t="inlineStr">
        <is>
          <t>SKU平台折扣
(泰铢)</t>
        </is>
      </c>
      <c r="J1" s="2" t="inlineStr">
        <is>
          <t>运费平台折扣
(泰铢)</t>
        </is>
      </c>
      <c r="K1" s="2" t="inlineStr">
        <is>
          <t>最终订单金额
(泰铢)</t>
        </is>
      </c>
      <c r="L1" s="2" t="inlineStr">
        <is>
          <t>收入
(CNY)</t>
        </is>
      </c>
      <c r="M1" s="2" t="inlineStr">
        <is>
          <t>产品成本
(CNY)</t>
        </is>
      </c>
      <c r="N1" s="2" t="inlineStr">
        <is>
          <t>包装成本
(CNY)</t>
        </is>
      </c>
      <c r="O1" s="2" t="inlineStr">
        <is>
          <t>平台佣金
(CNY)</t>
        </is>
      </c>
      <c r="P1" s="2" t="inlineStr">
        <is>
          <t>包邮服务
(CNY)</t>
        </is>
      </c>
      <c r="Q1" s="2" t="inlineStr">
        <is>
          <t>订单总成本
(CNY)</t>
        </is>
      </c>
      <c r="R1" s="2" t="inlineStr">
        <is>
          <t>利润
(CNY)</t>
        </is>
      </c>
      <c r="S1" s="2" t="inlineStr">
        <is>
          <t>利润
(泰铢)</t>
        </is>
      </c>
      <c r="T1" s="2" t="inlineStr">
        <is>
          <t>利润率
(%)</t>
        </is>
      </c>
      <c r="U1" s="2" t="inlineStr">
        <is>
          <t>下单时间</t>
        </is>
      </c>
    </row>
    <row r="2">
      <c r="A2" s="3" t="inlineStr">
        <is>
          <t>584295036991931898</t>
        </is>
      </c>
      <c r="B2" s="3" t="inlineStr">
        <is>
          <t>待发货</t>
        </is>
      </c>
      <c r="C2" s="3" t="inlineStr">
        <is>
          <t>C1</t>
        </is>
      </c>
      <c r="D2" s="3" t="inlineStr">
        <is>
          <t>魔芋笋1大袋</t>
        </is>
      </c>
      <c r="E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" s="3" t="inlineStr">
        <is>
          <t>รสเผ็ดหอม​, 10 ซอง 200g</t>
        </is>
      </c>
      <c r="G2" s="6" t="n">
        <v>1</v>
      </c>
      <c r="H2" s="6" t="n">
        <v>69</v>
      </c>
      <c r="I2" s="6" t="n">
        <v>0</v>
      </c>
      <c r="J2" s="6" t="n">
        <v>35</v>
      </c>
      <c r="K2" s="6">
        <f>H2+I2</f>
        <v/>
      </c>
      <c r="L2" s="5">
        <f>K2/4.7</f>
        <v/>
      </c>
      <c r="M2" s="6" t="n">
        <v>6.699999999999999</v>
      </c>
      <c r="N2" s="6" t="n">
        <v>1</v>
      </c>
      <c r="O2" s="6">
        <f>(K2*0.1229+1.05)/4.7</f>
        <v/>
      </c>
      <c r="P2" s="6">
        <f>K2*0.0749/4.7</f>
        <v/>
      </c>
      <c r="Q2" s="5">
        <f>M2+N2+O2+P2</f>
        <v/>
      </c>
      <c r="R2" s="5">
        <f>L2-Q2</f>
        <v/>
      </c>
      <c r="S2" s="6">
        <f>R2*4.7</f>
        <v/>
      </c>
      <c r="T2" s="7">
        <f>IF(L2&gt;0,R2/L2,0)</f>
        <v/>
      </c>
      <c r="U2" s="3" t="inlineStr">
        <is>
          <t>31/05/2026 23:59:42</t>
        </is>
      </c>
    </row>
    <row r="3">
      <c r="A3" s="3" t="inlineStr">
        <is>
          <t>584295057081927400</t>
        </is>
      </c>
      <c r="B3" s="3" t="inlineStr">
        <is>
          <t>待发货</t>
        </is>
      </c>
      <c r="C3" s="3" t="inlineStr">
        <is>
          <t>C1</t>
        </is>
      </c>
      <c r="D3" s="3" t="inlineStr">
        <is>
          <t>魔芋笋1大袋</t>
        </is>
      </c>
      <c r="E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" s="3" t="inlineStr">
        <is>
          <t>รสเผ็ดหอม​, 10 ซอง 200g</t>
        </is>
      </c>
      <c r="G3" s="6" t="n">
        <v>1</v>
      </c>
      <c r="H3" s="6" t="n">
        <v>69</v>
      </c>
      <c r="I3" s="6" t="n">
        <v>0</v>
      </c>
      <c r="J3" s="6" t="n">
        <v>38</v>
      </c>
      <c r="K3" s="6">
        <f>H3+I3</f>
        <v/>
      </c>
      <c r="L3" s="5">
        <f>K3/4.7</f>
        <v/>
      </c>
      <c r="M3" s="6" t="n">
        <v>6.699999999999999</v>
      </c>
      <c r="N3" s="6" t="n">
        <v>1</v>
      </c>
      <c r="O3" s="6">
        <f>(K3*0.1229+1.05)/4.7</f>
        <v/>
      </c>
      <c r="P3" s="6">
        <f>K3*0.0749/4.7</f>
        <v/>
      </c>
      <c r="Q3" s="5">
        <f>M3+N3+O3+P3</f>
        <v/>
      </c>
      <c r="R3" s="5">
        <f>L3-Q3</f>
        <v/>
      </c>
      <c r="S3" s="6">
        <f>R3*4.7</f>
        <v/>
      </c>
      <c r="T3" s="7">
        <f>IF(L3&gt;0,R3/L3,0)</f>
        <v/>
      </c>
      <c r="U3" s="3" t="inlineStr">
        <is>
          <t>31/05/2026 23:55:33</t>
        </is>
      </c>
    </row>
    <row r="4">
      <c r="A4" s="3" t="inlineStr">
        <is>
          <t>584294800697886512</t>
        </is>
      </c>
      <c r="B4" s="3" t="inlineStr">
        <is>
          <t>待发货</t>
        </is>
      </c>
      <c r="C4" s="3" t="inlineStr">
        <is>
          <t>C1</t>
        </is>
      </c>
      <c r="D4" s="3" t="inlineStr">
        <is>
          <t>魔芋笋1大袋</t>
        </is>
      </c>
      <c r="E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" s="3" t="inlineStr">
        <is>
          <t>รสเผ็ดหอม​, 10 ซอง 200g</t>
        </is>
      </c>
      <c r="G4" s="6" t="n">
        <v>1</v>
      </c>
      <c r="H4" s="6" t="n">
        <v>69</v>
      </c>
      <c r="I4" s="6" t="n">
        <v>0</v>
      </c>
      <c r="J4" s="6" t="n">
        <v>35</v>
      </c>
      <c r="K4" s="6">
        <f>H4+I4</f>
        <v/>
      </c>
      <c r="L4" s="5">
        <f>K4/4.7</f>
        <v/>
      </c>
      <c r="M4" s="6" t="n">
        <v>6.699999999999999</v>
      </c>
      <c r="N4" s="6" t="n">
        <v>1</v>
      </c>
      <c r="O4" s="6">
        <f>(K4*0.1229+1.05)/4.7</f>
        <v/>
      </c>
      <c r="P4" s="6">
        <f>K4*0.0749/4.7</f>
        <v/>
      </c>
      <c r="Q4" s="5">
        <f>M4+N4+O4+P4</f>
        <v/>
      </c>
      <c r="R4" s="5">
        <f>L4-Q4</f>
        <v/>
      </c>
      <c r="S4" s="6">
        <f>R4*4.7</f>
        <v/>
      </c>
      <c r="T4" s="7">
        <f>IF(L4&gt;0,R4/L4,0)</f>
        <v/>
      </c>
      <c r="U4" s="3" t="inlineStr">
        <is>
          <t>31/05/2026 23:40:05</t>
        </is>
      </c>
    </row>
    <row r="5">
      <c r="A5" s="3" t="inlineStr">
        <is>
          <t>584294885167498258</t>
        </is>
      </c>
      <c r="B5" s="3" t="inlineStr">
        <is>
          <t>待发货</t>
        </is>
      </c>
      <c r="C5" s="3" t="inlineStr">
        <is>
          <t>C1</t>
        </is>
      </c>
      <c r="D5" s="3" t="inlineStr">
        <is>
          <t>魔芋笋1大袋</t>
        </is>
      </c>
      <c r="E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" s="3" t="inlineStr">
        <is>
          <t>รสเผ็ดหอม​, 10 ซอง 200g</t>
        </is>
      </c>
      <c r="G5" s="6" t="n">
        <v>1</v>
      </c>
      <c r="H5" s="6" t="n">
        <v>69</v>
      </c>
      <c r="I5" s="6" t="n">
        <v>0</v>
      </c>
      <c r="J5" s="6" t="n">
        <v>35</v>
      </c>
      <c r="K5" s="6">
        <f>H5+I5</f>
        <v/>
      </c>
      <c r="L5" s="5">
        <f>K5/4.7</f>
        <v/>
      </c>
      <c r="M5" s="6" t="n">
        <v>6.699999999999999</v>
      </c>
      <c r="N5" s="6" t="n">
        <v>1</v>
      </c>
      <c r="O5" s="6">
        <f>(K5*0.1229+1.05)/4.7</f>
        <v/>
      </c>
      <c r="P5" s="6">
        <f>K5*0.0749/4.7</f>
        <v/>
      </c>
      <c r="Q5" s="5">
        <f>M5+N5+O5+P5</f>
        <v/>
      </c>
      <c r="R5" s="5">
        <f>L5-Q5</f>
        <v/>
      </c>
      <c r="S5" s="6">
        <f>R5*4.7</f>
        <v/>
      </c>
      <c r="T5" s="7">
        <f>IF(L5&gt;0,R5/L5,0)</f>
        <v/>
      </c>
      <c r="U5" s="3" t="inlineStr">
        <is>
          <t>31/05/2026 23:39:33</t>
        </is>
      </c>
    </row>
    <row r="6">
      <c r="A6" s="3" t="inlineStr">
        <is>
          <t>584294784456754962</t>
        </is>
      </c>
      <c r="B6" s="3" t="inlineStr">
        <is>
          <t>待发货</t>
        </is>
      </c>
      <c r="C6" s="3" t="inlineStr">
        <is>
          <t>C1</t>
        </is>
      </c>
      <c r="D6" s="3" t="inlineStr">
        <is>
          <t>魔芋笋1大袋</t>
        </is>
      </c>
      <c r="E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" s="3" t="inlineStr">
        <is>
          <t>รสเผ็ดหอม​, 10 ซอง 200g</t>
        </is>
      </c>
      <c r="G6" s="6" t="n">
        <v>1</v>
      </c>
      <c r="H6" s="6" t="n">
        <v>143</v>
      </c>
      <c r="I6" s="6" t="n">
        <v>0</v>
      </c>
      <c r="J6" s="6" t="n">
        <v>38</v>
      </c>
      <c r="K6" s="6">
        <f>H6+I6</f>
        <v/>
      </c>
      <c r="L6" s="5">
        <f>K6/4.7</f>
        <v/>
      </c>
      <c r="M6" s="6" t="n">
        <v>6.699999999999999</v>
      </c>
      <c r="N6" s="6" t="n">
        <v>1</v>
      </c>
      <c r="O6" s="6">
        <f>(K6*0.1229+1.05)/4.7</f>
        <v/>
      </c>
      <c r="P6" s="6">
        <f>K6*0.0749/4.7</f>
        <v/>
      </c>
      <c r="Q6" s="5">
        <f>M6+N6+O6+P6</f>
        <v/>
      </c>
      <c r="R6" s="5">
        <f>L6-Q6</f>
        <v/>
      </c>
      <c r="S6" s="6">
        <f>R6*4.7</f>
        <v/>
      </c>
      <c r="T6" s="7">
        <f>IF(L6&gt;0,R6/L6,0)</f>
        <v/>
      </c>
      <c r="U6" s="3" t="inlineStr">
        <is>
          <t>31/05/2026 23:30:19</t>
        </is>
      </c>
    </row>
    <row r="7">
      <c r="A7" s="3" t="inlineStr">
        <is>
          <t>584294784456754962</t>
        </is>
      </c>
      <c r="B7" s="3" t="inlineStr">
        <is>
          <t>待发货</t>
        </is>
      </c>
      <c r="C7" s="3" t="inlineStr">
        <is>
          <t>B1</t>
        </is>
      </c>
      <c r="D7" s="3" t="inlineStr">
        <is>
          <t>魔芋笋1大袋</t>
        </is>
      </c>
      <c r="E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" s="3" t="inlineStr">
        <is>
          <t>รสเปรี้ยวเผ็ด​, 10 ซอง 200g</t>
        </is>
      </c>
      <c r="G7" s="6" t="n">
        <v>1</v>
      </c>
      <c r="H7" s="6" t="n">
        <v>143</v>
      </c>
      <c r="I7" s="6" t="n">
        <v>0</v>
      </c>
      <c r="J7" s="6" t="n">
        <v>38</v>
      </c>
      <c r="K7" s="6">
        <f>H7+I7</f>
        <v/>
      </c>
      <c r="L7" s="5">
        <f>K7/4.7</f>
        <v/>
      </c>
      <c r="M7" s="6" t="n">
        <v>6.699999999999999</v>
      </c>
      <c r="N7" s="6" t="n">
        <v>1</v>
      </c>
      <c r="O7" s="6">
        <f>(K7*0.1229+1.05)/4.7</f>
        <v/>
      </c>
      <c r="P7" s="6">
        <f>K7*0.0749/4.7</f>
        <v/>
      </c>
      <c r="Q7" s="5">
        <f>M7+N7+O7+P7</f>
        <v/>
      </c>
      <c r="R7" s="5">
        <f>L7-Q7</f>
        <v/>
      </c>
      <c r="S7" s="6">
        <f>R7*4.7</f>
        <v/>
      </c>
      <c r="T7" s="7">
        <f>IF(L7&gt;0,R7/L7,0)</f>
        <v/>
      </c>
      <c r="U7" s="3" t="inlineStr">
        <is>
          <t>31/05/2026 23:30:19</t>
        </is>
      </c>
    </row>
    <row r="8">
      <c r="A8" s="3" t="inlineStr">
        <is>
          <t>584294359103931445</t>
        </is>
      </c>
      <c r="B8" s="3" t="inlineStr">
        <is>
          <t>待发货</t>
        </is>
      </c>
      <c r="C8" s="3" t="inlineStr">
        <is>
          <t>B1</t>
        </is>
      </c>
      <c r="D8" s="3" t="inlineStr">
        <is>
          <t>魔芋笋1大袋</t>
        </is>
      </c>
      <c r="E8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8" s="3" t="inlineStr">
        <is>
          <t>รสเปรี้ยวเผ็ด​, 1pcs   200g</t>
        </is>
      </c>
      <c r="G8" s="6" t="n">
        <v>1</v>
      </c>
      <c r="H8" s="6" t="n">
        <v>115</v>
      </c>
      <c r="I8" s="6" t="n">
        <v>0</v>
      </c>
      <c r="J8" s="6" t="n">
        <v>48</v>
      </c>
      <c r="K8" s="6">
        <f>H8+I8</f>
        <v/>
      </c>
      <c r="L8" s="5">
        <f>K8/4.7</f>
        <v/>
      </c>
      <c r="M8" s="6" t="n">
        <v>6.699999999999999</v>
      </c>
      <c r="N8" s="6" t="n">
        <v>1</v>
      </c>
      <c r="O8" s="6">
        <f>(K8*0.1229+1.05)/4.7</f>
        <v/>
      </c>
      <c r="P8" s="6">
        <f>K8*0.0749/4.7</f>
        <v/>
      </c>
      <c r="Q8" s="5">
        <f>M8+N8+O8+P8</f>
        <v/>
      </c>
      <c r="R8" s="5">
        <f>L8-Q8</f>
        <v/>
      </c>
      <c r="S8" s="6">
        <f>R8*4.7</f>
        <v/>
      </c>
      <c r="T8" s="7">
        <f>IF(L8&gt;0,R8/L8,0)</f>
        <v/>
      </c>
      <c r="U8" s="3" t="inlineStr">
        <is>
          <t>31/05/2026 22:55:28</t>
        </is>
      </c>
    </row>
    <row r="9">
      <c r="A9" s="3" t="inlineStr">
        <is>
          <t>584294359103931445</t>
        </is>
      </c>
      <c r="B9" s="3" t="inlineStr">
        <is>
          <t>待发货</t>
        </is>
      </c>
      <c r="C9" s="3" t="inlineStr">
        <is>
          <t>C1</t>
        </is>
      </c>
      <c r="D9" s="3" t="inlineStr">
        <is>
          <t>魔芋笋1大袋</t>
        </is>
      </c>
      <c r="E9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9" s="3" t="inlineStr">
        <is>
          <t>รสเผ็ดหอม​, 1pcs   200g</t>
        </is>
      </c>
      <c r="G9" s="6" t="n">
        <v>1</v>
      </c>
      <c r="H9" s="6" t="n">
        <v>115</v>
      </c>
      <c r="I9" s="6" t="n">
        <v>0</v>
      </c>
      <c r="J9" s="6" t="n">
        <v>48</v>
      </c>
      <c r="K9" s="6">
        <f>H9+I9</f>
        <v/>
      </c>
      <c r="L9" s="5">
        <f>K9/4.7</f>
        <v/>
      </c>
      <c r="M9" s="6" t="n">
        <v>6.699999999999999</v>
      </c>
      <c r="N9" s="6" t="n">
        <v>1</v>
      </c>
      <c r="O9" s="6">
        <f>(K9*0.1229+1.05)/4.7</f>
        <v/>
      </c>
      <c r="P9" s="6">
        <f>K9*0.0749/4.7</f>
        <v/>
      </c>
      <c r="Q9" s="5">
        <f>M9+N9+O9+P9</f>
        <v/>
      </c>
      <c r="R9" s="5">
        <f>L9-Q9</f>
        <v/>
      </c>
      <c r="S9" s="6">
        <f>R9*4.7</f>
        <v/>
      </c>
      <c r="T9" s="7">
        <f>IF(L9&gt;0,R9/L9,0)</f>
        <v/>
      </c>
      <c r="U9" s="3" t="inlineStr">
        <is>
          <t>31/05/2026 22:55:28</t>
        </is>
      </c>
    </row>
    <row r="10">
      <c r="A10" s="3" t="inlineStr">
        <is>
          <t>584294179831711206</t>
        </is>
      </c>
      <c r="B10" s="3" t="inlineStr">
        <is>
          <t>已取消</t>
        </is>
      </c>
      <c r="C10" s="3" t="inlineStr">
        <is>
          <t>CK</t>
        </is>
      </c>
      <c r="D10" s="3" t="inlineStr">
        <is>
          <t>黑松露黑麦苏打饼干</t>
        </is>
      </c>
      <c r="E1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0" s="3" t="inlineStr">
        <is>
          <t>ค่าเริ่มต้น</t>
        </is>
      </c>
      <c r="G10" s="6" t="n">
        <v>1</v>
      </c>
      <c r="H10" s="6" t="n">
        <v>60</v>
      </c>
      <c r="I10" s="6" t="n">
        <v>40</v>
      </c>
      <c r="J10" s="6" t="n">
        <v>38</v>
      </c>
      <c r="K10" s="6">
        <f>H10+I10</f>
        <v/>
      </c>
      <c r="L10" s="5">
        <f>K10/4.7</f>
        <v/>
      </c>
      <c r="M10" s="6" t="n">
        <v>10.72665050209467</v>
      </c>
      <c r="N10" s="6" t="n">
        <v>1</v>
      </c>
      <c r="O10" s="6">
        <f>(K10*0.1229+1.05)/4.7</f>
        <v/>
      </c>
      <c r="P10" s="6">
        <f>K10*0.0749/4.7</f>
        <v/>
      </c>
      <c r="Q10" s="5">
        <f>M10+N10+O10+P10</f>
        <v/>
      </c>
      <c r="R10" s="5">
        <f>L10-Q10</f>
        <v/>
      </c>
      <c r="S10" s="6">
        <f>R10*4.7</f>
        <v/>
      </c>
      <c r="T10" s="7">
        <f>IF(L10&gt;0,R10/L10,0)</f>
        <v/>
      </c>
      <c r="U10" s="3" t="inlineStr">
        <is>
          <t>31/05/2026 22:42:09</t>
        </is>
      </c>
    </row>
    <row r="11">
      <c r="A11" s="3" t="inlineStr">
        <is>
          <t>584293999862253394</t>
        </is>
      </c>
      <c r="B11" s="3" t="inlineStr">
        <is>
          <t>待发货</t>
        </is>
      </c>
      <c r="C11" s="3" t="inlineStr">
        <is>
          <t>C5s</t>
        </is>
      </c>
      <c r="D11" s="3" t="inlineStr">
        <is>
          <t>香辣味魔芋笋5小袋</t>
        </is>
      </c>
      <c r="E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" s="3" t="inlineStr">
        <is>
          <t>รสเผ็ดหอม​, *ชุดเล็ก 5 ซอง 100g</t>
        </is>
      </c>
      <c r="G11" s="6" t="n">
        <v>1</v>
      </c>
      <c r="H11" s="6" t="n">
        <v>47</v>
      </c>
      <c r="I11" s="6" t="n">
        <v>0</v>
      </c>
      <c r="J11" s="6" t="n">
        <v>29</v>
      </c>
      <c r="K11" s="6">
        <f>H11+I11</f>
        <v/>
      </c>
      <c r="L11" s="5">
        <f>K11/4.7</f>
        <v/>
      </c>
      <c r="M11" s="6" t="n">
        <v>3.35</v>
      </c>
      <c r="N11" s="6" t="n">
        <v>1</v>
      </c>
      <c r="O11" s="6">
        <f>(K11*0.1229+1.05)/4.7</f>
        <v/>
      </c>
      <c r="P11" s="6">
        <f>K11*0.0749/4.7</f>
        <v/>
      </c>
      <c r="Q11" s="5">
        <f>M11+N11+O11+P11</f>
        <v/>
      </c>
      <c r="R11" s="5">
        <f>L11-Q11</f>
        <v/>
      </c>
      <c r="S11" s="6">
        <f>R11*4.7</f>
        <v/>
      </c>
      <c r="T11" s="7">
        <f>IF(L11&gt;0,R11/L11,0)</f>
        <v/>
      </c>
      <c r="U11" s="3" t="inlineStr">
        <is>
          <t>31/05/2026 22:31:43</t>
        </is>
      </c>
    </row>
    <row r="12">
      <c r="A12" s="3" t="inlineStr">
        <is>
          <t>584293179823981619</t>
        </is>
      </c>
      <c r="B12" s="3" t="inlineStr">
        <is>
          <t>待发货</t>
        </is>
      </c>
      <c r="C12" s="3" t="inlineStr">
        <is>
          <t>CK</t>
        </is>
      </c>
      <c r="D12" s="3" t="inlineStr">
        <is>
          <t>黑松露黑麦苏打饼干</t>
        </is>
      </c>
      <c r="E1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2" s="3" t="inlineStr">
        <is>
          <t>ค่าเริ่มต้น</t>
        </is>
      </c>
      <c r="G12" s="6" t="n">
        <v>1</v>
      </c>
      <c r="H12" s="6" t="n">
        <v>100</v>
      </c>
      <c r="I12" s="6" t="n">
        <v>0</v>
      </c>
      <c r="J12" s="6" t="n">
        <v>35</v>
      </c>
      <c r="K12" s="6">
        <f>H12+I12</f>
        <v/>
      </c>
      <c r="L12" s="5">
        <f>K12/4.7</f>
        <v/>
      </c>
      <c r="M12" s="6" t="n">
        <v>10.72665050209467</v>
      </c>
      <c r="N12" s="6" t="n">
        <v>1</v>
      </c>
      <c r="O12" s="6">
        <f>(K12*0.1229+1.05)/4.7</f>
        <v/>
      </c>
      <c r="P12" s="6">
        <f>K12*0.0749/4.7</f>
        <v/>
      </c>
      <c r="Q12" s="5">
        <f>M12+N12+O12+P12</f>
        <v/>
      </c>
      <c r="R12" s="5">
        <f>L12-Q12</f>
        <v/>
      </c>
      <c r="S12" s="6">
        <f>R12*4.7</f>
        <v/>
      </c>
      <c r="T12" s="7">
        <f>IF(L12&gt;0,R12/L12,0)</f>
        <v/>
      </c>
      <c r="U12" s="3" t="inlineStr">
        <is>
          <t>31/05/2026 21:40:04</t>
        </is>
      </c>
    </row>
    <row r="13">
      <c r="A13" s="3" t="inlineStr">
        <is>
          <t>584292552897824684</t>
        </is>
      </c>
      <c r="B13" s="3" t="inlineStr">
        <is>
          <t>待发货</t>
        </is>
      </c>
      <c r="C13" s="3" t="inlineStr">
        <is>
          <t>CK</t>
        </is>
      </c>
      <c r="D13" s="3" t="inlineStr">
        <is>
          <t>黑松露黑麦苏打饼干</t>
        </is>
      </c>
      <c r="E1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" s="3" t="inlineStr">
        <is>
          <t>ค่าเริ่มต้น</t>
        </is>
      </c>
      <c r="G13" s="6" t="n">
        <v>1</v>
      </c>
      <c r="H13" s="6" t="n">
        <v>101</v>
      </c>
      <c r="I13" s="6" t="n">
        <v>0</v>
      </c>
      <c r="J13" s="6" t="n">
        <v>28</v>
      </c>
      <c r="K13" s="6">
        <f>H13+I13</f>
        <v/>
      </c>
      <c r="L13" s="5">
        <f>K13/4.7</f>
        <v/>
      </c>
      <c r="M13" s="6" t="n">
        <v>10.72665050209467</v>
      </c>
      <c r="N13" s="6" t="n">
        <v>1</v>
      </c>
      <c r="O13" s="6">
        <f>(K13*0.1229+1.05)/4.7</f>
        <v/>
      </c>
      <c r="P13" s="6">
        <f>K13*0.0749/4.7</f>
        <v/>
      </c>
      <c r="Q13" s="5">
        <f>M13+N13+O13+P13</f>
        <v/>
      </c>
      <c r="R13" s="5">
        <f>L13-Q13</f>
        <v/>
      </c>
      <c r="S13" s="6">
        <f>R13*4.7</f>
        <v/>
      </c>
      <c r="T13" s="7">
        <f>IF(L13&gt;0,R13/L13,0)</f>
        <v/>
      </c>
      <c r="U13" s="3" t="inlineStr">
        <is>
          <t>31/05/2026 21:02:24</t>
        </is>
      </c>
    </row>
    <row r="14">
      <c r="A14" s="3" t="inlineStr">
        <is>
          <t>584292318365910815</t>
        </is>
      </c>
      <c r="B14" s="3" t="inlineStr">
        <is>
          <t>未支付</t>
        </is>
      </c>
      <c r="C14" s="3" t="inlineStr">
        <is>
          <t>C1</t>
        </is>
      </c>
      <c r="D14" s="3" t="inlineStr">
        <is>
          <t>魔芋笋1大袋</t>
        </is>
      </c>
      <c r="E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" s="3" t="inlineStr">
        <is>
          <t>รสเผ็ดหอม​, 10 ซอง 200g</t>
        </is>
      </c>
      <c r="G14" s="6" t="n">
        <v>1</v>
      </c>
      <c r="H14" s="6" t="n">
        <v>69</v>
      </c>
      <c r="I14" s="6" t="n">
        <v>0</v>
      </c>
      <c r="J14" s="6" t="n">
        <v>38</v>
      </c>
      <c r="K14" s="6">
        <f>H14+I14</f>
        <v/>
      </c>
      <c r="L14" s="5">
        <f>K14/4.7</f>
        <v/>
      </c>
      <c r="M14" s="6" t="n">
        <v>6.699999999999999</v>
      </c>
      <c r="N14" s="6" t="n">
        <v>1</v>
      </c>
      <c r="O14" s="6">
        <f>(K14*0.1229+1.05)/4.7</f>
        <v/>
      </c>
      <c r="P14" s="6">
        <f>K14*0.0749/4.7</f>
        <v/>
      </c>
      <c r="Q14" s="5">
        <f>M14+N14+O14+P14</f>
        <v/>
      </c>
      <c r="R14" s="5">
        <f>L14-Q14</f>
        <v/>
      </c>
      <c r="S14" s="6">
        <f>R14*4.7</f>
        <v/>
      </c>
      <c r="T14" s="7">
        <f>IF(L14&gt;0,R14/L14,0)</f>
        <v/>
      </c>
      <c r="U14" s="3" t="inlineStr">
        <is>
          <t>31/05/2026 20:46:29</t>
        </is>
      </c>
    </row>
    <row r="15">
      <c r="A15" s="3" t="inlineStr">
        <is>
          <t>584292183936500816</t>
        </is>
      </c>
      <c r="B15" s="3" t="inlineStr">
        <is>
          <t>待发货</t>
        </is>
      </c>
      <c r="C15" s="3" t="inlineStr">
        <is>
          <t>C5s</t>
        </is>
      </c>
      <c r="D15" s="3" t="inlineStr">
        <is>
          <t>香辣味魔芋笋5小袋</t>
        </is>
      </c>
      <c r="E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" s="3" t="inlineStr">
        <is>
          <t>รสเผ็ดหอม​, *ชุดเล็ก 5 ซอง 100g</t>
        </is>
      </c>
      <c r="G15" s="6" t="n">
        <v>1</v>
      </c>
      <c r="H15" s="6" t="n">
        <v>43.24</v>
      </c>
      <c r="I15" s="6" t="n">
        <v>3.76</v>
      </c>
      <c r="J15" s="6" t="n">
        <v>35</v>
      </c>
      <c r="K15" s="6">
        <f>H15+I15</f>
        <v/>
      </c>
      <c r="L15" s="5">
        <f>K15/4.7</f>
        <v/>
      </c>
      <c r="M15" s="6" t="n">
        <v>3.35</v>
      </c>
      <c r="N15" s="6" t="n">
        <v>1</v>
      </c>
      <c r="O15" s="6">
        <f>(K15*0.1229+1.05)/4.7</f>
        <v/>
      </c>
      <c r="P15" s="6">
        <f>K15*0.0749/4.7</f>
        <v/>
      </c>
      <c r="Q15" s="5">
        <f>M15+N15+O15+P15</f>
        <v/>
      </c>
      <c r="R15" s="5">
        <f>L15-Q15</f>
        <v/>
      </c>
      <c r="S15" s="6">
        <f>R15*4.7</f>
        <v/>
      </c>
      <c r="T15" s="7">
        <f>IF(L15&gt;0,R15/L15,0)</f>
        <v/>
      </c>
      <c r="U15" s="3" t="inlineStr">
        <is>
          <t>31/05/2026 20:40:27</t>
        </is>
      </c>
    </row>
    <row r="16">
      <c r="A16" s="3" t="inlineStr">
        <is>
          <t>584292073270117775</t>
        </is>
      </c>
      <c r="B16" s="3" t="inlineStr">
        <is>
          <t>待发货</t>
        </is>
      </c>
      <c r="C16" s="3" t="inlineStr">
        <is>
          <t>CK</t>
        </is>
      </c>
      <c r="D16" s="3" t="inlineStr">
        <is>
          <t>黑松露黑麦苏打饼干</t>
        </is>
      </c>
      <c r="E1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6" s="3" t="inlineStr">
        <is>
          <t>ค่าเริ่มต้น</t>
        </is>
      </c>
      <c r="G16" s="6" t="n">
        <v>1</v>
      </c>
      <c r="H16" s="6" t="n">
        <v>100</v>
      </c>
      <c r="I16" s="6" t="n">
        <v>0</v>
      </c>
      <c r="J16" s="6" t="n">
        <v>35</v>
      </c>
      <c r="K16" s="6">
        <f>H16+I16</f>
        <v/>
      </c>
      <c r="L16" s="5">
        <f>K16/4.7</f>
        <v/>
      </c>
      <c r="M16" s="6" t="n">
        <v>10.72665050209467</v>
      </c>
      <c r="N16" s="6" t="n">
        <v>1</v>
      </c>
      <c r="O16" s="6">
        <f>(K16*0.1229+1.05)/4.7</f>
        <v/>
      </c>
      <c r="P16" s="6">
        <f>K16*0.0749/4.7</f>
        <v/>
      </c>
      <c r="Q16" s="5">
        <f>M16+N16+O16+P16</f>
        <v/>
      </c>
      <c r="R16" s="5">
        <f>L16-Q16</f>
        <v/>
      </c>
      <c r="S16" s="6">
        <f>R16*4.7</f>
        <v/>
      </c>
      <c r="T16" s="7">
        <f>IF(L16&gt;0,R16/L16,0)</f>
        <v/>
      </c>
      <c r="U16" s="3" t="inlineStr">
        <is>
          <t>31/05/2026 20:35:10</t>
        </is>
      </c>
    </row>
    <row r="17">
      <c r="A17" s="3" t="inlineStr">
        <is>
          <t>584291880459732172</t>
        </is>
      </c>
      <c r="B17" s="3" t="inlineStr">
        <is>
          <t>待发货</t>
        </is>
      </c>
      <c r="C17" s="3" t="inlineStr">
        <is>
          <t>B5s</t>
        </is>
      </c>
      <c r="D17" s="3" t="inlineStr">
        <is>
          <t>酸辣味5小袋</t>
        </is>
      </c>
      <c r="E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" s="3" t="inlineStr">
        <is>
          <t>รสเปรี้ยวเผ็ด​, *ชุดเล็ก 5 ซอง 100g</t>
        </is>
      </c>
      <c r="G17" s="6" t="n">
        <v>1</v>
      </c>
      <c r="H17" s="6" t="n">
        <v>47</v>
      </c>
      <c r="I17" s="6" t="n">
        <v>0</v>
      </c>
      <c r="J17" s="6" t="n">
        <v>35</v>
      </c>
      <c r="K17" s="6">
        <f>H17+I17</f>
        <v/>
      </c>
      <c r="L17" s="5">
        <f>K17/4.7</f>
        <v/>
      </c>
      <c r="M17" s="6" t="n">
        <v>3.35</v>
      </c>
      <c r="N17" s="6" t="n">
        <v>1</v>
      </c>
      <c r="O17" s="6">
        <f>(K17*0.1229+1.05)/4.7</f>
        <v/>
      </c>
      <c r="P17" s="6">
        <f>K17*0.0749/4.7</f>
        <v/>
      </c>
      <c r="Q17" s="5">
        <f>M17+N17+O17+P17</f>
        <v/>
      </c>
      <c r="R17" s="5">
        <f>L17-Q17</f>
        <v/>
      </c>
      <c r="S17" s="6">
        <f>R17*4.7</f>
        <v/>
      </c>
      <c r="T17" s="7">
        <f>IF(L17&gt;0,R17/L17,0)</f>
        <v/>
      </c>
      <c r="U17" s="3" t="inlineStr">
        <is>
          <t>31/05/2026 20:23:19</t>
        </is>
      </c>
    </row>
    <row r="18">
      <c r="A18" s="3" t="inlineStr">
        <is>
          <t>584288926333831103</t>
        </is>
      </c>
      <c r="B18" s="3" t="inlineStr">
        <is>
          <t>待发货</t>
        </is>
      </c>
      <c r="C18" s="3" t="inlineStr">
        <is>
          <t>B1</t>
        </is>
      </c>
      <c r="D18" s="3" t="inlineStr">
        <is>
          <t>魔芋笋1大袋</t>
        </is>
      </c>
      <c r="E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" s="3" t="inlineStr">
        <is>
          <t>รสเปรี้ยวเผ็ด​, 10 ซอง 200g</t>
        </is>
      </c>
      <c r="G18" s="6" t="n">
        <v>1</v>
      </c>
      <c r="H18" s="6" t="n">
        <v>69</v>
      </c>
      <c r="I18" s="6" t="n">
        <v>0</v>
      </c>
      <c r="J18" s="6" t="n">
        <v>38</v>
      </c>
      <c r="K18" s="6">
        <f>H18+I18</f>
        <v/>
      </c>
      <c r="L18" s="5">
        <f>K18/4.7</f>
        <v/>
      </c>
      <c r="M18" s="6" t="n">
        <v>6.699999999999999</v>
      </c>
      <c r="N18" s="6" t="n">
        <v>1</v>
      </c>
      <c r="O18" s="6">
        <f>(K18*0.1229+1.05)/4.7</f>
        <v/>
      </c>
      <c r="P18" s="6">
        <f>K18*0.0749/4.7</f>
        <v/>
      </c>
      <c r="Q18" s="5">
        <f>M18+N18+O18+P18</f>
        <v/>
      </c>
      <c r="R18" s="5">
        <f>L18-Q18</f>
        <v/>
      </c>
      <c r="S18" s="6">
        <f>R18*4.7</f>
        <v/>
      </c>
      <c r="T18" s="7">
        <f>IF(L18&gt;0,R18/L18,0)</f>
        <v/>
      </c>
      <c r="U18" s="3" t="inlineStr">
        <is>
          <t>31/05/2026 17:09:15</t>
        </is>
      </c>
    </row>
    <row r="19">
      <c r="A19" s="3" t="inlineStr">
        <is>
          <t>584288821574927691</t>
        </is>
      </c>
      <c r="B19" s="3" t="inlineStr">
        <is>
          <t>待发货</t>
        </is>
      </c>
      <c r="C19" s="3" t="inlineStr">
        <is>
          <t>CK</t>
        </is>
      </c>
      <c r="D19" s="3" t="inlineStr">
        <is>
          <t>黑松露黑麦苏打饼干</t>
        </is>
      </c>
      <c r="E1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" s="3" t="inlineStr">
        <is>
          <t>ค่าเริ่มต้น</t>
        </is>
      </c>
      <c r="G19" s="6" t="n">
        <v>1</v>
      </c>
      <c r="H19" s="6" t="n">
        <v>65</v>
      </c>
      <c r="I19" s="6" t="n">
        <v>35</v>
      </c>
      <c r="J19" s="6" t="n">
        <v>35</v>
      </c>
      <c r="K19" s="6">
        <f>H19+I19</f>
        <v/>
      </c>
      <c r="L19" s="5">
        <f>K19/4.7</f>
        <v/>
      </c>
      <c r="M19" s="6" t="n">
        <v>10.72665050209467</v>
      </c>
      <c r="N19" s="6" t="n">
        <v>1</v>
      </c>
      <c r="O19" s="6">
        <f>(K19*0.1229+1.05)/4.7</f>
        <v/>
      </c>
      <c r="P19" s="6">
        <f>K19*0.0749/4.7</f>
        <v/>
      </c>
      <c r="Q19" s="5">
        <f>M19+N19+O19+P19</f>
        <v/>
      </c>
      <c r="R19" s="5">
        <f>L19-Q19</f>
        <v/>
      </c>
      <c r="S19" s="6">
        <f>R19*4.7</f>
        <v/>
      </c>
      <c r="T19" s="7">
        <f>IF(L19&gt;0,R19/L19,0)</f>
        <v/>
      </c>
      <c r="U19" s="3" t="inlineStr">
        <is>
          <t>31/05/2026 17:00:41</t>
        </is>
      </c>
    </row>
    <row r="20">
      <c r="A20" s="3" t="inlineStr">
        <is>
          <t>584286598944359598</t>
        </is>
      </c>
      <c r="B20" s="3" t="inlineStr">
        <is>
          <t>待发货</t>
        </is>
      </c>
      <c r="C20" s="3" t="inlineStr">
        <is>
          <t>ER-B</t>
        </is>
      </c>
      <c r="D20" s="3" t="inlineStr">
        <is>
          <t>广州酒家黄油鸡蛋卷480g</t>
        </is>
      </c>
      <c r="E20" s="3" t="inlineStr">
        <is>
          <t>Egg Roll 2สูตร ทองม้วนไข่กล่องเหล็กพรีเมี่ยม!! GuangZhou Restaurant 454g/480g กล่องล่ะ 24 แท่ง</t>
        </is>
      </c>
      <c r="F20" s="3" t="inlineStr">
        <is>
          <t>Butter สูตรเนยสด พรีเมี่ยม</t>
        </is>
      </c>
      <c r="G20" s="6" t="n">
        <v>1</v>
      </c>
      <c r="H20" s="6" t="n">
        <v>643.5</v>
      </c>
      <c r="I20" s="6" t="n">
        <v>35.75</v>
      </c>
      <c r="J20" s="6" t="n">
        <v>88</v>
      </c>
      <c r="K20" s="6">
        <f>H20+I20</f>
        <v/>
      </c>
      <c r="L20" s="5">
        <f>K20/4.7</f>
        <v/>
      </c>
      <c r="M20" s="6" t="n">
        <v>45.49882436351998</v>
      </c>
      <c r="N20" s="6" t="n">
        <v>2</v>
      </c>
      <c r="O20" s="6">
        <f>(K20*0.1229+1.05)/4.7</f>
        <v/>
      </c>
      <c r="P20" s="6">
        <f>K20*0.0749/4.7</f>
        <v/>
      </c>
      <c r="Q20" s="5">
        <f>M20+N20+O20+P20</f>
        <v/>
      </c>
      <c r="R20" s="5">
        <f>L20-Q20</f>
        <v/>
      </c>
      <c r="S20" s="6">
        <f>R20*4.7</f>
        <v/>
      </c>
      <c r="T20" s="7">
        <f>IF(L20&gt;0,R20/L20,0)</f>
        <v/>
      </c>
      <c r="U20" s="3" t="inlineStr">
        <is>
          <t>31/05/2026 14:17:27</t>
        </is>
      </c>
    </row>
    <row r="21">
      <c r="A21" s="3" t="inlineStr">
        <is>
          <t>584286598944359598</t>
        </is>
      </c>
      <c r="B21" s="3" t="inlineStr">
        <is>
          <t>待发货</t>
        </is>
      </c>
      <c r="C21" s="3" t="inlineStr">
        <is>
          <t>ER-A</t>
        </is>
      </c>
      <c r="D21" s="3" t="inlineStr">
        <is>
          <t>广州酒家传统鸡蛋卷454g</t>
        </is>
      </c>
      <c r="E21" s="3" t="inlineStr">
        <is>
          <t>Egg Roll 2สูตร ทองม้วนไข่กล่องเหล็กพรีเมี่ยม!! GuangZhou Restaurant 454g/480g กล่องล่ะ 24 แท่ง</t>
        </is>
      </c>
      <c r="F21" s="3" t="inlineStr">
        <is>
          <t>Traditional สูตรดั้งเดิม ไข่ล้วน</t>
        </is>
      </c>
      <c r="G21" s="6" t="n">
        <v>1</v>
      </c>
      <c r="H21" s="6" t="n">
        <v>643.5</v>
      </c>
      <c r="I21" s="6" t="n">
        <v>35.75</v>
      </c>
      <c r="J21" s="6" t="n">
        <v>88</v>
      </c>
      <c r="K21" s="6">
        <f>H21+I21</f>
        <v/>
      </c>
      <c r="L21" s="5">
        <f>K21/4.7</f>
        <v/>
      </c>
      <c r="M21" s="6" t="n">
        <v>40.25338607190941</v>
      </c>
      <c r="N21" s="6" t="n">
        <v>2</v>
      </c>
      <c r="O21" s="6">
        <f>(K21*0.1229+1.05)/4.7</f>
        <v/>
      </c>
      <c r="P21" s="6">
        <f>K21*0.0749/4.7</f>
        <v/>
      </c>
      <c r="Q21" s="5">
        <f>M21+N21+O21+P21</f>
        <v/>
      </c>
      <c r="R21" s="5">
        <f>L21-Q21</f>
        <v/>
      </c>
      <c r="S21" s="6">
        <f>R21*4.7</f>
        <v/>
      </c>
      <c r="T21" s="7">
        <f>IF(L21&gt;0,R21/L21,0)</f>
        <v/>
      </c>
      <c r="U21" s="3" t="inlineStr">
        <is>
          <t>31/05/2026 14:17:27</t>
        </is>
      </c>
    </row>
    <row r="22">
      <c r="A22" s="3" t="inlineStr">
        <is>
          <t>584286278323570070</t>
        </is>
      </c>
      <c r="B22" s="3" t="inlineStr">
        <is>
          <t>待发货</t>
        </is>
      </c>
      <c r="C22" s="3" t="inlineStr">
        <is>
          <t>C2</t>
        </is>
      </c>
      <c r="D22" s="3" t="inlineStr">
        <is>
          <t>魔芋笋2大袋</t>
        </is>
      </c>
      <c r="E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" s="3" t="inlineStr">
        <is>
          <t>รสเผ็ดหอม​, 20 ซอง 400g</t>
        </is>
      </c>
      <c r="G22" s="6" t="n">
        <v>1</v>
      </c>
      <c r="H22" s="6" t="n">
        <v>158</v>
      </c>
      <c r="I22" s="6" t="n">
        <v>0</v>
      </c>
      <c r="J22" s="6" t="n">
        <v>0</v>
      </c>
      <c r="K22" s="6">
        <f>H22+I22</f>
        <v/>
      </c>
      <c r="L22" s="5">
        <f>K22/4.7</f>
        <v/>
      </c>
      <c r="M22" s="6" t="n">
        <v>13.4</v>
      </c>
      <c r="N22" s="6" t="n">
        <v>1</v>
      </c>
      <c r="O22" s="6">
        <f>(K22*0.1229+1.05)/4.7</f>
        <v/>
      </c>
      <c r="P22" s="6">
        <f>K22*0.0749/4.7</f>
        <v/>
      </c>
      <c r="Q22" s="5">
        <f>M22+N22+O22+P22</f>
        <v/>
      </c>
      <c r="R22" s="5">
        <f>L22-Q22</f>
        <v/>
      </c>
      <c r="S22" s="6">
        <f>R22*4.7</f>
        <v/>
      </c>
      <c r="T22" s="7">
        <f>IF(L22&gt;0,R22/L22,0)</f>
        <v/>
      </c>
      <c r="U22" s="3" t="inlineStr">
        <is>
          <t>31/05/2026 13:54:41</t>
        </is>
      </c>
    </row>
    <row r="23">
      <c r="A23" s="3" t="inlineStr">
        <is>
          <t>584284334435107862</t>
        </is>
      </c>
      <c r="B23" s="3" t="inlineStr">
        <is>
          <t>待发货</t>
        </is>
      </c>
      <c r="C23" s="3" t="inlineStr">
        <is>
          <t>B2</t>
        </is>
      </c>
      <c r="D23" s="3" t="inlineStr">
        <is>
          <t>魔芋笋2大袋</t>
        </is>
      </c>
      <c r="E23" s="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F23" s="3" t="inlineStr">
        <is>
          <t>รสเปรี้ยวเผ็ด 2pcs</t>
        </is>
      </c>
      <c r="G23" s="6" t="n">
        <v>5</v>
      </c>
      <c r="H23" s="6" t="n">
        <v>1282.5</v>
      </c>
      <c r="I23" s="6" t="n">
        <v>64.77</v>
      </c>
      <c r="J23" s="6" t="n">
        <v>150</v>
      </c>
      <c r="K23" s="6">
        <f>H23+I23</f>
        <v/>
      </c>
      <c r="L23" s="5">
        <f>K23/4.7</f>
        <v/>
      </c>
      <c r="M23" s="6" t="n">
        <v>67</v>
      </c>
      <c r="N23" s="6" t="n">
        <v>1</v>
      </c>
      <c r="O23" s="6">
        <f>(K23*0.1229+1.05)/4.7</f>
        <v/>
      </c>
      <c r="P23" s="6">
        <f>K23*0.0749/4.7</f>
        <v/>
      </c>
      <c r="Q23" s="5">
        <f>M23+N23+O23+P23</f>
        <v/>
      </c>
      <c r="R23" s="5">
        <f>L23-Q23</f>
        <v/>
      </c>
      <c r="S23" s="6">
        <f>R23*4.7</f>
        <v/>
      </c>
      <c r="T23" s="7">
        <f>IF(L23&gt;0,R23/L23,0)</f>
        <v/>
      </c>
      <c r="U23" s="3" t="inlineStr">
        <is>
          <t>31/05/2026 11:46:31</t>
        </is>
      </c>
    </row>
    <row r="24">
      <c r="A24" s="3" t="inlineStr">
        <is>
          <t>584284334435107862</t>
        </is>
      </c>
      <c r="B24" s="3" t="inlineStr">
        <is>
          <t>待发货</t>
        </is>
      </c>
      <c r="C24" s="3" t="inlineStr">
        <is>
          <t>C2</t>
        </is>
      </c>
      <c r="D24" s="3" t="inlineStr">
        <is>
          <t>魔芋笋2大袋</t>
        </is>
      </c>
      <c r="E24" s="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F24" s="3" t="inlineStr">
        <is>
          <t>เผ็ดหอม 2pcs</t>
        </is>
      </c>
      <c r="G24" s="6" t="n">
        <v>6</v>
      </c>
      <c r="H24" s="6" t="n">
        <v>1282.5</v>
      </c>
      <c r="I24" s="6" t="n">
        <v>77.73</v>
      </c>
      <c r="J24" s="6" t="n">
        <v>150</v>
      </c>
      <c r="K24" s="6">
        <f>H24+I24</f>
        <v/>
      </c>
      <c r="L24" s="5">
        <f>K24/4.7</f>
        <v/>
      </c>
      <c r="M24" s="6" t="n">
        <v>80.39999999999999</v>
      </c>
      <c r="N24" s="6" t="n">
        <v>1</v>
      </c>
      <c r="O24" s="6">
        <f>(K24*0.1229+1.05)/4.7</f>
        <v/>
      </c>
      <c r="P24" s="6">
        <f>K24*0.0749/4.7</f>
        <v/>
      </c>
      <c r="Q24" s="5">
        <f>M24+N24+O24+P24</f>
        <v/>
      </c>
      <c r="R24" s="5">
        <f>L24-Q24</f>
        <v/>
      </c>
      <c r="S24" s="6">
        <f>R24*4.7</f>
        <v/>
      </c>
      <c r="T24" s="7">
        <f>IF(L24&gt;0,R24/L24,0)</f>
        <v/>
      </c>
      <c r="U24" s="3" t="inlineStr">
        <is>
          <t>31/05/2026 11:46:31</t>
        </is>
      </c>
    </row>
    <row r="25">
      <c r="A25" s="3" t="inlineStr">
        <is>
          <t>584283766337144509</t>
        </is>
      </c>
      <c r="B25" s="3" t="inlineStr">
        <is>
          <t>已取消</t>
        </is>
      </c>
      <c r="C25" s="3" t="inlineStr">
        <is>
          <t>C2</t>
        </is>
      </c>
      <c r="D25" s="3" t="inlineStr">
        <is>
          <t>魔芋笋2大袋</t>
        </is>
      </c>
      <c r="E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" s="3" t="inlineStr">
        <is>
          <t>รสเผ็ดหอม​, 20 ซอง 400g</t>
        </is>
      </c>
      <c r="G25" s="6" t="n">
        <v>1</v>
      </c>
      <c r="H25" s="6" t="n">
        <v>144.2</v>
      </c>
      <c r="I25" s="6" t="n">
        <v>10.8</v>
      </c>
      <c r="J25" s="6" t="n">
        <v>0</v>
      </c>
      <c r="K25" s="6">
        <f>H25+I25</f>
        <v/>
      </c>
      <c r="L25" s="5">
        <f>K25/4.7</f>
        <v/>
      </c>
      <c r="M25" s="6" t="n">
        <v>13.4</v>
      </c>
      <c r="N25" s="6" t="n">
        <v>1</v>
      </c>
      <c r="O25" s="6">
        <f>(K25*0.1229+1.05)/4.7</f>
        <v/>
      </c>
      <c r="P25" s="6">
        <f>K25*0.0749/4.7</f>
        <v/>
      </c>
      <c r="Q25" s="5">
        <f>M25+N25+O25+P25</f>
        <v/>
      </c>
      <c r="R25" s="5">
        <f>L25-Q25</f>
        <v/>
      </c>
      <c r="S25" s="6">
        <f>R25*4.7</f>
        <v/>
      </c>
      <c r="T25" s="7">
        <f>IF(L25&gt;0,R25/L25,0)</f>
        <v/>
      </c>
      <c r="U25" s="3" t="inlineStr">
        <is>
          <t>31/05/2026 11:02:44</t>
        </is>
      </c>
    </row>
    <row r="26">
      <c r="A26" s="3" t="inlineStr">
        <is>
          <t>584281922078672139</t>
        </is>
      </c>
      <c r="B26" s="3" t="inlineStr">
        <is>
          <t>待发货</t>
        </is>
      </c>
      <c r="C26" s="3" t="inlineStr">
        <is>
          <t>ER-B</t>
        </is>
      </c>
      <c r="D26" s="3" t="inlineStr">
        <is>
          <t>广州酒家黄油鸡蛋卷480g</t>
        </is>
      </c>
      <c r="E26" s="3" t="inlineStr">
        <is>
          <t>Egg Roll 2สูตร ทองม้วนไข่กล่องเหล็กพรีเมี่ยม!! GuangZhou Restaurant 454g/480g กล่องล่ะ 24 แท่ง</t>
        </is>
      </c>
      <c r="F26" s="3" t="inlineStr">
        <is>
          <t>Butter สูตรเนยสด พรีเมี่ยม</t>
        </is>
      </c>
      <c r="G26" s="6" t="n">
        <v>1</v>
      </c>
      <c r="H26" s="6" t="n">
        <v>658.2</v>
      </c>
      <c r="I26" s="6" t="n">
        <v>42.9</v>
      </c>
      <c r="J26" s="6" t="n">
        <v>0</v>
      </c>
      <c r="K26" s="6">
        <f>H26+I26</f>
        <v/>
      </c>
      <c r="L26" s="5">
        <f>K26/4.7</f>
        <v/>
      </c>
      <c r="M26" s="6" t="n">
        <v>45.49882436351998</v>
      </c>
      <c r="N26" s="6" t="n">
        <v>2</v>
      </c>
      <c r="O26" s="6">
        <f>(K26*0.1229+1.05)/4.7</f>
        <v/>
      </c>
      <c r="P26" s="6">
        <f>K26*0.0749/4.7</f>
        <v/>
      </c>
      <c r="Q26" s="5">
        <f>M26+N26+O26+P26</f>
        <v/>
      </c>
      <c r="R26" s="5">
        <f>L26-Q26</f>
        <v/>
      </c>
      <c r="S26" s="6">
        <f>R26*4.7</f>
        <v/>
      </c>
      <c r="T26" s="7">
        <f>IF(L26&gt;0,R26/L26,0)</f>
        <v/>
      </c>
      <c r="U26" s="3" t="inlineStr">
        <is>
          <t>31/05/2026 08:51:39</t>
        </is>
      </c>
    </row>
    <row r="27">
      <c r="A27" s="3" t="inlineStr">
        <is>
          <t>584281922078672139</t>
        </is>
      </c>
      <c r="B27" s="3" t="inlineStr">
        <is>
          <t>待发货</t>
        </is>
      </c>
      <c r="C27" s="3" t="inlineStr">
        <is>
          <t>ER-A</t>
        </is>
      </c>
      <c r="D27" s="3" t="inlineStr">
        <is>
          <t>广州酒家传统鸡蛋卷454g</t>
        </is>
      </c>
      <c r="E27" s="3" t="inlineStr">
        <is>
          <t>Egg Roll 2สูตร ทองม้วนไข่กล่องเหล็กพรีเมี่ยม!! GuangZhou Restaurant 454g/480g กล่องล่ะ 24 แท่ง</t>
        </is>
      </c>
      <c r="F27" s="3" t="inlineStr">
        <is>
          <t>Traditional สูตรดั้งเดิม ไข่ล้วน</t>
        </is>
      </c>
      <c r="G27" s="6" t="n">
        <v>1</v>
      </c>
      <c r="H27" s="6" t="n">
        <v>658.2</v>
      </c>
      <c r="I27" s="6" t="n">
        <v>42.9</v>
      </c>
      <c r="J27" s="6" t="n">
        <v>0</v>
      </c>
      <c r="K27" s="6">
        <f>H27+I27</f>
        <v/>
      </c>
      <c r="L27" s="5">
        <f>K27/4.7</f>
        <v/>
      </c>
      <c r="M27" s="6" t="n">
        <v>40.25338607190941</v>
      </c>
      <c r="N27" s="6" t="n">
        <v>2</v>
      </c>
      <c r="O27" s="6">
        <f>(K27*0.1229+1.05)/4.7</f>
        <v/>
      </c>
      <c r="P27" s="6">
        <f>K27*0.0749/4.7</f>
        <v/>
      </c>
      <c r="Q27" s="5">
        <f>M27+N27+O27+P27</f>
        <v/>
      </c>
      <c r="R27" s="5">
        <f>L27-Q27</f>
        <v/>
      </c>
      <c r="S27" s="6">
        <f>R27*4.7</f>
        <v/>
      </c>
      <c r="T27" s="7">
        <f>IF(L27&gt;0,R27/L27,0)</f>
        <v/>
      </c>
      <c r="U27" s="3" t="inlineStr">
        <is>
          <t>31/05/2026 08:51:39</t>
        </is>
      </c>
    </row>
    <row r="28">
      <c r="A28" s="3" t="inlineStr">
        <is>
          <t>584281697945421400</t>
        </is>
      </c>
      <c r="B28" s="3" t="inlineStr">
        <is>
          <t>待发货</t>
        </is>
      </c>
      <c r="C28" s="3" t="inlineStr">
        <is>
          <t>CK</t>
        </is>
      </c>
      <c r="D28" s="3" t="inlineStr">
        <is>
          <t>黑松露黑麦苏打饼干</t>
        </is>
      </c>
      <c r="E2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8" s="3" t="inlineStr">
        <is>
          <t>ค่าเริ่มต้น</t>
        </is>
      </c>
      <c r="G28" s="6" t="n">
        <v>1</v>
      </c>
      <c r="H28" s="6" t="n">
        <v>75</v>
      </c>
      <c r="I28" s="6" t="n">
        <v>30</v>
      </c>
      <c r="J28" s="6" t="n">
        <v>38</v>
      </c>
      <c r="K28" s="6">
        <f>H28+I28</f>
        <v/>
      </c>
      <c r="L28" s="5">
        <f>K28/4.7</f>
        <v/>
      </c>
      <c r="M28" s="6" t="n">
        <v>10.72665050209467</v>
      </c>
      <c r="N28" s="6" t="n">
        <v>1</v>
      </c>
      <c r="O28" s="6">
        <f>(K28*0.1229+1.05)/4.7</f>
        <v/>
      </c>
      <c r="P28" s="6">
        <f>K28*0.0749/4.7</f>
        <v/>
      </c>
      <c r="Q28" s="5">
        <f>M28+N28+O28+P28</f>
        <v/>
      </c>
      <c r="R28" s="5">
        <f>L28-Q28</f>
        <v/>
      </c>
      <c r="S28" s="6">
        <f>R28*4.7</f>
        <v/>
      </c>
      <c r="T28" s="7">
        <f>IF(L28&gt;0,R28/L28,0)</f>
        <v/>
      </c>
      <c r="U28" s="3" t="inlineStr">
        <is>
          <t>31/05/2026 08:35:01</t>
        </is>
      </c>
    </row>
    <row r="29">
      <c r="A29" s="3" t="inlineStr">
        <is>
          <t>584278873043272896</t>
        </is>
      </c>
      <c r="B29" s="3" t="inlineStr">
        <is>
          <t>待发货</t>
        </is>
      </c>
      <c r="C29" s="3" t="inlineStr">
        <is>
          <t>ER-A</t>
        </is>
      </c>
      <c r="D29" s="3" t="inlineStr">
        <is>
          <t>广州酒家传统鸡蛋卷454g</t>
        </is>
      </c>
      <c r="E29" s="3" t="inlineStr">
        <is>
          <t>Egg Roll 2สูตร ทองม้วนไข่กล่องเหล็กพรีเมี่ยม!! GuangZhou Restaurant 454g/480g กล่องล่ะ 24 แท่ง</t>
        </is>
      </c>
      <c r="F29" s="3" t="inlineStr">
        <is>
          <t>Traditional สูตรดั้งเดิม ไข่ล้วน</t>
        </is>
      </c>
      <c r="G29" s="6" t="n">
        <v>1</v>
      </c>
      <c r="H29" s="6" t="n">
        <v>360</v>
      </c>
      <c r="I29" s="6" t="n">
        <v>0</v>
      </c>
      <c r="J29" s="6" t="n">
        <v>38</v>
      </c>
      <c r="K29" s="6">
        <f>H29+I29</f>
        <v/>
      </c>
      <c r="L29" s="5">
        <f>K29/4.7</f>
        <v/>
      </c>
      <c r="M29" s="6" t="n">
        <v>40.25338607190941</v>
      </c>
      <c r="N29" s="6" t="n">
        <v>2</v>
      </c>
      <c r="O29" s="6">
        <f>(K29*0.1229+1.05)/4.7</f>
        <v/>
      </c>
      <c r="P29" s="6">
        <f>K29*0.0749/4.7</f>
        <v/>
      </c>
      <c r="Q29" s="5">
        <f>M29+N29+O29+P29</f>
        <v/>
      </c>
      <c r="R29" s="5">
        <f>L29-Q29</f>
        <v/>
      </c>
      <c r="S29" s="6">
        <f>R29*4.7</f>
        <v/>
      </c>
      <c r="T29" s="7">
        <f>IF(L29&gt;0,R29/L29,0)</f>
        <v/>
      </c>
      <c r="U29" s="3" t="inlineStr">
        <is>
          <t>31/05/2026 00:35:12</t>
        </is>
      </c>
    </row>
    <row r="30">
      <c r="A30" s="3" t="inlineStr">
        <is>
          <t>584278890946135232</t>
        </is>
      </c>
      <c r="B30" s="3" t="inlineStr">
        <is>
          <t>待发货</t>
        </is>
      </c>
      <c r="C30" s="3" t="inlineStr">
        <is>
          <t>ER-B</t>
        </is>
      </c>
      <c r="D30" s="3" t="inlineStr">
        <is>
          <t>广州酒家黄油鸡蛋卷480g</t>
        </is>
      </c>
      <c r="E30" s="3" t="inlineStr">
        <is>
          <t>Egg Roll 2สูตร ทองม้วนไข่กล่องเหล็กพรีเมี่ยม!! GuangZhou Restaurant 454g/480g กล่องล่ะ 24 แท่ง</t>
        </is>
      </c>
      <c r="F30" s="3" t="inlineStr">
        <is>
          <t>Butter สูตรเนยสด พรีเมี่ยม</t>
        </is>
      </c>
      <c r="G30" s="6" t="n">
        <v>1</v>
      </c>
      <c r="H30" s="6" t="n">
        <v>312.4</v>
      </c>
      <c r="I30" s="6" t="n">
        <v>42.6</v>
      </c>
      <c r="J30" s="6" t="n">
        <v>38</v>
      </c>
      <c r="K30" s="6">
        <f>H30+I30</f>
        <v/>
      </c>
      <c r="L30" s="5">
        <f>K30/4.7</f>
        <v/>
      </c>
      <c r="M30" s="6" t="n">
        <v>45.49882436351998</v>
      </c>
      <c r="N30" s="6" t="n">
        <v>2</v>
      </c>
      <c r="O30" s="6">
        <f>(K30*0.1229+1.05)/4.7</f>
        <v/>
      </c>
      <c r="P30" s="6">
        <f>K30*0.0749/4.7</f>
        <v/>
      </c>
      <c r="Q30" s="5">
        <f>M30+N30+O30+P30</f>
        <v/>
      </c>
      <c r="R30" s="5">
        <f>L30-Q30</f>
        <v/>
      </c>
      <c r="S30" s="6">
        <f>R30*4.7</f>
        <v/>
      </c>
      <c r="T30" s="7">
        <f>IF(L30&gt;0,R30/L30,0)</f>
        <v/>
      </c>
      <c r="U30" s="3" t="inlineStr">
        <is>
          <t>31/05/2026 00:34:49</t>
        </is>
      </c>
    </row>
    <row r="31">
      <c r="A31" s="3" t="inlineStr">
        <is>
          <t>584278895201715543</t>
        </is>
      </c>
      <c r="B31" s="3" t="inlineStr">
        <is>
          <t>待发货</t>
        </is>
      </c>
      <c r="C31" s="3" t="inlineStr">
        <is>
          <t>C1</t>
        </is>
      </c>
      <c r="D31" s="3" t="inlineStr">
        <is>
          <t>魔芋笋1大袋</t>
        </is>
      </c>
      <c r="E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" s="3" t="inlineStr">
        <is>
          <t>รสเผ็ดหอม​, 10 ซอง 200g</t>
        </is>
      </c>
      <c r="G31" s="6" t="n">
        <v>1</v>
      </c>
      <c r="H31" s="6" t="n">
        <v>69</v>
      </c>
      <c r="I31" s="6" t="n">
        <v>0</v>
      </c>
      <c r="J31" s="6" t="n">
        <v>35</v>
      </c>
      <c r="K31" s="6">
        <f>H31+I31</f>
        <v/>
      </c>
      <c r="L31" s="5">
        <f>K31/4.7</f>
        <v/>
      </c>
      <c r="M31" s="6" t="n">
        <v>6.699999999999999</v>
      </c>
      <c r="N31" s="6" t="n">
        <v>1</v>
      </c>
      <c r="O31" s="6">
        <f>(K31*0.1229+1.05)/4.7</f>
        <v/>
      </c>
      <c r="P31" s="6">
        <f>K31*0.0749/4.7</f>
        <v/>
      </c>
      <c r="Q31" s="5">
        <f>M31+N31+O31+P31</f>
        <v/>
      </c>
      <c r="R31" s="5">
        <f>L31-Q31</f>
        <v/>
      </c>
      <c r="S31" s="6">
        <f>R31*4.7</f>
        <v/>
      </c>
      <c r="T31" s="7">
        <f>IF(L31&gt;0,R31/L31,0)</f>
        <v/>
      </c>
      <c r="U31" s="3" t="inlineStr">
        <is>
          <t>31/05/2026 00:31:56</t>
        </is>
      </c>
    </row>
    <row r="32">
      <c r="A32" s="3" t="inlineStr">
        <is>
          <t>584277946584565540</t>
        </is>
      </c>
      <c r="B32" s="3" t="inlineStr">
        <is>
          <t>待发货</t>
        </is>
      </c>
      <c r="C32" s="3" t="inlineStr">
        <is>
          <t>B1</t>
        </is>
      </c>
      <c r="D32" s="3" t="inlineStr">
        <is>
          <t>魔芋笋1大袋</t>
        </is>
      </c>
      <c r="E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" s="3" t="inlineStr">
        <is>
          <t>รสเปรี้ยวเผ็ด​, 10 ซอง 200g</t>
        </is>
      </c>
      <c r="G32" s="6" t="n">
        <v>1</v>
      </c>
      <c r="H32" s="6" t="n">
        <v>107</v>
      </c>
      <c r="I32" s="6" t="n">
        <v>0</v>
      </c>
      <c r="J32" s="6" t="n">
        <v>0</v>
      </c>
      <c r="K32" s="6">
        <f>H32+I32</f>
        <v/>
      </c>
      <c r="L32" s="5">
        <f>K32/4.7</f>
        <v/>
      </c>
      <c r="M32" s="6" t="n">
        <v>6.699999999999999</v>
      </c>
      <c r="N32" s="6" t="n">
        <v>1</v>
      </c>
      <c r="O32" s="6">
        <f>(K32*0.1229+1.05)/4.7</f>
        <v/>
      </c>
      <c r="P32" s="6">
        <f>K32*0.0749/4.7</f>
        <v/>
      </c>
      <c r="Q32" s="5">
        <f>M32+N32+O32+P32</f>
        <v/>
      </c>
      <c r="R32" s="5">
        <f>L32-Q32</f>
        <v/>
      </c>
      <c r="S32" s="6">
        <f>R32*4.7</f>
        <v/>
      </c>
      <c r="T32" s="7">
        <f>IF(L32&gt;0,R32/L32,0)</f>
        <v/>
      </c>
      <c r="U32" s="3" t="inlineStr">
        <is>
          <t>30/05/2026 22:58:39</t>
        </is>
      </c>
    </row>
    <row r="33">
      <c r="A33" s="3" t="inlineStr">
        <is>
          <t>584277919428544292</t>
        </is>
      </c>
      <c r="B33" s="3" t="inlineStr">
        <is>
          <t>待发货</t>
        </is>
      </c>
      <c r="C33" s="3" t="inlineStr">
        <is>
          <t>C1</t>
        </is>
      </c>
      <c r="D33" s="3" t="inlineStr">
        <is>
          <t>魔芋笋1大袋</t>
        </is>
      </c>
      <c r="E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" s="3" t="inlineStr">
        <is>
          <t>รสเผ็ดหอม​, 10 ซอง 200g</t>
        </is>
      </c>
      <c r="G33" s="6" t="n">
        <v>2</v>
      </c>
      <c r="H33" s="6" t="n">
        <v>148</v>
      </c>
      <c r="I33" s="6" t="n">
        <v>0</v>
      </c>
      <c r="J33" s="6" t="n">
        <v>38</v>
      </c>
      <c r="K33" s="6">
        <f>H33+I33</f>
        <v/>
      </c>
      <c r="L33" s="5">
        <f>K33/4.7</f>
        <v/>
      </c>
      <c r="M33" s="6" t="n">
        <v>13.4</v>
      </c>
      <c r="N33" s="6" t="n">
        <v>1</v>
      </c>
      <c r="O33" s="6">
        <f>(K33*0.1229+1.05)/4.7</f>
        <v/>
      </c>
      <c r="P33" s="6">
        <f>K33*0.0749/4.7</f>
        <v/>
      </c>
      <c r="Q33" s="5">
        <f>M33+N33+O33+P33</f>
        <v/>
      </c>
      <c r="R33" s="5">
        <f>L33-Q33</f>
        <v/>
      </c>
      <c r="S33" s="6">
        <f>R33*4.7</f>
        <v/>
      </c>
      <c r="T33" s="7">
        <f>IF(L33&gt;0,R33/L33,0)</f>
        <v/>
      </c>
      <c r="U33" s="3" t="inlineStr">
        <is>
          <t>30/05/2026 22:57:31</t>
        </is>
      </c>
    </row>
    <row r="34">
      <c r="A34" s="3" t="inlineStr">
        <is>
          <t>584277681249027797</t>
        </is>
      </c>
      <c r="B34" s="3" t="inlineStr">
        <is>
          <t>待发货</t>
        </is>
      </c>
      <c r="C34" s="3" t="inlineStr">
        <is>
          <t>C5s</t>
        </is>
      </c>
      <c r="D34" s="3" t="inlineStr">
        <is>
          <t>香辣味魔芋笋5小袋</t>
        </is>
      </c>
      <c r="E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" s="3" t="inlineStr">
        <is>
          <t>รสเผ็ดหอม​, *ชุดเล็ก 5 ซอง 100g</t>
        </is>
      </c>
      <c r="G34" s="6" t="n">
        <v>1</v>
      </c>
      <c r="H34" s="6" t="n">
        <v>47</v>
      </c>
      <c r="I34" s="6" t="n">
        <v>0</v>
      </c>
      <c r="J34" s="6" t="n">
        <v>38</v>
      </c>
      <c r="K34" s="6">
        <f>H34+I34</f>
        <v/>
      </c>
      <c r="L34" s="5">
        <f>K34/4.7</f>
        <v/>
      </c>
      <c r="M34" s="6" t="n">
        <v>3.35</v>
      </c>
      <c r="N34" s="6" t="n">
        <v>1</v>
      </c>
      <c r="O34" s="6">
        <f>(K34*0.1229+1.05)/4.7</f>
        <v/>
      </c>
      <c r="P34" s="6">
        <f>K34*0.0749/4.7</f>
        <v/>
      </c>
      <c r="Q34" s="5">
        <f>M34+N34+O34+P34</f>
        <v/>
      </c>
      <c r="R34" s="5">
        <f>L34-Q34</f>
        <v/>
      </c>
      <c r="S34" s="6">
        <f>R34*4.7</f>
        <v/>
      </c>
      <c r="T34" s="7">
        <f>IF(L34&gt;0,R34/L34,0)</f>
        <v/>
      </c>
      <c r="U34" s="3" t="inlineStr">
        <is>
          <t>30/05/2026 22:42:31</t>
        </is>
      </c>
    </row>
    <row r="35">
      <c r="A35" s="3" t="inlineStr">
        <is>
          <t>584277706908993384</t>
        </is>
      </c>
      <c r="B35" s="3" t="inlineStr">
        <is>
          <t>已取消</t>
        </is>
      </c>
      <c r="C35" s="3" t="inlineStr">
        <is>
          <t>CK</t>
        </is>
      </c>
      <c r="D35" s="3" t="inlineStr">
        <is>
          <t>黑松露黑麦苏打饼干</t>
        </is>
      </c>
      <c r="E3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5" s="3" t="inlineStr">
        <is>
          <t>ค่าเริ่มต้น</t>
        </is>
      </c>
      <c r="G35" s="6" t="n">
        <v>2</v>
      </c>
      <c r="H35" s="6" t="n">
        <v>129.68</v>
      </c>
      <c r="I35" s="6" t="n">
        <v>69.81999999999999</v>
      </c>
      <c r="J35" s="6" t="n">
        <v>38</v>
      </c>
      <c r="K35" s="6">
        <f>H35+I35</f>
        <v/>
      </c>
      <c r="L35" s="5">
        <f>K35/4.7</f>
        <v/>
      </c>
      <c r="M35" s="6" t="n">
        <v>21.45330100418933</v>
      </c>
      <c r="N35" s="6" t="n">
        <v>1</v>
      </c>
      <c r="O35" s="6">
        <f>(K35*0.1229+1.05)/4.7</f>
        <v/>
      </c>
      <c r="P35" s="6">
        <f>K35*0.0749/4.7</f>
        <v/>
      </c>
      <c r="Q35" s="5">
        <f>M35+N35+O35+P35</f>
        <v/>
      </c>
      <c r="R35" s="5">
        <f>L35-Q35</f>
        <v/>
      </c>
      <c r="S35" s="6">
        <f>R35*4.7</f>
        <v/>
      </c>
      <c r="T35" s="7">
        <f>IF(L35&gt;0,R35/L35,0)</f>
        <v/>
      </c>
      <c r="U35" s="3" t="inlineStr">
        <is>
          <t>30/05/2026 22:40:21</t>
        </is>
      </c>
    </row>
    <row r="36">
      <c r="A36" s="3" t="inlineStr">
        <is>
          <t>584277629628548715</t>
        </is>
      </c>
      <c r="B36" s="3" t="inlineStr">
        <is>
          <t>待发货</t>
        </is>
      </c>
      <c r="C36" s="3" t="inlineStr">
        <is>
          <t>ER-A</t>
        </is>
      </c>
      <c r="D36" s="3" t="inlineStr">
        <is>
          <t>广州酒家传统鸡蛋卷454g</t>
        </is>
      </c>
      <c r="E36" s="3" t="inlineStr">
        <is>
          <t>Egg Roll 2สูตร ทองม้วนไข่กล่องเหล็กพรีเมี่ยม!! GuangZhou Restaurant 454g/480g กล่องล่ะ 24 แท่ง</t>
        </is>
      </c>
      <c r="F36" s="3" t="inlineStr">
        <is>
          <t>Traditional สูตรดั้งเดิม ไข่ล้วน</t>
        </is>
      </c>
      <c r="G36" s="6" t="n">
        <v>2</v>
      </c>
      <c r="H36" s="6" t="n">
        <v>643.5</v>
      </c>
      <c r="I36" s="6" t="n">
        <v>71.5</v>
      </c>
      <c r="J36" s="6" t="n">
        <v>35</v>
      </c>
      <c r="K36" s="6">
        <f>H36+I36</f>
        <v/>
      </c>
      <c r="L36" s="5">
        <f>K36/4.7</f>
        <v/>
      </c>
      <c r="M36" s="6" t="n">
        <v>80.50677214381882</v>
      </c>
      <c r="N36" s="6" t="n">
        <v>2</v>
      </c>
      <c r="O36" s="6">
        <f>(K36*0.1229+1.05)/4.7</f>
        <v/>
      </c>
      <c r="P36" s="6">
        <f>K36*0.0749/4.7</f>
        <v/>
      </c>
      <c r="Q36" s="5">
        <f>M36+N36+O36+P36</f>
        <v/>
      </c>
      <c r="R36" s="5">
        <f>L36-Q36</f>
        <v/>
      </c>
      <c r="S36" s="6">
        <f>R36*4.7</f>
        <v/>
      </c>
      <c r="T36" s="7">
        <f>IF(L36&gt;0,R36/L36,0)</f>
        <v/>
      </c>
      <c r="U36" s="3" t="inlineStr">
        <is>
          <t>30/05/2026 22:34:41</t>
        </is>
      </c>
    </row>
    <row r="37">
      <c r="A37" s="3" t="inlineStr">
        <is>
          <t>584276343032678248</t>
        </is>
      </c>
      <c r="B37" s="3" t="inlineStr">
        <is>
          <t>已取消</t>
        </is>
      </c>
      <c r="C37" s="3" t="inlineStr">
        <is>
          <t>CK</t>
        </is>
      </c>
      <c r="D37" s="3" t="inlineStr">
        <is>
          <t>黑松露黑麦苏打饼干</t>
        </is>
      </c>
      <c r="E3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7" s="3" t="inlineStr">
        <is>
          <t>ค่าเริ่มต้น</t>
        </is>
      </c>
      <c r="G37" s="6" t="n">
        <v>1</v>
      </c>
      <c r="H37" s="6" t="n">
        <v>70</v>
      </c>
      <c r="I37" s="6" t="n">
        <v>30</v>
      </c>
      <c r="J37" s="6" t="n">
        <v>38</v>
      </c>
      <c r="K37" s="6">
        <f>H37+I37</f>
        <v/>
      </c>
      <c r="L37" s="5">
        <f>K37/4.7</f>
        <v/>
      </c>
      <c r="M37" s="6" t="n">
        <v>10.72665050209467</v>
      </c>
      <c r="N37" s="6" t="n">
        <v>1</v>
      </c>
      <c r="O37" s="6">
        <f>(K37*0.1229+1.05)/4.7</f>
        <v/>
      </c>
      <c r="P37" s="6">
        <f>K37*0.0749/4.7</f>
        <v/>
      </c>
      <c r="Q37" s="5">
        <f>M37+N37+O37+P37</f>
        <v/>
      </c>
      <c r="R37" s="5">
        <f>L37-Q37</f>
        <v/>
      </c>
      <c r="S37" s="6">
        <f>R37*4.7</f>
        <v/>
      </c>
      <c r="T37" s="7">
        <f>IF(L37&gt;0,R37/L37,0)</f>
        <v/>
      </c>
      <c r="U37" s="3" t="inlineStr">
        <is>
          <t>30/05/2026 21:14:17</t>
        </is>
      </c>
    </row>
    <row r="38">
      <c r="A38" s="3" t="inlineStr">
        <is>
          <t>584275864667522891</t>
        </is>
      </c>
      <c r="B38" s="3" t="inlineStr">
        <is>
          <t>待发货</t>
        </is>
      </c>
      <c r="C38" s="3" t="inlineStr">
        <is>
          <t>C3</t>
        </is>
      </c>
      <c r="D38" s="3" t="inlineStr">
        <is>
          <t>魔芋笋3大袋</t>
        </is>
      </c>
      <c r="E38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8" s="3" t="inlineStr">
        <is>
          <t>รสเผ็ดหอม​, 3pcs  600g</t>
        </is>
      </c>
      <c r="G38" s="6" t="n">
        <v>1</v>
      </c>
      <c r="H38" s="6" t="n">
        <v>153</v>
      </c>
      <c r="I38" s="6" t="n">
        <v>27</v>
      </c>
      <c r="J38" s="6" t="n">
        <v>38</v>
      </c>
      <c r="K38" s="6">
        <f>H38+I38</f>
        <v/>
      </c>
      <c r="L38" s="5">
        <f>K38/4.7</f>
        <v/>
      </c>
      <c r="M38" s="6" t="n">
        <v>20.1</v>
      </c>
      <c r="N38" s="6" t="n">
        <v>1</v>
      </c>
      <c r="O38" s="6">
        <f>(K38*0.1229+1.05)/4.7</f>
        <v/>
      </c>
      <c r="P38" s="6">
        <f>K38*0.0749/4.7</f>
        <v/>
      </c>
      <c r="Q38" s="5">
        <f>M38+N38+O38+P38</f>
        <v/>
      </c>
      <c r="R38" s="5">
        <f>L38-Q38</f>
        <v/>
      </c>
      <c r="S38" s="6">
        <f>R38*4.7</f>
        <v/>
      </c>
      <c r="T38" s="7">
        <f>IF(L38&gt;0,R38/L38,0)</f>
        <v/>
      </c>
      <c r="U38" s="3" t="inlineStr">
        <is>
          <t>30/05/2026 20:43:57</t>
        </is>
      </c>
    </row>
    <row r="39">
      <c r="A39" s="3" t="inlineStr">
        <is>
          <t>584275655473530814</t>
        </is>
      </c>
      <c r="B39" s="3" t="inlineStr">
        <is>
          <t>待发货</t>
        </is>
      </c>
      <c r="C39" s="3" t="inlineStr">
        <is>
          <t>C3</t>
        </is>
      </c>
      <c r="D39" s="3" t="inlineStr">
        <is>
          <t>魔芋笋3大袋</t>
        </is>
      </c>
      <c r="E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" s="3" t="inlineStr">
        <is>
          <t>รสเผ็ดหอม​, 30 ซอง 600g</t>
        </is>
      </c>
      <c r="G39" s="6" t="n">
        <v>1</v>
      </c>
      <c r="H39" s="6" t="n">
        <v>146.2</v>
      </c>
      <c r="I39" s="6" t="n">
        <v>25.8</v>
      </c>
      <c r="J39" s="6" t="n">
        <v>38</v>
      </c>
      <c r="K39" s="6">
        <f>H39+I39</f>
        <v/>
      </c>
      <c r="L39" s="5">
        <f>K39/4.7</f>
        <v/>
      </c>
      <c r="M39" s="6" t="n">
        <v>20.1</v>
      </c>
      <c r="N39" s="6" t="n">
        <v>1</v>
      </c>
      <c r="O39" s="6">
        <f>(K39*0.1229+1.05)/4.7</f>
        <v/>
      </c>
      <c r="P39" s="6">
        <f>K39*0.0749/4.7</f>
        <v/>
      </c>
      <c r="Q39" s="5">
        <f>M39+N39+O39+P39</f>
        <v/>
      </c>
      <c r="R39" s="5">
        <f>L39-Q39</f>
        <v/>
      </c>
      <c r="S39" s="6">
        <f>R39*4.7</f>
        <v/>
      </c>
      <c r="T39" s="7">
        <f>IF(L39&gt;0,R39/L39,0)</f>
        <v/>
      </c>
      <c r="U39" s="3" t="inlineStr">
        <is>
          <t>30/05/2026 20:22:30</t>
        </is>
      </c>
    </row>
    <row r="40">
      <c r="A40" s="3" t="inlineStr">
        <is>
          <t>584274884606330078</t>
        </is>
      </c>
      <c r="B40" s="3" t="inlineStr">
        <is>
          <t>待发货</t>
        </is>
      </c>
      <c r="C40" s="3" t="inlineStr">
        <is>
          <t>B1</t>
        </is>
      </c>
      <c r="D40" s="3" t="inlineStr">
        <is>
          <t>魔芋笋1大袋</t>
        </is>
      </c>
      <c r="E40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0" s="3" t="inlineStr">
        <is>
          <t>รสเปรี้ยวเผ็ด​, 1pcs   200g</t>
        </is>
      </c>
      <c r="G40" s="6" t="n">
        <v>1</v>
      </c>
      <c r="H40" s="6" t="n">
        <v>55.2</v>
      </c>
      <c r="I40" s="6" t="n">
        <v>4.8</v>
      </c>
      <c r="J40" s="6" t="n">
        <v>38</v>
      </c>
      <c r="K40" s="6">
        <f>H40+I40</f>
        <v/>
      </c>
      <c r="L40" s="5">
        <f>K40/4.7</f>
        <v/>
      </c>
      <c r="M40" s="6" t="n">
        <v>6.699999999999999</v>
      </c>
      <c r="N40" s="6" t="n">
        <v>1</v>
      </c>
      <c r="O40" s="6">
        <f>(K40*0.1229+1.05)/4.7</f>
        <v/>
      </c>
      <c r="P40" s="6">
        <f>K40*0.0749/4.7</f>
        <v/>
      </c>
      <c r="Q40" s="5">
        <f>M40+N40+O40+P40</f>
        <v/>
      </c>
      <c r="R40" s="5">
        <f>L40-Q40</f>
        <v/>
      </c>
      <c r="S40" s="6">
        <f>R40*4.7</f>
        <v/>
      </c>
      <c r="T40" s="7">
        <f>IF(L40&gt;0,R40/L40,0)</f>
        <v/>
      </c>
      <c r="U40" s="3" t="inlineStr">
        <is>
          <t>30/05/2026 19:40:22</t>
        </is>
      </c>
    </row>
    <row r="41">
      <c r="A41" s="3" t="inlineStr">
        <is>
          <t>584274657414186785</t>
        </is>
      </c>
      <c r="B41" s="3" t="inlineStr">
        <is>
          <t>待发货</t>
        </is>
      </c>
      <c r="C41" s="3" t="inlineStr">
        <is>
          <t>ER-B</t>
        </is>
      </c>
      <c r="D41" s="3" t="inlineStr">
        <is>
          <t>广州酒家黄油鸡蛋卷480g</t>
        </is>
      </c>
      <c r="E41" s="3" t="inlineStr">
        <is>
          <t>Egg Roll 2สูตร ทองม้วนไข่กล่องเหล็กพรีเมี่ยม!! GuangZhou Restaurant 454g/480g กล่องล่ะ 24 แท่ง</t>
        </is>
      </c>
      <c r="F41" s="3" t="inlineStr">
        <is>
          <t>Butter สูตรเนยสด พรีเมี่ยม</t>
        </is>
      </c>
      <c r="G41" s="6" t="n">
        <v>2</v>
      </c>
      <c r="H41" s="6" t="n">
        <v>715</v>
      </c>
      <c r="I41" s="6" t="n">
        <v>0</v>
      </c>
      <c r="J41" s="6" t="n">
        <v>35</v>
      </c>
      <c r="K41" s="6">
        <f>H41+I41</f>
        <v/>
      </c>
      <c r="L41" s="5">
        <f>K41/4.7</f>
        <v/>
      </c>
      <c r="M41" s="6" t="n">
        <v>90.99764872703996</v>
      </c>
      <c r="N41" s="6" t="n">
        <v>2</v>
      </c>
      <c r="O41" s="6">
        <f>(K41*0.1229+1.05)/4.7</f>
        <v/>
      </c>
      <c r="P41" s="6">
        <f>K41*0.0749/4.7</f>
        <v/>
      </c>
      <c r="Q41" s="5">
        <f>M41+N41+O41+P41</f>
        <v/>
      </c>
      <c r="R41" s="5">
        <f>L41-Q41</f>
        <v/>
      </c>
      <c r="S41" s="6">
        <f>R41*4.7</f>
        <v/>
      </c>
      <c r="T41" s="7">
        <f>IF(L41&gt;0,R41/L41,0)</f>
        <v/>
      </c>
      <c r="U41" s="3" t="inlineStr">
        <is>
          <t>30/05/2026 19:28:19</t>
        </is>
      </c>
    </row>
    <row r="42">
      <c r="A42" s="3" t="inlineStr">
        <is>
          <t>584274439620232394</t>
        </is>
      </c>
      <c r="B42" s="3" t="inlineStr">
        <is>
          <t>待发货</t>
        </is>
      </c>
      <c r="C42" s="3" t="inlineStr">
        <is>
          <t>CK</t>
        </is>
      </c>
      <c r="D42" s="3" t="inlineStr">
        <is>
          <t>黑松露黑麦苏打饼干</t>
        </is>
      </c>
      <c r="E4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2" s="3" t="inlineStr">
        <is>
          <t>ค่าเริ่มต้น</t>
        </is>
      </c>
      <c r="G42" s="6" t="n">
        <v>1</v>
      </c>
      <c r="H42" s="6" t="n">
        <v>65</v>
      </c>
      <c r="I42" s="6" t="n">
        <v>40</v>
      </c>
      <c r="J42" s="6" t="n">
        <v>38</v>
      </c>
      <c r="K42" s="6">
        <f>H42+I42</f>
        <v/>
      </c>
      <c r="L42" s="5">
        <f>K42/4.7</f>
        <v/>
      </c>
      <c r="M42" s="6" t="n">
        <v>10.72665050209467</v>
      </c>
      <c r="N42" s="6" t="n">
        <v>1</v>
      </c>
      <c r="O42" s="6">
        <f>(K42*0.1229+1.05)/4.7</f>
        <v/>
      </c>
      <c r="P42" s="6">
        <f>K42*0.0749/4.7</f>
        <v/>
      </c>
      <c r="Q42" s="5">
        <f>M42+N42+O42+P42</f>
        <v/>
      </c>
      <c r="R42" s="5">
        <f>L42-Q42</f>
        <v/>
      </c>
      <c r="S42" s="6">
        <f>R42*4.7</f>
        <v/>
      </c>
      <c r="T42" s="7">
        <f>IF(L42&gt;0,R42/L42,0)</f>
        <v/>
      </c>
      <c r="U42" s="3" t="inlineStr">
        <is>
          <t>30/05/2026 19:11:13</t>
        </is>
      </c>
    </row>
    <row r="43">
      <c r="A43" s="3" t="inlineStr">
        <is>
          <t>584273570640660244</t>
        </is>
      </c>
      <c r="B43" s="3" t="inlineStr">
        <is>
          <t>待发货</t>
        </is>
      </c>
      <c r="C43" s="3" t="inlineStr">
        <is>
          <t>CK</t>
        </is>
      </c>
      <c r="D43" s="3" t="inlineStr">
        <is>
          <t>黑松露黑麦苏打饼干</t>
        </is>
      </c>
      <c r="E4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3" s="3" t="inlineStr">
        <is>
          <t>ค่าเริ่มต้น</t>
        </is>
      </c>
      <c r="G43" s="6" t="n">
        <v>1</v>
      </c>
      <c r="H43" s="6" t="n">
        <v>65</v>
      </c>
      <c r="I43" s="6" t="n">
        <v>40</v>
      </c>
      <c r="J43" s="6" t="n">
        <v>35</v>
      </c>
      <c r="K43" s="6">
        <f>H43+I43</f>
        <v/>
      </c>
      <c r="L43" s="5">
        <f>K43/4.7</f>
        <v/>
      </c>
      <c r="M43" s="6" t="n">
        <v>10.72665050209467</v>
      </c>
      <c r="N43" s="6" t="n">
        <v>1</v>
      </c>
      <c r="O43" s="6">
        <f>(K43*0.1229+1.05)/4.7</f>
        <v/>
      </c>
      <c r="P43" s="6">
        <f>K43*0.0749/4.7</f>
        <v/>
      </c>
      <c r="Q43" s="5">
        <f>M43+N43+O43+P43</f>
        <v/>
      </c>
      <c r="R43" s="5">
        <f>L43-Q43</f>
        <v/>
      </c>
      <c r="S43" s="6">
        <f>R43*4.7</f>
        <v/>
      </c>
      <c r="T43" s="7">
        <f>IF(L43&gt;0,R43/L43,0)</f>
        <v/>
      </c>
      <c r="U43" s="3" t="inlineStr">
        <is>
          <t>30/05/2026 18:09:54</t>
        </is>
      </c>
    </row>
    <row r="44">
      <c r="A44" s="3" t="inlineStr">
        <is>
          <t>584272256873301850</t>
        </is>
      </c>
      <c r="B44" s="3" t="inlineStr">
        <is>
          <t>已取消</t>
        </is>
      </c>
      <c r="C44" s="3" t="inlineStr">
        <is>
          <t>CK</t>
        </is>
      </c>
      <c r="D44" s="3" t="inlineStr">
        <is>
          <t>黑松露黑麦苏打饼干</t>
        </is>
      </c>
      <c r="E4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4" s="3" t="inlineStr">
        <is>
          <t>ค่าเริ่มต้น</t>
        </is>
      </c>
      <c r="G44" s="6" t="n">
        <v>1</v>
      </c>
      <c r="H44" s="6" t="n">
        <v>100</v>
      </c>
      <c r="I44" s="6" t="n">
        <v>0</v>
      </c>
      <c r="J44" s="6" t="n">
        <v>35</v>
      </c>
      <c r="K44" s="6">
        <f>H44+I44</f>
        <v/>
      </c>
      <c r="L44" s="5">
        <f>K44/4.7</f>
        <v/>
      </c>
      <c r="M44" s="6" t="n">
        <v>10.72665050209467</v>
      </c>
      <c r="N44" s="6" t="n">
        <v>1</v>
      </c>
      <c r="O44" s="6">
        <f>(K44*0.1229+1.05)/4.7</f>
        <v/>
      </c>
      <c r="P44" s="6">
        <f>K44*0.0749/4.7</f>
        <v/>
      </c>
      <c r="Q44" s="5">
        <f>M44+N44+O44+P44</f>
        <v/>
      </c>
      <c r="R44" s="5">
        <f>L44-Q44</f>
        <v/>
      </c>
      <c r="S44" s="6">
        <f>R44*4.7</f>
        <v/>
      </c>
      <c r="T44" s="7">
        <f>IF(L44&gt;0,R44/L44,0)</f>
        <v/>
      </c>
      <c r="U44" s="3" t="inlineStr">
        <is>
          <t>30/05/2026 16:30:49</t>
        </is>
      </c>
    </row>
    <row r="45">
      <c r="A45" s="3" t="inlineStr">
        <is>
          <t>584271861428421954</t>
        </is>
      </c>
      <c r="B45" s="3" t="inlineStr">
        <is>
          <t>待发货</t>
        </is>
      </c>
      <c r="C45" s="3" t="inlineStr">
        <is>
          <t>ER-B</t>
        </is>
      </c>
      <c r="D45" s="3" t="inlineStr">
        <is>
          <t>广州酒家黄油鸡蛋卷480g</t>
        </is>
      </c>
      <c r="E45" s="3" t="inlineStr">
        <is>
          <t>Egg Roll 2สูตร ทองม้วนไข่กล่องเหล็กพรีเมี่ยม!! GuangZhou Restaurant 454g/480g กล่องล่ะ 24 แท่ง</t>
        </is>
      </c>
      <c r="F45" s="3" t="inlineStr">
        <is>
          <t>Butter สูตรเนยสด พรีเมี่ยม</t>
        </is>
      </c>
      <c r="G45" s="6" t="n">
        <v>1</v>
      </c>
      <c r="H45" s="6" t="n">
        <v>360</v>
      </c>
      <c r="I45" s="6" t="n">
        <v>0</v>
      </c>
      <c r="J45" s="6" t="n">
        <v>38</v>
      </c>
      <c r="K45" s="6">
        <f>H45+I45</f>
        <v/>
      </c>
      <c r="L45" s="5">
        <f>K45/4.7</f>
        <v/>
      </c>
      <c r="M45" s="6" t="n">
        <v>45.49882436351998</v>
      </c>
      <c r="N45" s="6" t="n">
        <v>2</v>
      </c>
      <c r="O45" s="6">
        <f>(K45*0.1229+1.05)/4.7</f>
        <v/>
      </c>
      <c r="P45" s="6">
        <f>K45*0.0749/4.7</f>
        <v/>
      </c>
      <c r="Q45" s="5">
        <f>M45+N45+O45+P45</f>
        <v/>
      </c>
      <c r="R45" s="5">
        <f>L45-Q45</f>
        <v/>
      </c>
      <c r="S45" s="6">
        <f>R45*4.7</f>
        <v/>
      </c>
      <c r="T45" s="7">
        <f>IF(L45&gt;0,R45/L45,0)</f>
        <v/>
      </c>
      <c r="U45" s="3" t="inlineStr">
        <is>
          <t>30/05/2026 15:59:46</t>
        </is>
      </c>
    </row>
    <row r="46">
      <c r="A46" s="3" t="inlineStr">
        <is>
          <t>584271845530961218</t>
        </is>
      </c>
      <c r="B46" s="3" t="inlineStr">
        <is>
          <t>待发货</t>
        </is>
      </c>
      <c r="C46" s="3" t="inlineStr">
        <is>
          <t>ER-B</t>
        </is>
      </c>
      <c r="D46" s="3" t="inlineStr">
        <is>
          <t>广州酒家黄油鸡蛋卷480g</t>
        </is>
      </c>
      <c r="E46" s="3" t="inlineStr">
        <is>
          <t>Egg Roll 2สูตร ทองม้วนไข่กล่องเหล็กพรีเมี่ยม!! GuangZhou Restaurant 454g/480g กล่องล่ะ 24 แท่ง</t>
        </is>
      </c>
      <c r="F46" s="3" t="inlineStr">
        <is>
          <t>Butter สูตรเนยสด พรีเมี่ยม</t>
        </is>
      </c>
      <c r="G46" s="6" t="n">
        <v>1</v>
      </c>
      <c r="H46" s="6" t="n">
        <v>319.5</v>
      </c>
      <c r="I46" s="6" t="n">
        <v>35.5</v>
      </c>
      <c r="J46" s="6" t="n">
        <v>35</v>
      </c>
      <c r="K46" s="6">
        <f>H46+I46</f>
        <v/>
      </c>
      <c r="L46" s="5">
        <f>K46/4.7</f>
        <v/>
      </c>
      <c r="M46" s="6" t="n">
        <v>45.49882436351998</v>
      </c>
      <c r="N46" s="6" t="n">
        <v>2</v>
      </c>
      <c r="O46" s="6">
        <f>(K46*0.1229+1.05)/4.7</f>
        <v/>
      </c>
      <c r="P46" s="6">
        <f>K46*0.0749/4.7</f>
        <v/>
      </c>
      <c r="Q46" s="5">
        <f>M46+N46+O46+P46</f>
        <v/>
      </c>
      <c r="R46" s="5">
        <f>L46-Q46</f>
        <v/>
      </c>
      <c r="S46" s="6">
        <f>R46*4.7</f>
        <v/>
      </c>
      <c r="T46" s="7">
        <f>IF(L46&gt;0,R46/L46,0)</f>
        <v/>
      </c>
      <c r="U46" s="3" t="inlineStr">
        <is>
          <t>30/05/2026 15:57:49</t>
        </is>
      </c>
    </row>
    <row r="47">
      <c r="A47" s="3" t="inlineStr">
        <is>
          <t>584270970035799220</t>
        </is>
      </c>
      <c r="B47" s="3" t="inlineStr">
        <is>
          <t>待发货</t>
        </is>
      </c>
      <c r="C47" s="3" t="inlineStr">
        <is>
          <t>CK</t>
        </is>
      </c>
      <c r="D47" s="3" t="inlineStr">
        <is>
          <t>黑松露黑麦苏打饼干</t>
        </is>
      </c>
      <c r="E4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7" s="3" t="inlineStr">
        <is>
          <t>ค่าเริ่มต้น</t>
        </is>
      </c>
      <c r="G47" s="6" t="n">
        <v>1</v>
      </c>
      <c r="H47" s="6" t="n">
        <v>100</v>
      </c>
      <c r="I47" s="6" t="n">
        <v>0</v>
      </c>
      <c r="J47" s="6" t="n">
        <v>28</v>
      </c>
      <c r="K47" s="6">
        <f>H47+I47</f>
        <v/>
      </c>
      <c r="L47" s="5">
        <f>K47/4.7</f>
        <v/>
      </c>
      <c r="M47" s="6" t="n">
        <v>10.72665050209467</v>
      </c>
      <c r="N47" s="6" t="n">
        <v>1</v>
      </c>
      <c r="O47" s="6">
        <f>(K47*0.1229+1.05)/4.7</f>
        <v/>
      </c>
      <c r="P47" s="6">
        <f>K47*0.0749/4.7</f>
        <v/>
      </c>
      <c r="Q47" s="5">
        <f>M47+N47+O47+P47</f>
        <v/>
      </c>
      <c r="R47" s="5">
        <f>L47-Q47</f>
        <v/>
      </c>
      <c r="S47" s="6">
        <f>R47*4.7</f>
        <v/>
      </c>
      <c r="T47" s="7">
        <f>IF(L47&gt;0,R47/L47,0)</f>
        <v/>
      </c>
      <c r="U47" s="3" t="inlineStr">
        <is>
          <t>30/05/2026 14:52:18</t>
        </is>
      </c>
    </row>
    <row r="48">
      <c r="A48" s="3" t="inlineStr">
        <is>
          <t>584270272036045904</t>
        </is>
      </c>
      <c r="B48" s="3" t="inlineStr">
        <is>
          <t>待发货</t>
        </is>
      </c>
      <c r="C48" s="3" t="inlineStr">
        <is>
          <t>C3</t>
        </is>
      </c>
      <c r="D48" s="3" t="inlineStr">
        <is>
          <t>魔芋笋3大袋</t>
        </is>
      </c>
      <c r="E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" s="3" t="inlineStr">
        <is>
          <t>รสเผ็ดหอม​, 30 ซอง 600g</t>
        </is>
      </c>
      <c r="G48" s="6" t="n">
        <v>3</v>
      </c>
      <c r="H48" s="6" t="n">
        <v>583.3099999999999</v>
      </c>
      <c r="I48" s="6" t="n">
        <v>46.44</v>
      </c>
      <c r="J48" s="6" t="n">
        <v>54</v>
      </c>
      <c r="K48" s="6">
        <f>H48+I48</f>
        <v/>
      </c>
      <c r="L48" s="5">
        <f>K48/4.7</f>
        <v/>
      </c>
      <c r="M48" s="6" t="n">
        <v>60.3</v>
      </c>
      <c r="N48" s="6" t="n">
        <v>1</v>
      </c>
      <c r="O48" s="6">
        <f>(K48*0.1229+1.05)/4.7</f>
        <v/>
      </c>
      <c r="P48" s="6">
        <f>K48*0.0749/4.7</f>
        <v/>
      </c>
      <c r="Q48" s="5">
        <f>M48+N48+O48+P48</f>
        <v/>
      </c>
      <c r="R48" s="5">
        <f>L48-Q48</f>
        <v/>
      </c>
      <c r="S48" s="6">
        <f>R48*4.7</f>
        <v/>
      </c>
      <c r="T48" s="7">
        <f>IF(L48&gt;0,R48/L48,0)</f>
        <v/>
      </c>
      <c r="U48" s="3" t="inlineStr">
        <is>
          <t>30/05/2026 13:58:58</t>
        </is>
      </c>
    </row>
    <row r="49">
      <c r="A49" s="3" t="inlineStr">
        <is>
          <t>584270272036045904</t>
        </is>
      </c>
      <c r="B49" s="3" t="inlineStr">
        <is>
          <t>待发货</t>
        </is>
      </c>
      <c r="C49" s="3" t="inlineStr">
        <is>
          <t>B2</t>
        </is>
      </c>
      <c r="D49" s="3" t="inlineStr">
        <is>
          <t>魔芋笋2大袋</t>
        </is>
      </c>
      <c r="E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" s="3" t="inlineStr">
        <is>
          <t>รสเปรี้ยวเผ็ด​, 20 ซอง 400g</t>
        </is>
      </c>
      <c r="G49" s="6" t="n">
        <v>1</v>
      </c>
      <c r="H49" s="6" t="n">
        <v>583.3099999999999</v>
      </c>
      <c r="I49" s="6" t="n">
        <v>11.25</v>
      </c>
      <c r="J49" s="6" t="n">
        <v>54</v>
      </c>
      <c r="K49" s="6">
        <f>H49+I49</f>
        <v/>
      </c>
      <c r="L49" s="5">
        <f>K49/4.7</f>
        <v/>
      </c>
      <c r="M49" s="6" t="n">
        <v>13.4</v>
      </c>
      <c r="N49" s="6" t="n">
        <v>1</v>
      </c>
      <c r="O49" s="6">
        <f>(K49*0.1229+1.05)/4.7</f>
        <v/>
      </c>
      <c r="P49" s="6">
        <f>K49*0.0749/4.7</f>
        <v/>
      </c>
      <c r="Q49" s="5">
        <f>M49+N49+O49+P49</f>
        <v/>
      </c>
      <c r="R49" s="5">
        <f>L49-Q49</f>
        <v/>
      </c>
      <c r="S49" s="6">
        <f>R49*4.7</f>
        <v/>
      </c>
      <c r="T49" s="7">
        <f>IF(L49&gt;0,R49/L49,0)</f>
        <v/>
      </c>
      <c r="U49" s="3" t="inlineStr">
        <is>
          <t>30/05/2026 13:58:58</t>
        </is>
      </c>
    </row>
    <row r="50">
      <c r="A50" s="3" t="inlineStr">
        <is>
          <t>584269274596607780</t>
        </is>
      </c>
      <c r="B50" s="3" t="inlineStr">
        <is>
          <t>已发货</t>
        </is>
      </c>
      <c r="C50" s="3" t="inlineStr">
        <is>
          <t>CK</t>
        </is>
      </c>
      <c r="D50" s="3" t="inlineStr">
        <is>
          <t>黑松露黑麦苏打饼干</t>
        </is>
      </c>
      <c r="E5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0" s="3" t="inlineStr">
        <is>
          <t>ค่าเริ่มต้น</t>
        </is>
      </c>
      <c r="G50" s="6" t="n">
        <v>1</v>
      </c>
      <c r="H50" s="6" t="n">
        <v>100</v>
      </c>
      <c r="I50" s="6" t="n">
        <v>0</v>
      </c>
      <c r="J50" s="6" t="n">
        <v>38</v>
      </c>
      <c r="K50" s="6">
        <f>H50+I50</f>
        <v/>
      </c>
      <c r="L50" s="5">
        <f>K50/4.7</f>
        <v/>
      </c>
      <c r="M50" s="6" t="n">
        <v>10.72665050209467</v>
      </c>
      <c r="N50" s="6" t="n">
        <v>1</v>
      </c>
      <c r="O50" s="6">
        <f>(K50*0.1229+1.05)/4.7</f>
        <v/>
      </c>
      <c r="P50" s="6">
        <f>K50*0.0749/4.7</f>
        <v/>
      </c>
      <c r="Q50" s="5">
        <f>M50+N50+O50+P50</f>
        <v/>
      </c>
      <c r="R50" s="5">
        <f>L50-Q50</f>
        <v/>
      </c>
      <c r="S50" s="6">
        <f>R50*4.7</f>
        <v/>
      </c>
      <c r="T50" s="7">
        <f>IF(L50&gt;0,R50/L50,0)</f>
        <v/>
      </c>
      <c r="U50" s="3" t="inlineStr">
        <is>
          <t>30/05/2026 12:54:01</t>
        </is>
      </c>
    </row>
    <row r="51">
      <c r="A51" s="3" t="inlineStr">
        <is>
          <t>584268387726886381</t>
        </is>
      </c>
      <c r="B51" s="3" t="inlineStr">
        <is>
          <t>已发货</t>
        </is>
      </c>
      <c r="C51" s="3" t="inlineStr">
        <is>
          <t>CK</t>
        </is>
      </c>
      <c r="D51" s="3" t="inlineStr">
        <is>
          <t>黑松露黑麦苏打饼干</t>
        </is>
      </c>
      <c r="E5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1" s="3" t="inlineStr">
        <is>
          <t>ค่าเริ่มต้น</t>
        </is>
      </c>
      <c r="G51" s="6" t="n">
        <v>1</v>
      </c>
      <c r="H51" s="6" t="n">
        <v>70</v>
      </c>
      <c r="I51" s="6" t="n">
        <v>30</v>
      </c>
      <c r="J51" s="6" t="n">
        <v>35</v>
      </c>
      <c r="K51" s="6">
        <f>H51+I51</f>
        <v/>
      </c>
      <c r="L51" s="5">
        <f>K51/4.7</f>
        <v/>
      </c>
      <c r="M51" s="6" t="n">
        <v>10.72665050209467</v>
      </c>
      <c r="N51" s="6" t="n">
        <v>1</v>
      </c>
      <c r="O51" s="6">
        <f>(K51*0.1229+1.05)/4.7</f>
        <v/>
      </c>
      <c r="P51" s="6">
        <f>K51*0.0749/4.7</f>
        <v/>
      </c>
      <c r="Q51" s="5">
        <f>M51+N51+O51+P51</f>
        <v/>
      </c>
      <c r="R51" s="5">
        <f>L51-Q51</f>
        <v/>
      </c>
      <c r="S51" s="6">
        <f>R51*4.7</f>
        <v/>
      </c>
      <c r="T51" s="7">
        <f>IF(L51&gt;0,R51/L51,0)</f>
        <v/>
      </c>
      <c r="U51" s="3" t="inlineStr">
        <is>
          <t>30/05/2026 11:54:53</t>
        </is>
      </c>
    </row>
    <row r="52">
      <c r="A52" s="3" t="inlineStr">
        <is>
          <t>584266090219013606</t>
        </is>
      </c>
      <c r="B52" s="3" t="inlineStr">
        <is>
          <t>已发货</t>
        </is>
      </c>
      <c r="C52" s="3" t="inlineStr">
        <is>
          <t>CK</t>
        </is>
      </c>
      <c r="D52" s="3" t="inlineStr">
        <is>
          <t>黑松露黑麦苏打饼干</t>
        </is>
      </c>
      <c r="E5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2" s="3" t="inlineStr">
        <is>
          <t>ค่าเริ่มต้น</t>
        </is>
      </c>
      <c r="G52" s="6" t="n">
        <v>2</v>
      </c>
      <c r="H52" s="6" t="n">
        <v>183.54</v>
      </c>
      <c r="I52" s="6" t="n">
        <v>15.96</v>
      </c>
      <c r="J52" s="6" t="n">
        <v>35</v>
      </c>
      <c r="K52" s="6">
        <f>H52+I52</f>
        <v/>
      </c>
      <c r="L52" s="5">
        <f>K52/4.7</f>
        <v/>
      </c>
      <c r="M52" s="6" t="n">
        <v>21.45330100418933</v>
      </c>
      <c r="N52" s="6" t="n">
        <v>1</v>
      </c>
      <c r="O52" s="6">
        <f>(K52*0.1229+1.05)/4.7</f>
        <v/>
      </c>
      <c r="P52" s="6">
        <f>K52*0.0749/4.7</f>
        <v/>
      </c>
      <c r="Q52" s="5">
        <f>M52+N52+O52+P52</f>
        <v/>
      </c>
      <c r="R52" s="5">
        <f>L52-Q52</f>
        <v/>
      </c>
      <c r="S52" s="6">
        <f>R52*4.7</f>
        <v/>
      </c>
      <c r="T52" s="7">
        <f>IF(L52&gt;0,R52/L52,0)</f>
        <v/>
      </c>
      <c r="U52" s="3" t="inlineStr">
        <is>
          <t>30/05/2026 09:11:34</t>
        </is>
      </c>
    </row>
    <row r="53">
      <c r="A53" s="3" t="inlineStr">
        <is>
          <t>584265677798541246</t>
        </is>
      </c>
      <c r="B53" s="3" t="inlineStr">
        <is>
          <t>已发货</t>
        </is>
      </c>
      <c r="C53" s="3" t="inlineStr">
        <is>
          <t>C3</t>
        </is>
      </c>
      <c r="D53" s="3" t="inlineStr">
        <is>
          <t>魔芋笋3大袋</t>
        </is>
      </c>
      <c r="E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" s="3" t="inlineStr">
        <is>
          <t>รสเผ็ดหอม​, 30 ซอง 600g</t>
        </is>
      </c>
      <c r="G53" s="6" t="n">
        <v>1</v>
      </c>
      <c r="H53" s="6" t="n">
        <v>172</v>
      </c>
      <c r="I53" s="6" t="n">
        <v>0</v>
      </c>
      <c r="J53" s="6" t="n">
        <v>38</v>
      </c>
      <c r="K53" s="6">
        <f>H53+I53</f>
        <v/>
      </c>
      <c r="L53" s="5">
        <f>K53/4.7</f>
        <v/>
      </c>
      <c r="M53" s="6" t="n">
        <v>20.1</v>
      </c>
      <c r="N53" s="6" t="n">
        <v>1</v>
      </c>
      <c r="O53" s="6">
        <f>(K53*0.1229+1.05)/4.7</f>
        <v/>
      </c>
      <c r="P53" s="6">
        <f>K53*0.0749/4.7</f>
        <v/>
      </c>
      <c r="Q53" s="5">
        <f>M53+N53+O53+P53</f>
        <v/>
      </c>
      <c r="R53" s="5">
        <f>L53-Q53</f>
        <v/>
      </c>
      <c r="S53" s="6">
        <f>R53*4.7</f>
        <v/>
      </c>
      <c r="T53" s="7">
        <f>IF(L53&gt;0,R53/L53,0)</f>
        <v/>
      </c>
      <c r="U53" s="3" t="inlineStr">
        <is>
          <t>30/05/2026 08:41:38</t>
        </is>
      </c>
    </row>
    <row r="54">
      <c r="A54" s="3" t="inlineStr">
        <is>
          <t>584265012497581845</t>
        </is>
      </c>
      <c r="B54" s="3" t="inlineStr">
        <is>
          <t>已发货</t>
        </is>
      </c>
      <c r="C54" s="3" t="inlineStr">
        <is>
          <t>B1</t>
        </is>
      </c>
      <c r="D54" s="3" t="inlineStr">
        <is>
          <t>魔芋笋1大袋</t>
        </is>
      </c>
      <c r="E54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54" s="3" t="inlineStr">
        <is>
          <t>รสเปรี้ยวเผ็ด​, 1pcs   200g</t>
        </is>
      </c>
      <c r="G54" s="6" t="n">
        <v>1</v>
      </c>
      <c r="H54" s="6" t="n">
        <v>60</v>
      </c>
      <c r="I54" s="6" t="n">
        <v>0</v>
      </c>
      <c r="J54" s="6" t="n">
        <v>35</v>
      </c>
      <c r="K54" s="6">
        <f>H54+I54</f>
        <v/>
      </c>
      <c r="L54" s="5">
        <f>K54/4.7</f>
        <v/>
      </c>
      <c r="M54" s="6" t="n">
        <v>6.699999999999999</v>
      </c>
      <c r="N54" s="6" t="n">
        <v>1</v>
      </c>
      <c r="O54" s="6">
        <f>(K54*0.1229+1.05)/4.7</f>
        <v/>
      </c>
      <c r="P54" s="6">
        <f>K54*0.0749/4.7</f>
        <v/>
      </c>
      <c r="Q54" s="5">
        <f>M54+N54+O54+P54</f>
        <v/>
      </c>
      <c r="R54" s="5">
        <f>L54-Q54</f>
        <v/>
      </c>
      <c r="S54" s="6">
        <f>R54*4.7</f>
        <v/>
      </c>
      <c r="T54" s="7">
        <f>IF(L54&gt;0,R54/L54,0)</f>
        <v/>
      </c>
      <c r="U54" s="3" t="inlineStr">
        <is>
          <t>30/05/2026 07:41:41</t>
        </is>
      </c>
    </row>
    <row r="55">
      <c r="A55" s="3" t="inlineStr">
        <is>
          <t>584263067148060013</t>
        </is>
      </c>
      <c r="B55" s="3" t="inlineStr">
        <is>
          <t>已发货</t>
        </is>
      </c>
      <c r="C55" s="3" t="inlineStr">
        <is>
          <t>CK</t>
        </is>
      </c>
      <c r="D55" s="3" t="inlineStr">
        <is>
          <t>黑松露黑麦苏打饼干</t>
        </is>
      </c>
      <c r="E5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5" s="3" t="inlineStr">
        <is>
          <t>ค่าเริ่มต้น</t>
        </is>
      </c>
      <c r="G55" s="6" t="n">
        <v>1</v>
      </c>
      <c r="H55" s="6" t="n">
        <v>70</v>
      </c>
      <c r="I55" s="6" t="n">
        <v>30</v>
      </c>
      <c r="J55" s="6" t="n">
        <v>38</v>
      </c>
      <c r="K55" s="6">
        <f>H55+I55</f>
        <v/>
      </c>
      <c r="L55" s="5">
        <f>K55/4.7</f>
        <v/>
      </c>
      <c r="M55" s="6" t="n">
        <v>10.72665050209467</v>
      </c>
      <c r="N55" s="6" t="n">
        <v>1</v>
      </c>
      <c r="O55" s="6">
        <f>(K55*0.1229+1.05)/4.7</f>
        <v/>
      </c>
      <c r="P55" s="6">
        <f>K55*0.0749/4.7</f>
        <v/>
      </c>
      <c r="Q55" s="5">
        <f>M55+N55+O55+P55</f>
        <v/>
      </c>
      <c r="R55" s="5">
        <f>L55-Q55</f>
        <v/>
      </c>
      <c r="S55" s="6">
        <f>R55*4.7</f>
        <v/>
      </c>
      <c r="T55" s="7">
        <f>IF(L55&gt;0,R55/L55,0)</f>
        <v/>
      </c>
      <c r="U55" s="3" t="inlineStr">
        <is>
          <t>30/05/2026 01:28:16</t>
        </is>
      </c>
    </row>
    <row r="56">
      <c r="A56" s="3" t="inlineStr">
        <is>
          <t>584262823844218623</t>
        </is>
      </c>
      <c r="B56" s="3" t="inlineStr">
        <is>
          <t>已发货</t>
        </is>
      </c>
      <c r="C56" s="3" t="inlineStr">
        <is>
          <t>C3</t>
        </is>
      </c>
      <c r="D56" s="3" t="inlineStr">
        <is>
          <t>魔芋笋3大袋</t>
        </is>
      </c>
      <c r="E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" s="3" t="inlineStr">
        <is>
          <t>รสเผ็ดหอม​, 30 ซอง 600g</t>
        </is>
      </c>
      <c r="G56" s="6" t="n">
        <v>1</v>
      </c>
      <c r="H56" s="6" t="n">
        <v>221.62</v>
      </c>
      <c r="I56" s="6" t="n">
        <v>13.83</v>
      </c>
      <c r="J56" s="6" t="n">
        <v>48</v>
      </c>
      <c r="K56" s="6">
        <f>H56+I56</f>
        <v/>
      </c>
      <c r="L56" s="5">
        <f>K56/4.7</f>
        <v/>
      </c>
      <c r="M56" s="6" t="n">
        <v>20.1</v>
      </c>
      <c r="N56" s="6" t="n">
        <v>1</v>
      </c>
      <c r="O56" s="6">
        <f>(K56*0.1229+1.05)/4.7</f>
        <v/>
      </c>
      <c r="P56" s="6">
        <f>K56*0.0749/4.7</f>
        <v/>
      </c>
      <c r="Q56" s="5">
        <f>M56+N56+O56+P56</f>
        <v/>
      </c>
      <c r="R56" s="5">
        <f>L56-Q56</f>
        <v/>
      </c>
      <c r="S56" s="6">
        <f>R56*4.7</f>
        <v/>
      </c>
      <c r="T56" s="7">
        <f>IF(L56&gt;0,R56/L56,0)</f>
        <v/>
      </c>
      <c r="U56" s="3" t="inlineStr">
        <is>
          <t>30/05/2026 00:44:34</t>
        </is>
      </c>
    </row>
    <row r="57">
      <c r="A57" s="3" t="inlineStr">
        <is>
          <t>584262823844218623</t>
        </is>
      </c>
      <c r="B57" s="3" t="inlineStr">
        <is>
          <t>已发货</t>
        </is>
      </c>
      <c r="C57" s="3" t="inlineStr">
        <is>
          <t>B1</t>
        </is>
      </c>
      <c r="D57" s="3" t="inlineStr">
        <is>
          <t>魔芋笋1大袋</t>
        </is>
      </c>
      <c r="E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" s="3" t="inlineStr">
        <is>
          <t>รสเปรี้ยวเผ็ด​, 10 ซอง 200g</t>
        </is>
      </c>
      <c r="G57" s="6" t="n">
        <v>1</v>
      </c>
      <c r="H57" s="6" t="n">
        <v>221.62</v>
      </c>
      <c r="I57" s="6" t="n">
        <v>5.55</v>
      </c>
      <c r="J57" s="6" t="n">
        <v>48</v>
      </c>
      <c r="K57" s="6">
        <f>H57+I57</f>
        <v/>
      </c>
      <c r="L57" s="5">
        <f>K57/4.7</f>
        <v/>
      </c>
      <c r="M57" s="6" t="n">
        <v>6.699999999999999</v>
      </c>
      <c r="N57" s="6" t="n">
        <v>1</v>
      </c>
      <c r="O57" s="6">
        <f>(K57*0.1229+1.05)/4.7</f>
        <v/>
      </c>
      <c r="P57" s="6">
        <f>K57*0.0749/4.7</f>
        <v/>
      </c>
      <c r="Q57" s="5">
        <f>M57+N57+O57+P57</f>
        <v/>
      </c>
      <c r="R57" s="5">
        <f>L57-Q57</f>
        <v/>
      </c>
      <c r="S57" s="6">
        <f>R57*4.7</f>
        <v/>
      </c>
      <c r="T57" s="7">
        <f>IF(L57&gt;0,R57/L57,0)</f>
        <v/>
      </c>
      <c r="U57" s="3" t="inlineStr">
        <is>
          <t>30/05/2026 00:44:34</t>
        </is>
      </c>
    </row>
    <row r="58">
      <c r="A58" s="3" t="inlineStr">
        <is>
          <t>584262594015954294</t>
        </is>
      </c>
      <c r="B58" s="3" t="inlineStr">
        <is>
          <t>已取消</t>
        </is>
      </c>
      <c r="C58" s="3" t="inlineStr">
        <is>
          <t>CK</t>
        </is>
      </c>
      <c r="D58" s="3" t="inlineStr">
        <is>
          <t>黑松露黑麦苏打饼干</t>
        </is>
      </c>
      <c r="E5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8" s="3" t="inlineStr">
        <is>
          <t>ค่าเริ่มต้น</t>
        </is>
      </c>
      <c r="G58" s="6" t="n">
        <v>1</v>
      </c>
      <c r="H58" s="6" t="n">
        <v>70</v>
      </c>
      <c r="I58" s="6" t="n">
        <v>30</v>
      </c>
      <c r="J58" s="6" t="n">
        <v>88</v>
      </c>
      <c r="K58" s="6">
        <f>H58+I58</f>
        <v/>
      </c>
      <c r="L58" s="5">
        <f>K58/4.7</f>
        <v/>
      </c>
      <c r="M58" s="6" t="n">
        <v>10.72665050209467</v>
      </c>
      <c r="N58" s="6" t="n">
        <v>1</v>
      </c>
      <c r="O58" s="6">
        <f>(K58*0.1229+1.05)/4.7</f>
        <v/>
      </c>
      <c r="P58" s="6">
        <f>K58*0.0749/4.7</f>
        <v/>
      </c>
      <c r="Q58" s="5">
        <f>M58+N58+O58+P58</f>
        <v/>
      </c>
      <c r="R58" s="5">
        <f>L58-Q58</f>
        <v/>
      </c>
      <c r="S58" s="6">
        <f>R58*4.7</f>
        <v/>
      </c>
      <c r="T58" s="7">
        <f>IF(L58&gt;0,R58/L58,0)</f>
        <v/>
      </c>
      <c r="U58" s="3" t="inlineStr">
        <is>
          <t>30/05/2026 00:10:34</t>
        </is>
      </c>
    </row>
    <row r="59">
      <c r="A59" s="3" t="inlineStr">
        <is>
          <t>584262252119033131</t>
        </is>
      </c>
      <c r="B59" s="3" t="inlineStr">
        <is>
          <t>已发货</t>
        </is>
      </c>
      <c r="C59" s="3" t="inlineStr">
        <is>
          <t>C2</t>
        </is>
      </c>
      <c r="D59" s="3" t="inlineStr">
        <is>
          <t>魔芋笋2大袋</t>
        </is>
      </c>
      <c r="E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" s="3" t="inlineStr">
        <is>
          <t>รสเผ็ดหอม​, 20 ซอง 400g</t>
        </is>
      </c>
      <c r="G59" s="6" t="n">
        <v>1</v>
      </c>
      <c r="H59" s="6" t="n">
        <v>120</v>
      </c>
      <c r="I59" s="6" t="n">
        <v>0</v>
      </c>
      <c r="J59" s="6" t="n">
        <v>38</v>
      </c>
      <c r="K59" s="6">
        <f>H59+I59</f>
        <v/>
      </c>
      <c r="L59" s="5">
        <f>K59/4.7</f>
        <v/>
      </c>
      <c r="M59" s="6" t="n">
        <v>13.4</v>
      </c>
      <c r="N59" s="6" t="n">
        <v>1</v>
      </c>
      <c r="O59" s="6">
        <f>(K59*0.1229+1.05)/4.7</f>
        <v/>
      </c>
      <c r="P59" s="6">
        <f>K59*0.0749/4.7</f>
        <v/>
      </c>
      <c r="Q59" s="5">
        <f>M59+N59+O59+P59</f>
        <v/>
      </c>
      <c r="R59" s="5">
        <f>L59-Q59</f>
        <v/>
      </c>
      <c r="S59" s="6">
        <f>R59*4.7</f>
        <v/>
      </c>
      <c r="T59" s="7">
        <f>IF(L59&gt;0,R59/L59,0)</f>
        <v/>
      </c>
      <c r="U59" s="3" t="inlineStr">
        <is>
          <t>29/05/2026 23:34:34</t>
        </is>
      </c>
    </row>
    <row r="60">
      <c r="A60" s="3" t="inlineStr">
        <is>
          <t>584260767653070838</t>
        </is>
      </c>
      <c r="B60" s="3" t="inlineStr">
        <is>
          <t>已发货</t>
        </is>
      </c>
      <c r="C60" s="3" t="inlineStr">
        <is>
          <t>C5s</t>
        </is>
      </c>
      <c r="D60" s="3" t="inlineStr">
        <is>
          <t>香辣味魔芋笋5小袋</t>
        </is>
      </c>
      <c r="E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" s="3" t="inlineStr">
        <is>
          <t>รสเผ็ดหอม​, *ชุดเล็ก 5 ซอง 100g</t>
        </is>
      </c>
      <c r="G60" s="6" t="n">
        <v>1</v>
      </c>
      <c r="H60" s="6" t="n">
        <v>47</v>
      </c>
      <c r="I60" s="6" t="n">
        <v>0</v>
      </c>
      <c r="J60" s="6" t="n">
        <v>38</v>
      </c>
      <c r="K60" s="6">
        <f>H60+I60</f>
        <v/>
      </c>
      <c r="L60" s="5">
        <f>K60/4.7</f>
        <v/>
      </c>
      <c r="M60" s="6" t="n">
        <v>3.35</v>
      </c>
      <c r="N60" s="6" t="n">
        <v>1</v>
      </c>
      <c r="O60" s="6">
        <f>(K60*0.1229+1.05)/4.7</f>
        <v/>
      </c>
      <c r="P60" s="6">
        <f>K60*0.0749/4.7</f>
        <v/>
      </c>
      <c r="Q60" s="5">
        <f>M60+N60+O60+P60</f>
        <v/>
      </c>
      <c r="R60" s="5">
        <f>L60-Q60</f>
        <v/>
      </c>
      <c r="S60" s="6">
        <f>R60*4.7</f>
        <v/>
      </c>
      <c r="T60" s="7">
        <f>IF(L60&gt;0,R60/L60,0)</f>
        <v/>
      </c>
      <c r="U60" s="3" t="inlineStr">
        <is>
          <t>29/05/2026 21:39:19</t>
        </is>
      </c>
    </row>
    <row r="61">
      <c r="A61" s="3" t="inlineStr">
        <is>
          <t>584260682355868749</t>
        </is>
      </c>
      <c r="B61" s="3" t="inlineStr">
        <is>
          <t>已发货</t>
        </is>
      </c>
      <c r="C61" s="3" t="inlineStr">
        <is>
          <t>CK</t>
        </is>
      </c>
      <c r="D61" s="3" t="inlineStr">
        <is>
          <t>黑松露黑麦苏打饼干</t>
        </is>
      </c>
      <c r="E6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1" s="3" t="inlineStr">
        <is>
          <t>ค่าเริ่มต้น</t>
        </is>
      </c>
      <c r="G61" s="6" t="n">
        <v>3</v>
      </c>
      <c r="H61" s="6" t="n">
        <v>269.25</v>
      </c>
      <c r="I61" s="6" t="n">
        <v>30</v>
      </c>
      <c r="J61" s="6" t="n">
        <v>48</v>
      </c>
      <c r="K61" s="6">
        <f>H61+I61</f>
        <v/>
      </c>
      <c r="L61" s="5">
        <f>K61/4.7</f>
        <v/>
      </c>
      <c r="M61" s="6" t="n">
        <v>32.179951506284</v>
      </c>
      <c r="N61" s="6" t="n">
        <v>1</v>
      </c>
      <c r="O61" s="6">
        <f>(K61*0.1229+1.05)/4.7</f>
        <v/>
      </c>
      <c r="P61" s="6">
        <f>K61*0.0749/4.7</f>
        <v/>
      </c>
      <c r="Q61" s="5">
        <f>M61+N61+O61+P61</f>
        <v/>
      </c>
      <c r="R61" s="5">
        <f>L61-Q61</f>
        <v/>
      </c>
      <c r="S61" s="6">
        <f>R61*4.7</f>
        <v/>
      </c>
      <c r="T61" s="7">
        <f>IF(L61&gt;0,R61/L61,0)</f>
        <v/>
      </c>
      <c r="U61" s="3" t="inlineStr">
        <is>
          <t>29/05/2026 21:35:51</t>
        </is>
      </c>
    </row>
    <row r="62">
      <c r="A62" s="3" t="inlineStr">
        <is>
          <t>584257433994102516</t>
        </is>
      </c>
      <c r="B62" s="3" t="inlineStr">
        <is>
          <t>已发货</t>
        </is>
      </c>
      <c r="C62" s="3" t="inlineStr">
        <is>
          <t>CK</t>
        </is>
      </c>
      <c r="D62" s="3" t="inlineStr">
        <is>
          <t>黑松露黑麦苏打饼干</t>
        </is>
      </c>
      <c r="E6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2" s="3" t="inlineStr">
        <is>
          <t>ค่าเริ่มต้น</t>
        </is>
      </c>
      <c r="G62" s="6" t="n">
        <v>1</v>
      </c>
      <c r="H62" s="6" t="n">
        <v>55</v>
      </c>
      <c r="I62" s="6" t="n">
        <v>50</v>
      </c>
      <c r="J62" s="6" t="n">
        <v>35</v>
      </c>
      <c r="K62" s="6">
        <f>H62+I62</f>
        <v/>
      </c>
      <c r="L62" s="5">
        <f>K62/4.7</f>
        <v/>
      </c>
      <c r="M62" s="6" t="n">
        <v>10.72665050209467</v>
      </c>
      <c r="N62" s="6" t="n">
        <v>1</v>
      </c>
      <c r="O62" s="6">
        <f>(K62*0.1229+1.05)/4.7</f>
        <v/>
      </c>
      <c r="P62" s="6">
        <f>K62*0.0749/4.7</f>
        <v/>
      </c>
      <c r="Q62" s="5">
        <f>M62+N62+O62+P62</f>
        <v/>
      </c>
      <c r="R62" s="5">
        <f>L62-Q62</f>
        <v/>
      </c>
      <c r="S62" s="6">
        <f>R62*4.7</f>
        <v/>
      </c>
      <c r="T62" s="7">
        <f>IF(L62&gt;0,R62/L62,0)</f>
        <v/>
      </c>
      <c r="U62" s="3" t="inlineStr">
        <is>
          <t>29/05/2026 18:05:10</t>
        </is>
      </c>
    </row>
    <row r="63">
      <c r="A63" s="3" t="inlineStr">
        <is>
          <t>584255426951415511</t>
        </is>
      </c>
      <c r="B63" s="3" t="inlineStr">
        <is>
          <t>已发货</t>
        </is>
      </c>
      <c r="C63" s="3" t="inlineStr">
        <is>
          <t>C1</t>
        </is>
      </c>
      <c r="D63" s="3" t="inlineStr">
        <is>
          <t>魔芋笋1大袋</t>
        </is>
      </c>
      <c r="E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" s="3" t="inlineStr">
        <is>
          <t>รสเผ็ดหอม​, 10 ซอง 200g</t>
        </is>
      </c>
      <c r="G63" s="6" t="n">
        <v>1</v>
      </c>
      <c r="H63" s="6" t="n">
        <v>118.56</v>
      </c>
      <c r="I63" s="6" t="n">
        <v>6.21</v>
      </c>
      <c r="J63" s="6" t="n">
        <v>35</v>
      </c>
      <c r="K63" s="6">
        <f>H63+I63</f>
        <v/>
      </c>
      <c r="L63" s="5">
        <f>K63/4.7</f>
        <v/>
      </c>
      <c r="M63" s="6" t="n">
        <v>6.699999999999999</v>
      </c>
      <c r="N63" s="6" t="n">
        <v>1</v>
      </c>
      <c r="O63" s="6">
        <f>(K63*0.1229+1.05)/4.7</f>
        <v/>
      </c>
      <c r="P63" s="6">
        <f>K63*0.0749/4.7</f>
        <v/>
      </c>
      <c r="Q63" s="5">
        <f>M63+N63+O63+P63</f>
        <v/>
      </c>
      <c r="R63" s="5">
        <f>L63-Q63</f>
        <v/>
      </c>
      <c r="S63" s="6">
        <f>R63*4.7</f>
        <v/>
      </c>
      <c r="T63" s="7">
        <f>IF(L63&gt;0,R63/L63,0)</f>
        <v/>
      </c>
      <c r="U63" s="3" t="inlineStr">
        <is>
          <t>29/05/2026 15:25:23</t>
        </is>
      </c>
    </row>
    <row r="64">
      <c r="A64" s="3" t="inlineStr">
        <is>
          <t>584255426951415511</t>
        </is>
      </c>
      <c r="B64" s="3" t="inlineStr">
        <is>
          <t>已发货</t>
        </is>
      </c>
      <c r="C64" s="3" t="inlineStr">
        <is>
          <t>B5s</t>
        </is>
      </c>
      <c r="D64" s="3" t="inlineStr">
        <is>
          <t>酸辣味5小袋</t>
        </is>
      </c>
      <c r="E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" s="3" t="inlineStr">
        <is>
          <t>รสเปรี้ยวเผ็ด​, *ชุดเล็ก 5 ซอง 100g</t>
        </is>
      </c>
      <c r="G64" s="6" t="n">
        <v>1</v>
      </c>
      <c r="H64" s="6" t="n">
        <v>118.56</v>
      </c>
      <c r="I64" s="6" t="n">
        <v>4.23</v>
      </c>
      <c r="J64" s="6" t="n">
        <v>35</v>
      </c>
      <c r="K64" s="6">
        <f>H64+I64</f>
        <v/>
      </c>
      <c r="L64" s="5">
        <f>K64/4.7</f>
        <v/>
      </c>
      <c r="M64" s="6" t="n">
        <v>3.35</v>
      </c>
      <c r="N64" s="6" t="n">
        <v>1</v>
      </c>
      <c r="O64" s="6">
        <f>(K64*0.1229+1.05)/4.7</f>
        <v/>
      </c>
      <c r="P64" s="6">
        <f>K64*0.0749/4.7</f>
        <v/>
      </c>
      <c r="Q64" s="5">
        <f>M64+N64+O64+P64</f>
        <v/>
      </c>
      <c r="R64" s="5">
        <f>L64-Q64</f>
        <v/>
      </c>
      <c r="S64" s="6">
        <f>R64*4.7</f>
        <v/>
      </c>
      <c r="T64" s="7">
        <f>IF(L64&gt;0,R64/L64,0)</f>
        <v/>
      </c>
      <c r="U64" s="3" t="inlineStr">
        <is>
          <t>29/05/2026 15:25:23</t>
        </is>
      </c>
    </row>
    <row r="65">
      <c r="A65" s="3" t="inlineStr">
        <is>
          <t>584254181319870041</t>
        </is>
      </c>
      <c r="B65" s="3" t="inlineStr">
        <is>
          <t>已发货</t>
        </is>
      </c>
      <c r="C65" s="3" t="inlineStr">
        <is>
          <t>C1</t>
        </is>
      </c>
      <c r="D65" s="3" t="inlineStr">
        <is>
          <t>魔芋笋1大袋</t>
        </is>
      </c>
      <c r="E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" s="3" t="inlineStr">
        <is>
          <t>รสเผ็ดหอม​, 10 ซอง 200g</t>
        </is>
      </c>
      <c r="G65" s="6" t="n">
        <v>1</v>
      </c>
      <c r="H65" s="6" t="n">
        <v>69</v>
      </c>
      <c r="I65" s="6" t="n">
        <v>0</v>
      </c>
      <c r="J65" s="6" t="n">
        <v>38</v>
      </c>
      <c r="K65" s="6">
        <f>H65+I65</f>
        <v/>
      </c>
      <c r="L65" s="5">
        <f>K65/4.7</f>
        <v/>
      </c>
      <c r="M65" s="6" t="n">
        <v>6.699999999999999</v>
      </c>
      <c r="N65" s="6" t="n">
        <v>1</v>
      </c>
      <c r="O65" s="6">
        <f>(K65*0.1229+1.05)/4.7</f>
        <v/>
      </c>
      <c r="P65" s="6">
        <f>K65*0.0749/4.7</f>
        <v/>
      </c>
      <c r="Q65" s="5">
        <f>M65+N65+O65+P65</f>
        <v/>
      </c>
      <c r="R65" s="5">
        <f>L65-Q65</f>
        <v/>
      </c>
      <c r="S65" s="6">
        <f>R65*4.7</f>
        <v/>
      </c>
      <c r="T65" s="7">
        <f>IF(L65&gt;0,R65/L65,0)</f>
        <v/>
      </c>
      <c r="U65" s="3" t="inlineStr">
        <is>
          <t>29/05/2026 13:47:39</t>
        </is>
      </c>
    </row>
    <row r="66">
      <c r="A66" s="3" t="inlineStr">
        <is>
          <t>584252727446176770</t>
        </is>
      </c>
      <c r="B66" s="3" t="inlineStr">
        <is>
          <t>已发货</t>
        </is>
      </c>
      <c r="C66" s="3" t="inlineStr">
        <is>
          <t>C1</t>
        </is>
      </c>
      <c r="D66" s="3" t="inlineStr">
        <is>
          <t>魔芋笋1大袋</t>
        </is>
      </c>
      <c r="E66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66" s="3" t="inlineStr">
        <is>
          <t>รสเผ็ดหอม​, 1pcs   200g</t>
        </is>
      </c>
      <c r="G66" s="6" t="n">
        <v>1</v>
      </c>
      <c r="H66" s="6" t="n">
        <v>36</v>
      </c>
      <c r="I66" s="6" t="n">
        <v>24</v>
      </c>
      <c r="J66" s="6" t="n">
        <v>35</v>
      </c>
      <c r="K66" s="6">
        <f>H66+I66</f>
        <v/>
      </c>
      <c r="L66" s="5">
        <f>K66/4.7</f>
        <v/>
      </c>
      <c r="M66" s="6" t="n">
        <v>6.699999999999999</v>
      </c>
      <c r="N66" s="6" t="n">
        <v>1</v>
      </c>
      <c r="O66" s="6">
        <f>(K66*0.1229+1.05)/4.7</f>
        <v/>
      </c>
      <c r="P66" s="6">
        <f>K66*0.0749/4.7</f>
        <v/>
      </c>
      <c r="Q66" s="5">
        <f>M66+N66+O66+P66</f>
        <v/>
      </c>
      <c r="R66" s="5">
        <f>L66-Q66</f>
        <v/>
      </c>
      <c r="S66" s="6">
        <f>R66*4.7</f>
        <v/>
      </c>
      <c r="T66" s="7">
        <f>IF(L66&gt;0,R66/L66,0)</f>
        <v/>
      </c>
      <c r="U66" s="3" t="inlineStr">
        <is>
          <t>29/05/2026 12:09:01</t>
        </is>
      </c>
    </row>
    <row r="67">
      <c r="A67" s="3" t="inlineStr">
        <is>
          <t>584252244935804877</t>
        </is>
      </c>
      <c r="B67" s="3" t="inlineStr">
        <is>
          <t>已发货</t>
        </is>
      </c>
      <c r="C67" s="3" t="inlineStr">
        <is>
          <t>C2</t>
        </is>
      </c>
      <c r="D67" s="3" t="inlineStr">
        <is>
          <t>魔芋笋2大袋</t>
        </is>
      </c>
      <c r="E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" s="3" t="inlineStr">
        <is>
          <t>รสเผ็ดหอม​, 20 ซอง 400g</t>
        </is>
      </c>
      <c r="G67" s="6" t="n">
        <v>1</v>
      </c>
      <c r="H67" s="6" t="n">
        <v>245</v>
      </c>
      <c r="I67" s="6" t="n">
        <v>0</v>
      </c>
      <c r="J67" s="6" t="n">
        <v>48</v>
      </c>
      <c r="K67" s="6">
        <f>H67+I67</f>
        <v/>
      </c>
      <c r="L67" s="5">
        <f>K67/4.7</f>
        <v/>
      </c>
      <c r="M67" s="6" t="n">
        <v>13.4</v>
      </c>
      <c r="N67" s="6" t="n">
        <v>1</v>
      </c>
      <c r="O67" s="6">
        <f>(K67*0.1229+1.05)/4.7</f>
        <v/>
      </c>
      <c r="P67" s="6">
        <f>K67*0.0749/4.7</f>
        <v/>
      </c>
      <c r="Q67" s="5">
        <f>M67+N67+O67+P67</f>
        <v/>
      </c>
      <c r="R67" s="5">
        <f>L67-Q67</f>
        <v/>
      </c>
      <c r="S67" s="6">
        <f>R67*4.7</f>
        <v/>
      </c>
      <c r="T67" s="7">
        <f>IF(L67&gt;0,R67/L67,0)</f>
        <v/>
      </c>
      <c r="U67" s="3" t="inlineStr">
        <is>
          <t>29/05/2026 11:31:52</t>
        </is>
      </c>
    </row>
    <row r="68">
      <c r="A68" s="3" t="inlineStr">
        <is>
          <t>584252244935804877</t>
        </is>
      </c>
      <c r="B68" s="3" t="inlineStr">
        <is>
          <t>已发货</t>
        </is>
      </c>
      <c r="C68" s="3" t="inlineStr">
        <is>
          <t>B2</t>
        </is>
      </c>
      <c r="D68" s="3" t="inlineStr">
        <is>
          <t>魔芋笋2大袋</t>
        </is>
      </c>
      <c r="E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" s="3" t="inlineStr">
        <is>
          <t>รสเปรี้ยวเผ็ด​, 20 ซอง 400g</t>
        </is>
      </c>
      <c r="G68" s="6" t="n">
        <v>1</v>
      </c>
      <c r="H68" s="6" t="n">
        <v>245</v>
      </c>
      <c r="I68" s="6" t="n">
        <v>0</v>
      </c>
      <c r="J68" s="6" t="n">
        <v>48</v>
      </c>
      <c r="K68" s="6">
        <f>H68+I68</f>
        <v/>
      </c>
      <c r="L68" s="5">
        <f>K68/4.7</f>
        <v/>
      </c>
      <c r="M68" s="6" t="n">
        <v>13.4</v>
      </c>
      <c r="N68" s="6" t="n">
        <v>1</v>
      </c>
      <c r="O68" s="6">
        <f>(K68*0.1229+1.05)/4.7</f>
        <v/>
      </c>
      <c r="P68" s="6">
        <f>K68*0.0749/4.7</f>
        <v/>
      </c>
      <c r="Q68" s="5">
        <f>M68+N68+O68+P68</f>
        <v/>
      </c>
      <c r="R68" s="5">
        <f>L68-Q68</f>
        <v/>
      </c>
      <c r="S68" s="6">
        <f>R68*4.7</f>
        <v/>
      </c>
      <c r="T68" s="7">
        <f>IF(L68&gt;0,R68/L68,0)</f>
        <v/>
      </c>
      <c r="U68" s="3" t="inlineStr">
        <is>
          <t>29/05/2026 11:31:52</t>
        </is>
      </c>
    </row>
    <row r="69">
      <c r="A69" s="3" t="inlineStr">
        <is>
          <t>584250648898406038</t>
        </is>
      </c>
      <c r="B69" s="3" t="inlineStr">
        <is>
          <t>已发货</t>
        </is>
      </c>
      <c r="C69" s="3" t="inlineStr">
        <is>
          <t>CK</t>
        </is>
      </c>
      <c r="D69" s="3" t="inlineStr">
        <is>
          <t>黑松露黑麦苏打饼干</t>
        </is>
      </c>
      <c r="E6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9" s="3" t="inlineStr">
        <is>
          <t>ค่าเริ่มต้น</t>
        </is>
      </c>
      <c r="G69" s="6" t="n">
        <v>1</v>
      </c>
      <c r="H69" s="6" t="n">
        <v>138</v>
      </c>
      <c r="I69" s="6" t="n">
        <v>0</v>
      </c>
      <c r="J69" s="6" t="n">
        <v>0</v>
      </c>
      <c r="K69" s="6">
        <f>H69+I69</f>
        <v/>
      </c>
      <c r="L69" s="5">
        <f>K69/4.7</f>
        <v/>
      </c>
      <c r="M69" s="6" t="n">
        <v>10.72665050209467</v>
      </c>
      <c r="N69" s="6" t="n">
        <v>1</v>
      </c>
      <c r="O69" s="6">
        <f>(K69*0.1229+1.05)/4.7</f>
        <v/>
      </c>
      <c r="P69" s="6">
        <f>K69*0.0749/4.7</f>
        <v/>
      </c>
      <c r="Q69" s="5">
        <f>M69+N69+O69+P69</f>
        <v/>
      </c>
      <c r="R69" s="5">
        <f>L69-Q69</f>
        <v/>
      </c>
      <c r="S69" s="6">
        <f>R69*4.7</f>
        <v/>
      </c>
      <c r="T69" s="7">
        <f>IF(L69&gt;0,R69/L69,0)</f>
        <v/>
      </c>
      <c r="U69" s="3" t="inlineStr">
        <is>
          <t>29/05/2026 09:40:50</t>
        </is>
      </c>
    </row>
    <row r="70">
      <c r="A70" s="3" t="inlineStr">
        <is>
          <t>584250505470248957</t>
        </is>
      </c>
      <c r="B70" s="3" t="inlineStr">
        <is>
          <t>已发货</t>
        </is>
      </c>
      <c r="C70" s="3" t="inlineStr">
        <is>
          <t>C3</t>
        </is>
      </c>
      <c r="D70" s="3" t="inlineStr">
        <is>
          <t>魔芋笋3大袋</t>
        </is>
      </c>
      <c r="E70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70" s="3" t="inlineStr">
        <is>
          <t>รสเผ็ดหอม​, 3pcs  600g</t>
        </is>
      </c>
      <c r="G70" s="6" t="n">
        <v>1</v>
      </c>
      <c r="H70" s="6" t="n">
        <v>180</v>
      </c>
      <c r="I70" s="6" t="n">
        <v>0</v>
      </c>
      <c r="J70" s="6" t="n">
        <v>38</v>
      </c>
      <c r="K70" s="6">
        <f>H70+I70</f>
        <v/>
      </c>
      <c r="L70" s="5">
        <f>K70/4.7</f>
        <v/>
      </c>
      <c r="M70" s="6" t="n">
        <v>20.1</v>
      </c>
      <c r="N70" s="6" t="n">
        <v>1</v>
      </c>
      <c r="O70" s="6">
        <f>(K70*0.1229+1.05)/4.7</f>
        <v/>
      </c>
      <c r="P70" s="6">
        <f>K70*0.0749/4.7</f>
        <v/>
      </c>
      <c r="Q70" s="5">
        <f>M70+N70+O70+P70</f>
        <v/>
      </c>
      <c r="R70" s="5">
        <f>L70-Q70</f>
        <v/>
      </c>
      <c r="S70" s="6">
        <f>R70*4.7</f>
        <v/>
      </c>
      <c r="T70" s="7">
        <f>IF(L70&gt;0,R70/L70,0)</f>
        <v/>
      </c>
      <c r="U70" s="3" t="inlineStr">
        <is>
          <t>29/05/2026 09:31:48</t>
        </is>
      </c>
    </row>
    <row r="71">
      <c r="A71" s="3" t="inlineStr">
        <is>
          <t>584250477515998663</t>
        </is>
      </c>
      <c r="B71" s="3" t="inlineStr">
        <is>
          <t>已发货</t>
        </is>
      </c>
      <c r="C71" s="3" t="inlineStr">
        <is>
          <t>C2</t>
        </is>
      </c>
      <c r="D71" s="3" t="inlineStr">
        <is>
          <t>魔芋笋2大袋</t>
        </is>
      </c>
      <c r="E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" s="3" t="inlineStr">
        <is>
          <t>รสเผ็ดหอม​, 20 ซอง 400g</t>
        </is>
      </c>
      <c r="G71" s="6" t="n">
        <v>1</v>
      </c>
      <c r="H71" s="6" t="n">
        <v>241.6</v>
      </c>
      <c r="I71" s="6" t="n">
        <v>1.7</v>
      </c>
      <c r="J71" s="6" t="n">
        <v>48</v>
      </c>
      <c r="K71" s="6">
        <f>H71+I71</f>
        <v/>
      </c>
      <c r="L71" s="5">
        <f>K71/4.7</f>
        <v/>
      </c>
      <c r="M71" s="6" t="n">
        <v>13.4</v>
      </c>
      <c r="N71" s="6" t="n">
        <v>1</v>
      </c>
      <c r="O71" s="6">
        <f>(K71*0.1229+1.05)/4.7</f>
        <v/>
      </c>
      <c r="P71" s="6">
        <f>K71*0.0749/4.7</f>
        <v/>
      </c>
      <c r="Q71" s="5">
        <f>M71+N71+O71+P71</f>
        <v/>
      </c>
      <c r="R71" s="5">
        <f>L71-Q71</f>
        <v/>
      </c>
      <c r="S71" s="6">
        <f>R71*4.7</f>
        <v/>
      </c>
      <c r="T71" s="7">
        <f>IF(L71&gt;0,R71/L71,0)</f>
        <v/>
      </c>
      <c r="U71" s="3" t="inlineStr">
        <is>
          <t>29/05/2026 09:28:55</t>
        </is>
      </c>
    </row>
    <row r="72">
      <c r="A72" s="3" t="inlineStr">
        <is>
          <t>584250477515998663</t>
        </is>
      </c>
      <c r="B72" s="3" t="inlineStr">
        <is>
          <t>已发货</t>
        </is>
      </c>
      <c r="C72" s="3" t="inlineStr">
        <is>
          <t>B2</t>
        </is>
      </c>
      <c r="D72" s="3" t="inlineStr">
        <is>
          <t>魔芋笋2大袋</t>
        </is>
      </c>
      <c r="E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" s="3" t="inlineStr">
        <is>
          <t>รสเปรี้ยวเผ็ด​, 20 ซอง 400g</t>
        </is>
      </c>
      <c r="G72" s="6" t="n">
        <v>1</v>
      </c>
      <c r="H72" s="6" t="n">
        <v>241.6</v>
      </c>
      <c r="I72" s="6" t="n">
        <v>1.7</v>
      </c>
      <c r="J72" s="6" t="n">
        <v>48</v>
      </c>
      <c r="K72" s="6">
        <f>H72+I72</f>
        <v/>
      </c>
      <c r="L72" s="5">
        <f>K72/4.7</f>
        <v/>
      </c>
      <c r="M72" s="6" t="n">
        <v>13.4</v>
      </c>
      <c r="N72" s="6" t="n">
        <v>1</v>
      </c>
      <c r="O72" s="6">
        <f>(K72*0.1229+1.05)/4.7</f>
        <v/>
      </c>
      <c r="P72" s="6">
        <f>K72*0.0749/4.7</f>
        <v/>
      </c>
      <c r="Q72" s="5">
        <f>M72+N72+O72+P72</f>
        <v/>
      </c>
      <c r="R72" s="5">
        <f>L72-Q72</f>
        <v/>
      </c>
      <c r="S72" s="6">
        <f>R72*4.7</f>
        <v/>
      </c>
      <c r="T72" s="7">
        <f>IF(L72&gt;0,R72/L72,0)</f>
        <v/>
      </c>
      <c r="U72" s="3" t="inlineStr">
        <is>
          <t>29/05/2026 09:28:55</t>
        </is>
      </c>
    </row>
    <row r="73">
      <c r="A73" s="3" t="inlineStr">
        <is>
          <t>584248934758123394</t>
        </is>
      </c>
      <c r="B73" s="3" t="inlineStr">
        <is>
          <t>已发货</t>
        </is>
      </c>
      <c r="C73" s="3" t="inlineStr">
        <is>
          <t>CK</t>
        </is>
      </c>
      <c r="D73" s="3" t="inlineStr">
        <is>
          <t>黑松露黑麦苏打饼干</t>
        </is>
      </c>
      <c r="E7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3" s="3" t="inlineStr">
        <is>
          <t>ค่าเริ่มต้น</t>
        </is>
      </c>
      <c r="G73" s="6" t="n">
        <v>1</v>
      </c>
      <c r="H73" s="6" t="n">
        <v>65</v>
      </c>
      <c r="I73" s="6" t="n">
        <v>40</v>
      </c>
      <c r="J73" s="6" t="n">
        <v>35</v>
      </c>
      <c r="K73" s="6">
        <f>H73+I73</f>
        <v/>
      </c>
      <c r="L73" s="5">
        <f>K73/4.7</f>
        <v/>
      </c>
      <c r="M73" s="6" t="n">
        <v>10.72665050209467</v>
      </c>
      <c r="N73" s="6" t="n">
        <v>1</v>
      </c>
      <c r="O73" s="6">
        <f>(K73*0.1229+1.05)/4.7</f>
        <v/>
      </c>
      <c r="P73" s="6">
        <f>K73*0.0749/4.7</f>
        <v/>
      </c>
      <c r="Q73" s="5">
        <f>M73+N73+O73+P73</f>
        <v/>
      </c>
      <c r="R73" s="5">
        <f>L73-Q73</f>
        <v/>
      </c>
      <c r="S73" s="6">
        <f>R73*4.7</f>
        <v/>
      </c>
      <c r="T73" s="7">
        <f>IF(L73&gt;0,R73/L73,0)</f>
        <v/>
      </c>
      <c r="U73" s="3" t="inlineStr">
        <is>
          <t>29/05/2026 07:11:13</t>
        </is>
      </c>
    </row>
    <row r="74">
      <c r="A74" s="3" t="inlineStr">
        <is>
          <t>584248819932497515</t>
        </is>
      </c>
      <c r="B74" s="3" t="inlineStr">
        <is>
          <t>已发货</t>
        </is>
      </c>
      <c r="C74" s="3" t="inlineStr">
        <is>
          <t>CK</t>
        </is>
      </c>
      <c r="D74" s="3" t="inlineStr">
        <is>
          <t>黑松露黑麦苏打饼干</t>
        </is>
      </c>
      <c r="E7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4" s="3" t="inlineStr">
        <is>
          <t>ค่าเริ่มต้น</t>
        </is>
      </c>
      <c r="G74" s="6" t="n">
        <v>1</v>
      </c>
      <c r="H74" s="6" t="n">
        <v>70</v>
      </c>
      <c r="I74" s="6" t="n">
        <v>30</v>
      </c>
      <c r="J74" s="6" t="n">
        <v>38</v>
      </c>
      <c r="K74" s="6">
        <f>H74+I74</f>
        <v/>
      </c>
      <c r="L74" s="5">
        <f>K74/4.7</f>
        <v/>
      </c>
      <c r="M74" s="6" t="n">
        <v>10.72665050209467</v>
      </c>
      <c r="N74" s="6" t="n">
        <v>1</v>
      </c>
      <c r="O74" s="6">
        <f>(K74*0.1229+1.05)/4.7</f>
        <v/>
      </c>
      <c r="P74" s="6">
        <f>K74*0.0749/4.7</f>
        <v/>
      </c>
      <c r="Q74" s="5">
        <f>M74+N74+O74+P74</f>
        <v/>
      </c>
      <c r="R74" s="5">
        <f>L74-Q74</f>
        <v/>
      </c>
      <c r="S74" s="6">
        <f>R74*4.7</f>
        <v/>
      </c>
      <c r="T74" s="7">
        <f>IF(L74&gt;0,R74/L74,0)</f>
        <v/>
      </c>
      <c r="U74" s="3" t="inlineStr">
        <is>
          <t>29/05/2026 07:00:45</t>
        </is>
      </c>
    </row>
    <row r="75">
      <c r="A75" s="3" t="inlineStr">
        <is>
          <t>584247078091982347</t>
        </is>
      </c>
      <c r="B75" s="3" t="inlineStr">
        <is>
          <t>已发货</t>
        </is>
      </c>
      <c r="C75" s="3" t="inlineStr">
        <is>
          <t>C2</t>
        </is>
      </c>
      <c r="D75" s="3" t="inlineStr">
        <is>
          <t>魔芋笋2大袋</t>
        </is>
      </c>
      <c r="E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" s="3" t="inlineStr">
        <is>
          <t>รสเผ็ดหอม​, 20 ซอง 400g</t>
        </is>
      </c>
      <c r="G75" s="6" t="n">
        <v>1</v>
      </c>
      <c r="H75" s="6" t="n">
        <v>245</v>
      </c>
      <c r="I75" s="6" t="n">
        <v>0</v>
      </c>
      <c r="J75" s="6" t="n">
        <v>48</v>
      </c>
      <c r="K75" s="6">
        <f>H75+I75</f>
        <v/>
      </c>
      <c r="L75" s="5">
        <f>K75/4.7</f>
        <v/>
      </c>
      <c r="M75" s="6" t="n">
        <v>13.4</v>
      </c>
      <c r="N75" s="6" t="n">
        <v>1</v>
      </c>
      <c r="O75" s="6">
        <f>(K75*0.1229+1.05)/4.7</f>
        <v/>
      </c>
      <c r="P75" s="6">
        <f>K75*0.0749/4.7</f>
        <v/>
      </c>
      <c r="Q75" s="5">
        <f>M75+N75+O75+P75</f>
        <v/>
      </c>
      <c r="R75" s="5">
        <f>L75-Q75</f>
        <v/>
      </c>
      <c r="S75" s="6">
        <f>R75*4.7</f>
        <v/>
      </c>
      <c r="T75" s="7">
        <f>IF(L75&gt;0,R75/L75,0)</f>
        <v/>
      </c>
      <c r="U75" s="3" t="inlineStr">
        <is>
          <t>29/05/2026 00:45:15</t>
        </is>
      </c>
    </row>
    <row r="76">
      <c r="A76" s="3" t="inlineStr">
        <is>
          <t>584247078091982347</t>
        </is>
      </c>
      <c r="B76" s="3" t="inlineStr">
        <is>
          <t>已发货</t>
        </is>
      </c>
      <c r="C76" s="3" t="inlineStr">
        <is>
          <t>B2</t>
        </is>
      </c>
      <c r="D76" s="3" t="inlineStr">
        <is>
          <t>魔芋笋2大袋</t>
        </is>
      </c>
      <c r="E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" s="3" t="inlineStr">
        <is>
          <t>รสเปรี้ยวเผ็ด​, 20 ซอง 400g</t>
        </is>
      </c>
      <c r="G76" s="6" t="n">
        <v>1</v>
      </c>
      <c r="H76" s="6" t="n">
        <v>245</v>
      </c>
      <c r="I76" s="6" t="n">
        <v>0</v>
      </c>
      <c r="J76" s="6" t="n">
        <v>48</v>
      </c>
      <c r="K76" s="6">
        <f>H76+I76</f>
        <v/>
      </c>
      <c r="L76" s="5">
        <f>K76/4.7</f>
        <v/>
      </c>
      <c r="M76" s="6" t="n">
        <v>13.4</v>
      </c>
      <c r="N76" s="6" t="n">
        <v>1</v>
      </c>
      <c r="O76" s="6">
        <f>(K76*0.1229+1.05)/4.7</f>
        <v/>
      </c>
      <c r="P76" s="6">
        <f>K76*0.0749/4.7</f>
        <v/>
      </c>
      <c r="Q76" s="5">
        <f>M76+N76+O76+P76</f>
        <v/>
      </c>
      <c r="R76" s="5">
        <f>L76-Q76</f>
        <v/>
      </c>
      <c r="S76" s="6">
        <f>R76*4.7</f>
        <v/>
      </c>
      <c r="T76" s="7">
        <f>IF(L76&gt;0,R76/L76,0)</f>
        <v/>
      </c>
      <c r="U76" s="3" t="inlineStr">
        <is>
          <t>29/05/2026 00:45:15</t>
        </is>
      </c>
    </row>
    <row r="77">
      <c r="A77" s="3" t="inlineStr">
        <is>
          <t>584247020863587444</t>
        </is>
      </c>
      <c r="B77" s="3" t="inlineStr">
        <is>
          <t>已发货</t>
        </is>
      </c>
      <c r="C77" s="3" t="inlineStr">
        <is>
          <t>C3</t>
        </is>
      </c>
      <c r="D77" s="3" t="inlineStr">
        <is>
          <t>魔芋笋3大袋</t>
        </is>
      </c>
      <c r="E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" s="3" t="inlineStr">
        <is>
          <t>รสเผ็ดหอม​, 30 ซอง 600g</t>
        </is>
      </c>
      <c r="G77" s="6" t="n">
        <v>1</v>
      </c>
      <c r="H77" s="6" t="n">
        <v>210</v>
      </c>
      <c r="I77" s="6" t="n">
        <v>0</v>
      </c>
      <c r="J77" s="6" t="n">
        <v>0</v>
      </c>
      <c r="K77" s="6">
        <f>H77+I77</f>
        <v/>
      </c>
      <c r="L77" s="5">
        <f>K77/4.7</f>
        <v/>
      </c>
      <c r="M77" s="6" t="n">
        <v>20.1</v>
      </c>
      <c r="N77" s="6" t="n">
        <v>1</v>
      </c>
      <c r="O77" s="6">
        <f>(K77*0.1229+1.05)/4.7</f>
        <v/>
      </c>
      <c r="P77" s="6">
        <f>K77*0.0749/4.7</f>
        <v/>
      </c>
      <c r="Q77" s="5">
        <f>M77+N77+O77+P77</f>
        <v/>
      </c>
      <c r="R77" s="5">
        <f>L77-Q77</f>
        <v/>
      </c>
      <c r="S77" s="6">
        <f>R77*4.7</f>
        <v/>
      </c>
      <c r="T77" s="7">
        <f>IF(L77&gt;0,R77/L77,0)</f>
        <v/>
      </c>
      <c r="U77" s="3" t="inlineStr">
        <is>
          <t>29/05/2026 00:41:46</t>
        </is>
      </c>
    </row>
    <row r="78">
      <c r="A78" s="3" t="inlineStr">
        <is>
          <t>584246516670891026</t>
        </is>
      </c>
      <c r="B78" s="3" t="inlineStr">
        <is>
          <t>已发货</t>
        </is>
      </c>
      <c r="C78" s="3" t="inlineStr">
        <is>
          <t>B1</t>
        </is>
      </c>
      <c r="D78" s="3" t="inlineStr">
        <is>
          <t>魔芋笋1大袋</t>
        </is>
      </c>
      <c r="E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" s="3" t="inlineStr">
        <is>
          <t>รสเปรี้ยวเผ็ด​, 10 ซอง 200g</t>
        </is>
      </c>
      <c r="G78" s="6" t="n">
        <v>1</v>
      </c>
      <c r="H78" s="6" t="n">
        <v>133</v>
      </c>
      <c r="I78" s="6" t="n">
        <v>0</v>
      </c>
      <c r="J78" s="6" t="n">
        <v>48</v>
      </c>
      <c r="K78" s="6">
        <f>H78+I78</f>
        <v/>
      </c>
      <c r="L78" s="5">
        <f>K78/4.7</f>
        <v/>
      </c>
      <c r="M78" s="6" t="n">
        <v>6.699999999999999</v>
      </c>
      <c r="N78" s="6" t="n">
        <v>1</v>
      </c>
      <c r="O78" s="6">
        <f>(K78*0.1229+1.05)/4.7</f>
        <v/>
      </c>
      <c r="P78" s="6">
        <f>K78*0.0749/4.7</f>
        <v/>
      </c>
      <c r="Q78" s="5">
        <f>M78+N78+O78+P78</f>
        <v/>
      </c>
      <c r="R78" s="5">
        <f>L78-Q78</f>
        <v/>
      </c>
      <c r="S78" s="6">
        <f>R78*4.7</f>
        <v/>
      </c>
      <c r="T78" s="7">
        <f>IF(L78&gt;0,R78/L78,0)</f>
        <v/>
      </c>
      <c r="U78" s="3" t="inlineStr">
        <is>
          <t>28/05/2026 23:36:03</t>
        </is>
      </c>
    </row>
    <row r="79">
      <c r="A79" s="3" t="inlineStr">
        <is>
          <t>584246516670891026</t>
        </is>
      </c>
      <c r="B79" s="3" t="inlineStr">
        <is>
          <t>已发货</t>
        </is>
      </c>
      <c r="C79" s="3" t="inlineStr">
        <is>
          <t>C1</t>
        </is>
      </c>
      <c r="D79" s="3" t="inlineStr">
        <is>
          <t>魔芋笋1大袋</t>
        </is>
      </c>
      <c r="E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" s="3" t="inlineStr">
        <is>
          <t>รสเผ็ดหอม​, 10 ซอง 200g</t>
        </is>
      </c>
      <c r="G79" s="6" t="n">
        <v>1</v>
      </c>
      <c r="H79" s="6" t="n">
        <v>133</v>
      </c>
      <c r="I79" s="6" t="n">
        <v>0</v>
      </c>
      <c r="J79" s="6" t="n">
        <v>48</v>
      </c>
      <c r="K79" s="6">
        <f>H79+I79</f>
        <v/>
      </c>
      <c r="L79" s="5">
        <f>K79/4.7</f>
        <v/>
      </c>
      <c r="M79" s="6" t="n">
        <v>6.699999999999999</v>
      </c>
      <c r="N79" s="6" t="n">
        <v>1</v>
      </c>
      <c r="O79" s="6">
        <f>(K79*0.1229+1.05)/4.7</f>
        <v/>
      </c>
      <c r="P79" s="6">
        <f>K79*0.0749/4.7</f>
        <v/>
      </c>
      <c r="Q79" s="5">
        <f>M79+N79+O79+P79</f>
        <v/>
      </c>
      <c r="R79" s="5">
        <f>L79-Q79</f>
        <v/>
      </c>
      <c r="S79" s="6">
        <f>R79*4.7</f>
        <v/>
      </c>
      <c r="T79" s="7">
        <f>IF(L79&gt;0,R79/L79,0)</f>
        <v/>
      </c>
      <c r="U79" s="3" t="inlineStr">
        <is>
          <t>28/05/2026 23:36:03</t>
        </is>
      </c>
    </row>
    <row r="80">
      <c r="A80" s="3" t="inlineStr">
        <is>
          <t>584245498170868806</t>
        </is>
      </c>
      <c r="B80" s="3" t="inlineStr">
        <is>
          <t>已发货</t>
        </is>
      </c>
      <c r="C80" s="3" t="inlineStr">
        <is>
          <t>B5s</t>
        </is>
      </c>
      <c r="D80" s="3" t="inlineStr">
        <is>
          <t>酸辣味5小袋</t>
        </is>
      </c>
      <c r="E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" s="3" t="inlineStr">
        <is>
          <t>รสเปรี้ยวเผ็ด​, *ชุดเล็ก 5 ซอง 100g</t>
        </is>
      </c>
      <c r="G80" s="6" t="n">
        <v>1</v>
      </c>
      <c r="H80" s="6" t="n">
        <v>134.48</v>
      </c>
      <c r="I80" s="6" t="n">
        <v>3.76</v>
      </c>
      <c r="J80" s="6" t="n">
        <v>0</v>
      </c>
      <c r="K80" s="6">
        <f>H80+I80</f>
        <v/>
      </c>
      <c r="L80" s="5">
        <f>K80/4.7</f>
        <v/>
      </c>
      <c r="M80" s="6" t="n">
        <v>3.35</v>
      </c>
      <c r="N80" s="6" t="n">
        <v>1</v>
      </c>
      <c r="O80" s="6">
        <f>(K80*0.1229+1.05)/4.7</f>
        <v/>
      </c>
      <c r="P80" s="6">
        <f>K80*0.0749/4.7</f>
        <v/>
      </c>
      <c r="Q80" s="5">
        <f>M80+N80+O80+P80</f>
        <v/>
      </c>
      <c r="R80" s="5">
        <f>L80-Q80</f>
        <v/>
      </c>
      <c r="S80" s="6">
        <f>R80*4.7</f>
        <v/>
      </c>
      <c r="T80" s="7">
        <f>IF(L80&gt;0,R80/L80,0)</f>
        <v/>
      </c>
      <c r="U80" s="3" t="inlineStr">
        <is>
          <t>28/05/2026 22:15:42</t>
        </is>
      </c>
    </row>
    <row r="81">
      <c r="A81" s="3" t="inlineStr">
        <is>
          <t>584245498170868806</t>
        </is>
      </c>
      <c r="B81" s="3" t="inlineStr">
        <is>
          <t>已发货</t>
        </is>
      </c>
      <c r="C81" s="3" t="inlineStr">
        <is>
          <t>C5s</t>
        </is>
      </c>
      <c r="D81" s="3" t="inlineStr">
        <is>
          <t>香辣味魔芋笋5小袋</t>
        </is>
      </c>
      <c r="E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" s="3" t="inlineStr">
        <is>
          <t>รสเผ็ดหอม​, *ชุดเล็ก 5 ซอง 100g</t>
        </is>
      </c>
      <c r="G81" s="6" t="n">
        <v>1</v>
      </c>
      <c r="H81" s="6" t="n">
        <v>134.48</v>
      </c>
      <c r="I81" s="6" t="n">
        <v>3.76</v>
      </c>
      <c r="J81" s="6" t="n">
        <v>0</v>
      </c>
      <c r="K81" s="6">
        <f>H81+I81</f>
        <v/>
      </c>
      <c r="L81" s="5">
        <f>K81/4.7</f>
        <v/>
      </c>
      <c r="M81" s="6" t="n">
        <v>3.35</v>
      </c>
      <c r="N81" s="6" t="n">
        <v>1</v>
      </c>
      <c r="O81" s="6">
        <f>(K81*0.1229+1.05)/4.7</f>
        <v/>
      </c>
      <c r="P81" s="6">
        <f>K81*0.0749/4.7</f>
        <v/>
      </c>
      <c r="Q81" s="5">
        <f>M81+N81+O81+P81</f>
        <v/>
      </c>
      <c r="R81" s="5">
        <f>L81-Q81</f>
        <v/>
      </c>
      <c r="S81" s="6">
        <f>R81*4.7</f>
        <v/>
      </c>
      <c r="T81" s="7">
        <f>IF(L81&gt;0,R81/L81,0)</f>
        <v/>
      </c>
      <c r="U81" s="3" t="inlineStr">
        <is>
          <t>28/05/2026 22:15:42</t>
        </is>
      </c>
    </row>
    <row r="82">
      <c r="A82" s="3" t="inlineStr">
        <is>
          <t>584245507716122122</t>
        </is>
      </c>
      <c r="B82" s="3" t="inlineStr">
        <is>
          <t>已发货</t>
        </is>
      </c>
      <c r="C82" s="3" t="inlineStr">
        <is>
          <t>CK</t>
        </is>
      </c>
      <c r="D82" s="3" t="inlineStr">
        <is>
          <t>黑松露黑麦苏打饼干</t>
        </is>
      </c>
      <c r="E8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2" s="3" t="inlineStr">
        <is>
          <t>ค่าเริ่มต้น</t>
        </is>
      </c>
      <c r="G82" s="6" t="n">
        <v>1</v>
      </c>
      <c r="H82" s="6" t="n">
        <v>100</v>
      </c>
      <c r="I82" s="6" t="n">
        <v>0</v>
      </c>
      <c r="J82" s="6" t="n">
        <v>35</v>
      </c>
      <c r="K82" s="6">
        <f>H82+I82</f>
        <v/>
      </c>
      <c r="L82" s="5">
        <f>K82/4.7</f>
        <v/>
      </c>
      <c r="M82" s="6" t="n">
        <v>10.72665050209467</v>
      </c>
      <c r="N82" s="6" t="n">
        <v>1</v>
      </c>
      <c r="O82" s="6">
        <f>(K82*0.1229+1.05)/4.7</f>
        <v/>
      </c>
      <c r="P82" s="6">
        <f>K82*0.0749/4.7</f>
        <v/>
      </c>
      <c r="Q82" s="5">
        <f>M82+N82+O82+P82</f>
        <v/>
      </c>
      <c r="R82" s="5">
        <f>L82-Q82</f>
        <v/>
      </c>
      <c r="S82" s="6">
        <f>R82*4.7</f>
        <v/>
      </c>
      <c r="T82" s="7">
        <f>IF(L82&gt;0,R82/L82,0)</f>
        <v/>
      </c>
      <c r="U82" s="3" t="inlineStr">
        <is>
          <t>28/05/2026 22:12:59</t>
        </is>
      </c>
    </row>
    <row r="83">
      <c r="A83" s="3" t="inlineStr">
        <is>
          <t>584245476168074818</t>
        </is>
      </c>
      <c r="B83" s="3" t="inlineStr">
        <is>
          <t>已发货</t>
        </is>
      </c>
      <c r="C83" s="3" t="inlineStr">
        <is>
          <t>B1</t>
        </is>
      </c>
      <c r="D83" s="3" t="inlineStr">
        <is>
          <t>魔芋笋1大袋</t>
        </is>
      </c>
      <c r="E83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83" s="3" t="inlineStr">
        <is>
          <t>รสเปรี้ยวเผ็ด​, 1pcs   200g</t>
        </is>
      </c>
      <c r="G83" s="6" t="n">
        <v>1</v>
      </c>
      <c r="H83" s="6" t="n">
        <v>128</v>
      </c>
      <c r="I83" s="6" t="n">
        <v>0</v>
      </c>
      <c r="J83" s="6" t="n">
        <v>35</v>
      </c>
      <c r="K83" s="6">
        <f>H83+I83</f>
        <v/>
      </c>
      <c r="L83" s="5">
        <f>K83/4.7</f>
        <v/>
      </c>
      <c r="M83" s="6" t="n">
        <v>6.699999999999999</v>
      </c>
      <c r="N83" s="6" t="n">
        <v>1</v>
      </c>
      <c r="O83" s="6">
        <f>(K83*0.1229+1.05)/4.7</f>
        <v/>
      </c>
      <c r="P83" s="6">
        <f>K83*0.0749/4.7</f>
        <v/>
      </c>
      <c r="Q83" s="5">
        <f>M83+N83+O83+P83</f>
        <v/>
      </c>
      <c r="R83" s="5">
        <f>L83-Q83</f>
        <v/>
      </c>
      <c r="S83" s="6">
        <f>R83*4.7</f>
        <v/>
      </c>
      <c r="T83" s="7">
        <f>IF(L83&gt;0,R83/L83,0)</f>
        <v/>
      </c>
      <c r="U83" s="3" t="inlineStr">
        <is>
          <t>28/05/2026 22:10:51</t>
        </is>
      </c>
    </row>
    <row r="84">
      <c r="A84" s="3" t="inlineStr">
        <is>
          <t>584245476168074818</t>
        </is>
      </c>
      <c r="B84" s="3" t="inlineStr">
        <is>
          <t>已发货</t>
        </is>
      </c>
      <c r="C84" s="3" t="inlineStr">
        <is>
          <t>C1</t>
        </is>
      </c>
      <c r="D84" s="3" t="inlineStr">
        <is>
          <t>魔芋笋1大袋</t>
        </is>
      </c>
      <c r="E84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84" s="3" t="inlineStr">
        <is>
          <t>รสเผ็ดหอม​, 1pcs   200g</t>
        </is>
      </c>
      <c r="G84" s="6" t="n">
        <v>1</v>
      </c>
      <c r="H84" s="6" t="n">
        <v>128</v>
      </c>
      <c r="I84" s="6" t="n">
        <v>0</v>
      </c>
      <c r="J84" s="6" t="n">
        <v>35</v>
      </c>
      <c r="K84" s="6">
        <f>H84+I84</f>
        <v/>
      </c>
      <c r="L84" s="5">
        <f>K84/4.7</f>
        <v/>
      </c>
      <c r="M84" s="6" t="n">
        <v>6.699999999999999</v>
      </c>
      <c r="N84" s="6" t="n">
        <v>1</v>
      </c>
      <c r="O84" s="6">
        <f>(K84*0.1229+1.05)/4.7</f>
        <v/>
      </c>
      <c r="P84" s="6">
        <f>K84*0.0749/4.7</f>
        <v/>
      </c>
      <c r="Q84" s="5">
        <f>M84+N84+O84+P84</f>
        <v/>
      </c>
      <c r="R84" s="5">
        <f>L84-Q84</f>
        <v/>
      </c>
      <c r="S84" s="6">
        <f>R84*4.7</f>
        <v/>
      </c>
      <c r="T84" s="7">
        <f>IF(L84&gt;0,R84/L84,0)</f>
        <v/>
      </c>
      <c r="U84" s="3" t="inlineStr">
        <is>
          <t>28/05/2026 22:10:51</t>
        </is>
      </c>
    </row>
    <row r="85">
      <c r="A85" s="3" t="inlineStr">
        <is>
          <t>584245245338879778</t>
        </is>
      </c>
      <c r="B85" s="3" t="inlineStr">
        <is>
          <t>已发货</t>
        </is>
      </c>
      <c r="C85" s="3" t="inlineStr">
        <is>
          <t>CK</t>
        </is>
      </c>
      <c r="D85" s="3" t="inlineStr">
        <is>
          <t>黑松露黑麦苏打饼干</t>
        </is>
      </c>
      <c r="E8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5" s="3" t="inlineStr">
        <is>
          <t>ค่าเริ่มต้น</t>
        </is>
      </c>
      <c r="G85" s="6" t="n">
        <v>1</v>
      </c>
      <c r="H85" s="6" t="n">
        <v>60</v>
      </c>
      <c r="I85" s="6" t="n">
        <v>40</v>
      </c>
      <c r="J85" s="6" t="n">
        <v>35</v>
      </c>
      <c r="K85" s="6">
        <f>H85+I85</f>
        <v/>
      </c>
      <c r="L85" s="5">
        <f>K85/4.7</f>
        <v/>
      </c>
      <c r="M85" s="6" t="n">
        <v>10.72665050209467</v>
      </c>
      <c r="N85" s="6" t="n">
        <v>1</v>
      </c>
      <c r="O85" s="6">
        <f>(K85*0.1229+1.05)/4.7</f>
        <v/>
      </c>
      <c r="P85" s="6">
        <f>K85*0.0749/4.7</f>
        <v/>
      </c>
      <c r="Q85" s="5">
        <f>M85+N85+O85+P85</f>
        <v/>
      </c>
      <c r="R85" s="5">
        <f>L85-Q85</f>
        <v/>
      </c>
      <c r="S85" s="6">
        <f>R85*4.7</f>
        <v/>
      </c>
      <c r="T85" s="7">
        <f>IF(L85&gt;0,R85/L85,0)</f>
        <v/>
      </c>
      <c r="U85" s="3" t="inlineStr">
        <is>
          <t>28/05/2026 21:54:43</t>
        </is>
      </c>
    </row>
    <row r="86">
      <c r="A86" s="3" t="inlineStr">
        <is>
          <t>584244637312780016</t>
        </is>
      </c>
      <c r="B86" s="3" t="inlineStr">
        <is>
          <t>已取消</t>
        </is>
      </c>
      <c r="C86" s="3" t="inlineStr">
        <is>
          <t>CK</t>
        </is>
      </c>
      <c r="D86" s="3" t="inlineStr">
        <is>
          <t>黑松露黑麦苏打饼干</t>
        </is>
      </c>
      <c r="E8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6" s="3" t="inlineStr">
        <is>
          <t>ค่าเริ่มต้น</t>
        </is>
      </c>
      <c r="G86" s="6" t="n">
        <v>1</v>
      </c>
      <c r="H86" s="6" t="n">
        <v>100</v>
      </c>
      <c r="I86" s="6" t="n">
        <v>0</v>
      </c>
      <c r="J86" s="6" t="n">
        <v>88</v>
      </c>
      <c r="K86" s="6">
        <f>H86+I86</f>
        <v/>
      </c>
      <c r="L86" s="5">
        <f>K86/4.7</f>
        <v/>
      </c>
      <c r="M86" s="6" t="n">
        <v>10.72665050209467</v>
      </c>
      <c r="N86" s="6" t="n">
        <v>1</v>
      </c>
      <c r="O86" s="6">
        <f>(K86*0.1229+1.05)/4.7</f>
        <v/>
      </c>
      <c r="P86" s="6">
        <f>K86*0.0749/4.7</f>
        <v/>
      </c>
      <c r="Q86" s="5">
        <f>M86+N86+O86+P86</f>
        <v/>
      </c>
      <c r="R86" s="5">
        <f>L86-Q86</f>
        <v/>
      </c>
      <c r="S86" s="6">
        <f>R86*4.7</f>
        <v/>
      </c>
      <c r="T86" s="7">
        <f>IF(L86&gt;0,R86/L86,0)</f>
        <v/>
      </c>
      <c r="U86" s="3" t="inlineStr">
        <is>
          <t>28/05/2026 21:16:54</t>
        </is>
      </c>
    </row>
    <row r="87">
      <c r="A87" s="3" t="inlineStr">
        <is>
          <t>584244589145916770</t>
        </is>
      </c>
      <c r="B87" s="3" t="inlineStr">
        <is>
          <t>已发货</t>
        </is>
      </c>
      <c r="C87" s="3" t="inlineStr">
        <is>
          <t>ER-B</t>
        </is>
      </c>
      <c r="D87" s="3" t="inlineStr">
        <is>
          <t>广州酒家黄油鸡蛋卷480g</t>
        </is>
      </c>
      <c r="E87" s="3" t="inlineStr">
        <is>
          <t>Egg Roll 2สูตร ทองม้วนไข่กล่องเหล็กพรีเมี่ยม!! GuangZhou Restaurant 454g/480g กล่องล่ะ 24 แท่ง</t>
        </is>
      </c>
      <c r="F87" s="3" t="inlineStr">
        <is>
          <t>Butter สูตรเนยสด พรีเมี่ยม</t>
        </is>
      </c>
      <c r="G87" s="6" t="n">
        <v>1</v>
      </c>
      <c r="H87" s="6" t="n">
        <v>324</v>
      </c>
      <c r="I87" s="6" t="n">
        <v>36</v>
      </c>
      <c r="J87" s="6" t="n">
        <v>35</v>
      </c>
      <c r="K87" s="6">
        <f>H87+I87</f>
        <v/>
      </c>
      <c r="L87" s="5">
        <f>K87/4.7</f>
        <v/>
      </c>
      <c r="M87" s="6" t="n">
        <v>45.49882436351998</v>
      </c>
      <c r="N87" s="6" t="n">
        <v>2</v>
      </c>
      <c r="O87" s="6">
        <f>(K87*0.1229+1.05)/4.7</f>
        <v/>
      </c>
      <c r="P87" s="6">
        <f>K87*0.0749/4.7</f>
        <v/>
      </c>
      <c r="Q87" s="5">
        <f>M87+N87+O87+P87</f>
        <v/>
      </c>
      <c r="R87" s="5">
        <f>L87-Q87</f>
        <v/>
      </c>
      <c r="S87" s="6">
        <f>R87*4.7</f>
        <v/>
      </c>
      <c r="T87" s="7">
        <f>IF(L87&gt;0,R87/L87,0)</f>
        <v/>
      </c>
      <c r="U87" s="3" t="inlineStr">
        <is>
          <t>28/05/2026 21:09:46</t>
        </is>
      </c>
    </row>
    <row r="88">
      <c r="A88" s="3" t="inlineStr">
        <is>
          <t>584244400074950028</t>
        </is>
      </c>
      <c r="B88" s="3" t="inlineStr">
        <is>
          <t>已发货</t>
        </is>
      </c>
      <c r="C88" s="3" t="inlineStr">
        <is>
          <t>C1</t>
        </is>
      </c>
      <c r="D88" s="3" t="inlineStr">
        <is>
          <t>魔芋笋1大袋</t>
        </is>
      </c>
      <c r="E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" s="3" t="inlineStr">
        <is>
          <t>รสเผ็ดหอม​, 10 ซอง 200g</t>
        </is>
      </c>
      <c r="G88" s="6" t="n">
        <v>2</v>
      </c>
      <c r="H88" s="6" t="n">
        <v>148</v>
      </c>
      <c r="I88" s="6" t="n">
        <v>0</v>
      </c>
      <c r="J88" s="6" t="n">
        <v>38</v>
      </c>
      <c r="K88" s="6">
        <f>H88+I88</f>
        <v/>
      </c>
      <c r="L88" s="5">
        <f>K88/4.7</f>
        <v/>
      </c>
      <c r="M88" s="6" t="n">
        <v>13.4</v>
      </c>
      <c r="N88" s="6" t="n">
        <v>1</v>
      </c>
      <c r="O88" s="6">
        <f>(K88*0.1229+1.05)/4.7</f>
        <v/>
      </c>
      <c r="P88" s="6">
        <f>K88*0.0749/4.7</f>
        <v/>
      </c>
      <c r="Q88" s="5">
        <f>M88+N88+O88+P88</f>
        <v/>
      </c>
      <c r="R88" s="5">
        <f>L88-Q88</f>
        <v/>
      </c>
      <c r="S88" s="6">
        <f>R88*4.7</f>
        <v/>
      </c>
      <c r="T88" s="7">
        <f>IF(L88&gt;0,R88/L88,0)</f>
        <v/>
      </c>
      <c r="U88" s="3" t="inlineStr">
        <is>
          <t>28/05/2026 21:02:33</t>
        </is>
      </c>
    </row>
    <row r="89">
      <c r="A89" s="3" t="inlineStr">
        <is>
          <t>584244236945687784</t>
        </is>
      </c>
      <c r="B89" s="3" t="inlineStr">
        <is>
          <t>已发货</t>
        </is>
      </c>
      <c r="C89" s="3" t="inlineStr">
        <is>
          <t>CK</t>
        </is>
      </c>
      <c r="D89" s="3" t="inlineStr">
        <is>
          <t>黑松露黑麦苏打饼干</t>
        </is>
      </c>
      <c r="E8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9" s="3" t="inlineStr">
        <is>
          <t>ค่าเริ่มต้น</t>
        </is>
      </c>
      <c r="G89" s="6" t="n">
        <v>1</v>
      </c>
      <c r="H89" s="6" t="n">
        <v>105</v>
      </c>
      <c r="I89" s="6" t="n">
        <v>0</v>
      </c>
      <c r="J89" s="6" t="n">
        <v>35</v>
      </c>
      <c r="K89" s="6">
        <f>H89+I89</f>
        <v/>
      </c>
      <c r="L89" s="5">
        <f>K89/4.7</f>
        <v/>
      </c>
      <c r="M89" s="6" t="n">
        <v>10.72665050209467</v>
      </c>
      <c r="N89" s="6" t="n">
        <v>1</v>
      </c>
      <c r="O89" s="6">
        <f>(K89*0.1229+1.05)/4.7</f>
        <v/>
      </c>
      <c r="P89" s="6">
        <f>K89*0.0749/4.7</f>
        <v/>
      </c>
      <c r="Q89" s="5">
        <f>M89+N89+O89+P89</f>
        <v/>
      </c>
      <c r="R89" s="5">
        <f>L89-Q89</f>
        <v/>
      </c>
      <c r="S89" s="6">
        <f>R89*4.7</f>
        <v/>
      </c>
      <c r="T89" s="7">
        <f>IF(L89&gt;0,R89/L89,0)</f>
        <v/>
      </c>
      <c r="U89" s="3" t="inlineStr">
        <is>
          <t>28/05/2026 20:51:34</t>
        </is>
      </c>
    </row>
    <row r="90">
      <c r="A90" s="3" t="inlineStr">
        <is>
          <t>584241588239369926</t>
        </is>
      </c>
      <c r="B90" s="3" t="inlineStr">
        <is>
          <t>已发货</t>
        </is>
      </c>
      <c r="C90" s="3" t="inlineStr">
        <is>
          <t>C2</t>
        </is>
      </c>
      <c r="D90" s="3" t="inlineStr">
        <is>
          <t>魔芋笋2大袋</t>
        </is>
      </c>
      <c r="E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" s="3" t="inlineStr">
        <is>
          <t>รสเผ็ดหอม​, 20 ซอง 400g</t>
        </is>
      </c>
      <c r="G90" s="6" t="n">
        <v>1</v>
      </c>
      <c r="H90" s="6" t="n">
        <v>95</v>
      </c>
      <c r="I90" s="6" t="n">
        <v>30</v>
      </c>
      <c r="J90" s="6" t="n">
        <v>35</v>
      </c>
      <c r="K90" s="6">
        <f>H90+I90</f>
        <v/>
      </c>
      <c r="L90" s="5">
        <f>K90/4.7</f>
        <v/>
      </c>
      <c r="M90" s="6" t="n">
        <v>13.4</v>
      </c>
      <c r="N90" s="6" t="n">
        <v>1</v>
      </c>
      <c r="O90" s="6">
        <f>(K90*0.1229+1.05)/4.7</f>
        <v/>
      </c>
      <c r="P90" s="6">
        <f>K90*0.0749/4.7</f>
        <v/>
      </c>
      <c r="Q90" s="5">
        <f>M90+N90+O90+P90</f>
        <v/>
      </c>
      <c r="R90" s="5">
        <f>L90-Q90</f>
        <v/>
      </c>
      <c r="S90" s="6">
        <f>R90*4.7</f>
        <v/>
      </c>
      <c r="T90" s="7">
        <f>IF(L90&gt;0,R90/L90,0)</f>
        <v/>
      </c>
      <c r="U90" s="3" t="inlineStr">
        <is>
          <t>28/05/2026 17:53:24</t>
        </is>
      </c>
    </row>
    <row r="91">
      <c r="A91" s="3" t="inlineStr">
        <is>
          <t>584241581592577835</t>
        </is>
      </c>
      <c r="B91" s="3" t="inlineStr">
        <is>
          <t>已发货</t>
        </is>
      </c>
      <c r="C91" s="3" t="inlineStr">
        <is>
          <t>C1</t>
        </is>
      </c>
      <c r="D91" s="3" t="inlineStr">
        <is>
          <t>魔芋笋1大袋</t>
        </is>
      </c>
      <c r="E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" s="3" t="inlineStr">
        <is>
          <t>รสเผ็ดหอม​, 10 ซอง 200g</t>
        </is>
      </c>
      <c r="G91" s="6" t="n">
        <v>2</v>
      </c>
      <c r="H91" s="6" t="n">
        <v>138</v>
      </c>
      <c r="I91" s="6" t="n">
        <v>0</v>
      </c>
      <c r="J91" s="6" t="n">
        <v>48</v>
      </c>
      <c r="K91" s="6">
        <f>H91+I91</f>
        <v/>
      </c>
      <c r="L91" s="5">
        <f>K91/4.7</f>
        <v/>
      </c>
      <c r="M91" s="6" t="n">
        <v>13.4</v>
      </c>
      <c r="N91" s="6" t="n">
        <v>1</v>
      </c>
      <c r="O91" s="6">
        <f>(K91*0.1229+1.05)/4.7</f>
        <v/>
      </c>
      <c r="P91" s="6">
        <f>K91*0.0749/4.7</f>
        <v/>
      </c>
      <c r="Q91" s="5">
        <f>M91+N91+O91+P91</f>
        <v/>
      </c>
      <c r="R91" s="5">
        <f>L91-Q91</f>
        <v/>
      </c>
      <c r="S91" s="6">
        <f>R91*4.7</f>
        <v/>
      </c>
      <c r="T91" s="7">
        <f>IF(L91&gt;0,R91/L91,0)</f>
        <v/>
      </c>
      <c r="U91" s="3" t="inlineStr">
        <is>
          <t>28/05/2026 17:49:35</t>
        </is>
      </c>
    </row>
    <row r="92">
      <c r="A92" s="3" t="inlineStr">
        <is>
          <t>584240568875059005</t>
        </is>
      </c>
      <c r="B92" s="3" t="inlineStr">
        <is>
          <t>已发货</t>
        </is>
      </c>
      <c r="C92" s="3" t="inlineStr">
        <is>
          <t>CK</t>
        </is>
      </c>
      <c r="D92" s="3" t="inlineStr">
        <is>
          <t>黑松露黑麦苏打饼干</t>
        </is>
      </c>
      <c r="E9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2" s="3" t="inlineStr">
        <is>
          <t>ค่าเริ่มต้น</t>
        </is>
      </c>
      <c r="G92" s="6" t="n">
        <v>2</v>
      </c>
      <c r="H92" s="6" t="n">
        <v>165.32</v>
      </c>
      <c r="I92" s="6" t="n">
        <v>29.18</v>
      </c>
      <c r="J92" s="6" t="n">
        <v>28</v>
      </c>
      <c r="K92" s="6">
        <f>H92+I92</f>
        <v/>
      </c>
      <c r="L92" s="5">
        <f>K92/4.7</f>
        <v/>
      </c>
      <c r="M92" s="6" t="n">
        <v>21.45330100418933</v>
      </c>
      <c r="N92" s="6" t="n">
        <v>1</v>
      </c>
      <c r="O92" s="6">
        <f>(K92*0.1229+1.05)/4.7</f>
        <v/>
      </c>
      <c r="P92" s="6">
        <f>K92*0.0749/4.7</f>
        <v/>
      </c>
      <c r="Q92" s="5">
        <f>M92+N92+O92+P92</f>
        <v/>
      </c>
      <c r="R92" s="5">
        <f>L92-Q92</f>
        <v/>
      </c>
      <c r="S92" s="6">
        <f>R92*4.7</f>
        <v/>
      </c>
      <c r="T92" s="7">
        <f>IF(L92&gt;0,R92/L92,0)</f>
        <v/>
      </c>
      <c r="U92" s="3" t="inlineStr">
        <is>
          <t>28/05/2026 16:33:52</t>
        </is>
      </c>
    </row>
    <row r="93">
      <c r="A93" s="3" t="inlineStr">
        <is>
          <t>584240059354613347</t>
        </is>
      </c>
      <c r="B93" s="3" t="inlineStr">
        <is>
          <t>已发货</t>
        </is>
      </c>
      <c r="C93" s="3" t="inlineStr">
        <is>
          <t>C1</t>
        </is>
      </c>
      <c r="D93" s="3" t="inlineStr">
        <is>
          <t>魔芋笋1大袋</t>
        </is>
      </c>
      <c r="E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" s="3" t="inlineStr">
        <is>
          <t>รสเผ็ดหอม​, 10 ซอง 200g</t>
        </is>
      </c>
      <c r="G93" s="6" t="n">
        <v>1</v>
      </c>
      <c r="H93" s="6" t="n">
        <v>66.90000000000001</v>
      </c>
      <c r="I93" s="6" t="n">
        <v>2.1</v>
      </c>
      <c r="J93" s="6" t="n">
        <v>35</v>
      </c>
      <c r="K93" s="6">
        <f>H93+I93</f>
        <v/>
      </c>
      <c r="L93" s="5">
        <f>K93/4.7</f>
        <v/>
      </c>
      <c r="M93" s="6" t="n">
        <v>6.699999999999999</v>
      </c>
      <c r="N93" s="6" t="n">
        <v>1</v>
      </c>
      <c r="O93" s="6">
        <f>(K93*0.1229+1.05)/4.7</f>
        <v/>
      </c>
      <c r="P93" s="6">
        <f>K93*0.0749/4.7</f>
        <v/>
      </c>
      <c r="Q93" s="5">
        <f>M93+N93+O93+P93</f>
        <v/>
      </c>
      <c r="R93" s="5">
        <f>L93-Q93</f>
        <v/>
      </c>
      <c r="S93" s="6">
        <f>R93*4.7</f>
        <v/>
      </c>
      <c r="T93" s="7">
        <f>IF(L93&gt;0,R93/L93,0)</f>
        <v/>
      </c>
      <c r="U93" s="3" t="inlineStr">
        <is>
          <t>28/05/2026 15:51:19</t>
        </is>
      </c>
    </row>
    <row r="94">
      <c r="A94" s="3" t="inlineStr">
        <is>
          <t>584240048253732372</t>
        </is>
      </c>
      <c r="B94" s="3" t="inlineStr">
        <is>
          <t>已发货</t>
        </is>
      </c>
      <c r="C94" s="3" t="inlineStr">
        <is>
          <t>Js18</t>
        </is>
      </c>
      <c r="D94" s="3" t="inlineStr">
        <is>
          <t>果冻18个</t>
        </is>
      </c>
      <c r="E94" s="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F94" s="3" t="inlineStr">
        <is>
          <t>18 ซอง / 288 กรัม (คละ 3 รสชาติ)</t>
        </is>
      </c>
      <c r="G94" s="6" t="n">
        <v>1</v>
      </c>
      <c r="H94" s="6" t="n">
        <v>90</v>
      </c>
      <c r="I94" s="6" t="n">
        <v>0</v>
      </c>
      <c r="J94" s="6" t="n">
        <v>42</v>
      </c>
      <c r="K94" s="6">
        <f>H94+I94</f>
        <v/>
      </c>
      <c r="L94" s="5">
        <f>K94/4.7</f>
        <v/>
      </c>
      <c r="M94" s="6" t="n">
        <v>12</v>
      </c>
      <c r="N94" s="6" t="n">
        <v>1</v>
      </c>
      <c r="O94" s="6">
        <f>(K94*0.1229+1.05)/4.7</f>
        <v/>
      </c>
      <c r="P94" s="6">
        <f>K94*0.0749/4.7</f>
        <v/>
      </c>
      <c r="Q94" s="5">
        <f>M94+N94+O94+P94</f>
        <v/>
      </c>
      <c r="R94" s="5">
        <f>L94-Q94</f>
        <v/>
      </c>
      <c r="S94" s="6">
        <f>R94*4.7</f>
        <v/>
      </c>
      <c r="T94" s="7">
        <f>IF(L94&gt;0,R94/L94,0)</f>
        <v/>
      </c>
      <c r="U94" s="3" t="inlineStr">
        <is>
          <t>28/05/2026 15:50:53</t>
        </is>
      </c>
    </row>
    <row r="95">
      <c r="A95" s="3" t="inlineStr">
        <is>
          <t>584240029924033542</t>
        </is>
      </c>
      <c r="B95" s="3" t="inlineStr">
        <is>
          <t>已发货</t>
        </is>
      </c>
      <c r="C95" s="3" t="inlineStr">
        <is>
          <t>C2</t>
        </is>
      </c>
      <c r="D95" s="3" t="inlineStr">
        <is>
          <t>魔芋笋2大袋</t>
        </is>
      </c>
      <c r="E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" s="3" t="inlineStr">
        <is>
          <t>รสเผ็ดหอม​, 20 ซอง 400g</t>
        </is>
      </c>
      <c r="G95" s="6" t="n">
        <v>1</v>
      </c>
      <c r="H95" s="6" t="n">
        <v>125</v>
      </c>
      <c r="I95" s="6" t="n">
        <v>0</v>
      </c>
      <c r="J95" s="6" t="n">
        <v>38</v>
      </c>
      <c r="K95" s="6">
        <f>H95+I95</f>
        <v/>
      </c>
      <c r="L95" s="5">
        <f>K95/4.7</f>
        <v/>
      </c>
      <c r="M95" s="6" t="n">
        <v>13.4</v>
      </c>
      <c r="N95" s="6" t="n">
        <v>1</v>
      </c>
      <c r="O95" s="6">
        <f>(K95*0.1229+1.05)/4.7</f>
        <v/>
      </c>
      <c r="P95" s="6">
        <f>K95*0.0749/4.7</f>
        <v/>
      </c>
      <c r="Q95" s="5">
        <f>M95+N95+O95+P95</f>
        <v/>
      </c>
      <c r="R95" s="5">
        <f>L95-Q95</f>
        <v/>
      </c>
      <c r="S95" s="6">
        <f>R95*4.7</f>
        <v/>
      </c>
      <c r="T95" s="7">
        <f>IF(L95&gt;0,R95/L95,0)</f>
        <v/>
      </c>
      <c r="U95" s="3" t="inlineStr">
        <is>
          <t>28/05/2026 15:47:33</t>
        </is>
      </c>
    </row>
    <row r="96">
      <c r="A96" s="3" t="inlineStr">
        <is>
          <t>584240041044510228</t>
        </is>
      </c>
      <c r="B96" s="3" t="inlineStr">
        <is>
          <t>已发货</t>
        </is>
      </c>
      <c r="C96" s="3" t="inlineStr">
        <is>
          <t>Js18</t>
        </is>
      </c>
      <c r="D96" s="3" t="inlineStr">
        <is>
          <t>果冻18个</t>
        </is>
      </c>
      <c r="E96" s="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F96" s="3" t="inlineStr">
        <is>
          <t>18 ซอง / 288 กรัม (คละ 3 รสชาติ)</t>
        </is>
      </c>
      <c r="G96" s="6" t="n">
        <v>1</v>
      </c>
      <c r="H96" s="6" t="n">
        <v>90</v>
      </c>
      <c r="I96" s="6" t="n">
        <v>0</v>
      </c>
      <c r="J96" s="6" t="n">
        <v>54</v>
      </c>
      <c r="K96" s="6">
        <f>H96+I96</f>
        <v/>
      </c>
      <c r="L96" s="5">
        <f>K96/4.7</f>
        <v/>
      </c>
      <c r="M96" s="6" t="n">
        <v>12</v>
      </c>
      <c r="N96" s="6" t="n">
        <v>1</v>
      </c>
      <c r="O96" s="6">
        <f>(K96*0.1229+1.05)/4.7</f>
        <v/>
      </c>
      <c r="P96" s="6">
        <f>K96*0.0749/4.7</f>
        <v/>
      </c>
      <c r="Q96" s="5">
        <f>M96+N96+O96+P96</f>
        <v/>
      </c>
      <c r="R96" s="5">
        <f>L96-Q96</f>
        <v/>
      </c>
      <c r="S96" s="6">
        <f>R96*4.7</f>
        <v/>
      </c>
      <c r="T96" s="7">
        <f>IF(L96&gt;0,R96/L96,0)</f>
        <v/>
      </c>
      <c r="U96" s="3" t="inlineStr">
        <is>
          <t>28/05/2026 15:46:47</t>
        </is>
      </c>
    </row>
    <row r="97">
      <c r="A97" s="3" t="inlineStr">
        <is>
          <t>584239741706470896</t>
        </is>
      </c>
      <c r="B97" s="3" t="inlineStr">
        <is>
          <t>已发货</t>
        </is>
      </c>
      <c r="C97" s="3" t="inlineStr">
        <is>
          <t>ER-B</t>
        </is>
      </c>
      <c r="D97" s="3" t="inlineStr">
        <is>
          <t>广州酒家黄油鸡蛋卷480g</t>
        </is>
      </c>
      <c r="E97" s="3" t="inlineStr">
        <is>
          <t>Egg Roll เอ้กโรลไข่ สูตรเนยสดนำเข้า กล่องเหล็กพรีเมี่ยม 24แท่ง 480 กรัม</t>
        </is>
      </c>
      <c r="F97" s="3" t="inlineStr">
        <is>
          <t>ค่าเริ่มต้น</t>
        </is>
      </c>
      <c r="G97" s="6" t="n">
        <v>1</v>
      </c>
      <c r="H97" s="6" t="n">
        <v>294.8</v>
      </c>
      <c r="I97" s="6" t="n">
        <v>40.2</v>
      </c>
      <c r="J97" s="6" t="n">
        <v>24</v>
      </c>
      <c r="K97" s="6">
        <f>H97+I97</f>
        <v/>
      </c>
      <c r="L97" s="5">
        <f>K97/4.7</f>
        <v/>
      </c>
      <c r="M97" s="6" t="n">
        <v>45.49882436351998</v>
      </c>
      <c r="N97" s="6" t="n">
        <v>2</v>
      </c>
      <c r="O97" s="6">
        <f>(K97*0.1229+1.05)/4.7</f>
        <v/>
      </c>
      <c r="P97" s="6">
        <f>K97*0.0749/4.7</f>
        <v/>
      </c>
      <c r="Q97" s="5">
        <f>M97+N97+O97+P97</f>
        <v/>
      </c>
      <c r="R97" s="5">
        <f>L97-Q97</f>
        <v/>
      </c>
      <c r="S97" s="6">
        <f>R97*4.7</f>
        <v/>
      </c>
      <c r="T97" s="7">
        <f>IF(L97&gt;0,R97/L97,0)</f>
        <v/>
      </c>
      <c r="U97" s="3" t="inlineStr">
        <is>
          <t>28/05/2026 15:26:56</t>
        </is>
      </c>
    </row>
    <row r="98">
      <c r="A98" s="3" t="inlineStr">
        <is>
          <t>584239632516023922</t>
        </is>
      </c>
      <c r="B98" s="3" t="inlineStr">
        <is>
          <t>已发货</t>
        </is>
      </c>
      <c r="C98" s="3" t="inlineStr">
        <is>
          <t>C1</t>
        </is>
      </c>
      <c r="D98" s="3" t="inlineStr">
        <is>
          <t>魔芋笋1大袋</t>
        </is>
      </c>
      <c r="E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" s="3" t="inlineStr">
        <is>
          <t>รสเผ็ดหอม​, 10 ซอง 200g</t>
        </is>
      </c>
      <c r="G98" s="6" t="n">
        <v>1</v>
      </c>
      <c r="H98" s="6" t="n">
        <v>140</v>
      </c>
      <c r="I98" s="6" t="n">
        <v>0</v>
      </c>
      <c r="J98" s="6" t="n">
        <v>48</v>
      </c>
      <c r="K98" s="6">
        <f>H98+I98</f>
        <v/>
      </c>
      <c r="L98" s="5">
        <f>K98/4.7</f>
        <v/>
      </c>
      <c r="M98" s="6" t="n">
        <v>6.699999999999999</v>
      </c>
      <c r="N98" s="6" t="n">
        <v>1</v>
      </c>
      <c r="O98" s="6">
        <f>(K98*0.1229+1.05)/4.7</f>
        <v/>
      </c>
      <c r="P98" s="6">
        <f>K98*0.0749/4.7</f>
        <v/>
      </c>
      <c r="Q98" s="5">
        <f>M98+N98+O98+P98</f>
        <v/>
      </c>
      <c r="R98" s="5">
        <f>L98-Q98</f>
        <v/>
      </c>
      <c r="S98" s="6">
        <f>R98*4.7</f>
        <v/>
      </c>
      <c r="T98" s="7">
        <f>IF(L98&gt;0,R98/L98,0)</f>
        <v/>
      </c>
      <c r="U98" s="3" t="inlineStr">
        <is>
          <t>28/05/2026 15:14:23</t>
        </is>
      </c>
    </row>
    <row r="99">
      <c r="A99" s="3" t="inlineStr">
        <is>
          <t>584239632516023922</t>
        </is>
      </c>
      <c r="B99" s="3" t="inlineStr">
        <is>
          <t>已发货</t>
        </is>
      </c>
      <c r="C99" s="3" t="inlineStr">
        <is>
          <t>B1</t>
        </is>
      </c>
      <c r="D99" s="3" t="inlineStr">
        <is>
          <t>魔芋笋1大袋</t>
        </is>
      </c>
      <c r="E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" s="3" t="inlineStr">
        <is>
          <t>รสเปรี้ยวเผ็ด​, 10 ซอง 200g</t>
        </is>
      </c>
      <c r="G99" s="6" t="n">
        <v>1</v>
      </c>
      <c r="H99" s="6" t="n">
        <v>140</v>
      </c>
      <c r="I99" s="6" t="n">
        <v>0</v>
      </c>
      <c r="J99" s="6" t="n">
        <v>48</v>
      </c>
      <c r="K99" s="6">
        <f>H99+I99</f>
        <v/>
      </c>
      <c r="L99" s="5">
        <f>K99/4.7</f>
        <v/>
      </c>
      <c r="M99" s="6" t="n">
        <v>6.699999999999999</v>
      </c>
      <c r="N99" s="6" t="n">
        <v>1</v>
      </c>
      <c r="O99" s="6">
        <f>(K99*0.1229+1.05)/4.7</f>
        <v/>
      </c>
      <c r="P99" s="6">
        <f>K99*0.0749/4.7</f>
        <v/>
      </c>
      <c r="Q99" s="5">
        <f>M99+N99+O99+P99</f>
        <v/>
      </c>
      <c r="R99" s="5">
        <f>L99-Q99</f>
        <v/>
      </c>
      <c r="S99" s="6">
        <f>R99*4.7</f>
        <v/>
      </c>
      <c r="T99" s="7">
        <f>IF(L99&gt;0,R99/L99,0)</f>
        <v/>
      </c>
      <c r="U99" s="3" t="inlineStr">
        <is>
          <t>28/05/2026 15:14:23</t>
        </is>
      </c>
    </row>
    <row r="100">
      <c r="A100" s="3" t="inlineStr">
        <is>
          <t>584239413381662598</t>
        </is>
      </c>
      <c r="B100" s="3" t="inlineStr">
        <is>
          <t>已发货</t>
        </is>
      </c>
      <c r="C100" s="3" t="inlineStr">
        <is>
          <t>ER-A</t>
        </is>
      </c>
      <c r="D100" s="3" t="inlineStr">
        <is>
          <t>广州酒家传统鸡蛋卷454g</t>
        </is>
      </c>
      <c r="E100" s="3" t="inlineStr">
        <is>
          <t>Egg Roll เอ้กโรลไข่ สูตรดั้งเดิม กล่องเหล็กพรีเมี่ยมนำเข้า 24แท่ง 454กรัม</t>
        </is>
      </c>
      <c r="F100" s="3" t="inlineStr">
        <is>
          <t>ค่าเริ่มต้น</t>
        </is>
      </c>
      <c r="G100" s="6" t="n">
        <v>1</v>
      </c>
      <c r="H100" s="6" t="n">
        <v>598.4</v>
      </c>
      <c r="I100" s="6" t="n">
        <v>40.8</v>
      </c>
      <c r="J100" s="6" t="n">
        <v>35</v>
      </c>
      <c r="K100" s="6">
        <f>H100+I100</f>
        <v/>
      </c>
      <c r="L100" s="5">
        <f>K100/4.7</f>
        <v/>
      </c>
      <c r="M100" s="6" t="n">
        <v>40.25338607190941</v>
      </c>
      <c r="N100" s="6" t="n">
        <v>2</v>
      </c>
      <c r="O100" s="6">
        <f>(K100*0.1229+1.05)/4.7</f>
        <v/>
      </c>
      <c r="P100" s="6">
        <f>K100*0.0749/4.7</f>
        <v/>
      </c>
      <c r="Q100" s="5">
        <f>M100+N100+O100+P100</f>
        <v/>
      </c>
      <c r="R100" s="5">
        <f>L100-Q100</f>
        <v/>
      </c>
      <c r="S100" s="6">
        <f>R100*4.7</f>
        <v/>
      </c>
      <c r="T100" s="7">
        <f>IF(L100&gt;0,R100/L100,0)</f>
        <v/>
      </c>
      <c r="U100" s="3" t="inlineStr">
        <is>
          <t>28/05/2026 15:00:07</t>
        </is>
      </c>
    </row>
    <row r="101">
      <c r="A101" s="3" t="inlineStr">
        <is>
          <t>584239413381662598</t>
        </is>
      </c>
      <c r="B101" s="3" t="inlineStr">
        <is>
          <t>已发货</t>
        </is>
      </c>
      <c r="C101" s="3" t="inlineStr">
        <is>
          <t>ER-B</t>
        </is>
      </c>
      <c r="D101" s="3" t="inlineStr">
        <is>
          <t>广州酒家黄油鸡蛋卷480g</t>
        </is>
      </c>
      <c r="E101" s="3" t="inlineStr">
        <is>
          <t>Egg Roll เอ้กโรลไข่ สูตรเนยสดนำเข้า กล่องเหล็กพรีเมี่ยม 24แท่ง 480 กรัม</t>
        </is>
      </c>
      <c r="F101" s="3" t="inlineStr">
        <is>
          <t>ค่าเริ่มต้น</t>
        </is>
      </c>
      <c r="G101" s="6" t="n">
        <v>1</v>
      </c>
      <c r="H101" s="6" t="n">
        <v>598.4</v>
      </c>
      <c r="I101" s="6" t="n">
        <v>40.8</v>
      </c>
      <c r="J101" s="6" t="n">
        <v>35</v>
      </c>
      <c r="K101" s="6">
        <f>H101+I101</f>
        <v/>
      </c>
      <c r="L101" s="5">
        <f>K101/4.7</f>
        <v/>
      </c>
      <c r="M101" s="6" t="n">
        <v>45.49882436351998</v>
      </c>
      <c r="N101" s="6" t="n">
        <v>2</v>
      </c>
      <c r="O101" s="6">
        <f>(K101*0.1229+1.05)/4.7</f>
        <v/>
      </c>
      <c r="P101" s="6">
        <f>K101*0.0749/4.7</f>
        <v/>
      </c>
      <c r="Q101" s="5">
        <f>M101+N101+O101+P101</f>
        <v/>
      </c>
      <c r="R101" s="5">
        <f>L101-Q101</f>
        <v/>
      </c>
      <c r="S101" s="6">
        <f>R101*4.7</f>
        <v/>
      </c>
      <c r="T101" s="7">
        <f>IF(L101&gt;0,R101/L101,0)</f>
        <v/>
      </c>
      <c r="U101" s="3" t="inlineStr">
        <is>
          <t>28/05/2026 15:00:07</t>
        </is>
      </c>
    </row>
    <row r="102">
      <c r="A102" s="3" t="inlineStr">
        <is>
          <t>584239165248210136</t>
        </is>
      </c>
      <c r="B102" s="3" t="inlineStr">
        <is>
          <t>已发货</t>
        </is>
      </c>
      <c r="C102" s="3" t="inlineStr">
        <is>
          <t>C2</t>
        </is>
      </c>
      <c r="D102" s="3" t="inlineStr">
        <is>
          <t>魔芋笋2大袋</t>
        </is>
      </c>
      <c r="E1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2" s="3" t="inlineStr">
        <is>
          <t>รสเผ็ดหอม​, 20 ซอง 400g</t>
        </is>
      </c>
      <c r="G102" s="6" t="n">
        <v>1</v>
      </c>
      <c r="H102" s="6" t="n">
        <v>75</v>
      </c>
      <c r="I102" s="6" t="n">
        <v>50</v>
      </c>
      <c r="J102" s="6" t="n">
        <v>38</v>
      </c>
      <c r="K102" s="6">
        <f>H102+I102</f>
        <v/>
      </c>
      <c r="L102" s="5">
        <f>K102/4.7</f>
        <v/>
      </c>
      <c r="M102" s="6" t="n">
        <v>13.4</v>
      </c>
      <c r="N102" s="6" t="n">
        <v>1</v>
      </c>
      <c r="O102" s="6">
        <f>(K102*0.1229+1.05)/4.7</f>
        <v/>
      </c>
      <c r="P102" s="6">
        <f>K102*0.0749/4.7</f>
        <v/>
      </c>
      <c r="Q102" s="5">
        <f>M102+N102+O102+P102</f>
        <v/>
      </c>
      <c r="R102" s="5">
        <f>L102-Q102</f>
        <v/>
      </c>
      <c r="S102" s="6">
        <f>R102*4.7</f>
        <v/>
      </c>
      <c r="T102" s="7">
        <f>IF(L102&gt;0,R102/L102,0)</f>
        <v/>
      </c>
      <c r="U102" s="3" t="inlineStr">
        <is>
          <t>28/05/2026 14:40:34</t>
        </is>
      </c>
    </row>
    <row r="103">
      <c r="A103" s="3" t="inlineStr">
        <is>
          <t>584239195543865326</t>
        </is>
      </c>
      <c r="B103" s="3" t="inlineStr">
        <is>
          <t>已发货</t>
        </is>
      </c>
      <c r="C103" s="3" t="inlineStr">
        <is>
          <t>C3</t>
        </is>
      </c>
      <c r="D103" s="3" t="inlineStr">
        <is>
          <t>魔芋笋3大袋</t>
        </is>
      </c>
      <c r="E1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3" s="3" t="inlineStr">
        <is>
          <t>รสเผ็ดหอม​, 30 ซอง 600g</t>
        </is>
      </c>
      <c r="G103" s="6" t="n">
        <v>1</v>
      </c>
      <c r="H103" s="6" t="n">
        <v>167</v>
      </c>
      <c r="I103" s="6" t="n">
        <v>0</v>
      </c>
      <c r="J103" s="6" t="n">
        <v>38</v>
      </c>
      <c r="K103" s="6">
        <f>H103+I103</f>
        <v/>
      </c>
      <c r="L103" s="5">
        <f>K103/4.7</f>
        <v/>
      </c>
      <c r="M103" s="6" t="n">
        <v>20.1</v>
      </c>
      <c r="N103" s="6" t="n">
        <v>1</v>
      </c>
      <c r="O103" s="6">
        <f>(K103*0.1229+1.05)/4.7</f>
        <v/>
      </c>
      <c r="P103" s="6">
        <f>K103*0.0749/4.7</f>
        <v/>
      </c>
      <c r="Q103" s="5">
        <f>M103+N103+O103+P103</f>
        <v/>
      </c>
      <c r="R103" s="5">
        <f>L103-Q103</f>
        <v/>
      </c>
      <c r="S103" s="6">
        <f>R103*4.7</f>
        <v/>
      </c>
      <c r="T103" s="7">
        <f>IF(L103&gt;0,R103/L103,0)</f>
        <v/>
      </c>
      <c r="U103" s="3" t="inlineStr">
        <is>
          <t>28/05/2026 14:37:03</t>
        </is>
      </c>
    </row>
    <row r="104">
      <c r="A104" s="3" t="inlineStr">
        <is>
          <t>584238922921969312</t>
        </is>
      </c>
      <c r="B104" s="3" t="inlineStr">
        <is>
          <t>已发货</t>
        </is>
      </c>
      <c r="C104" s="3" t="inlineStr">
        <is>
          <t>C5s</t>
        </is>
      </c>
      <c r="D104" s="3" t="inlineStr">
        <is>
          <t>香辣味魔芋笋5小袋</t>
        </is>
      </c>
      <c r="E1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4" s="3" t="inlineStr">
        <is>
          <t>รสเผ็ดหอม​, *ชุดเล็ก 5 ซอง 100g</t>
        </is>
      </c>
      <c r="G104" s="6" t="n">
        <v>1</v>
      </c>
      <c r="H104" s="6" t="n">
        <v>56</v>
      </c>
      <c r="I104" s="6" t="n">
        <v>0</v>
      </c>
      <c r="J104" s="6" t="n">
        <v>20</v>
      </c>
      <c r="K104" s="6">
        <f>H104+I104</f>
        <v/>
      </c>
      <c r="L104" s="5">
        <f>K104/4.7</f>
        <v/>
      </c>
      <c r="M104" s="6" t="n">
        <v>3.35</v>
      </c>
      <c r="N104" s="6" t="n">
        <v>1</v>
      </c>
      <c r="O104" s="6">
        <f>(K104*0.1229+1.05)/4.7</f>
        <v/>
      </c>
      <c r="P104" s="6">
        <f>K104*0.0749/4.7</f>
        <v/>
      </c>
      <c r="Q104" s="5">
        <f>M104+N104+O104+P104</f>
        <v/>
      </c>
      <c r="R104" s="5">
        <f>L104-Q104</f>
        <v/>
      </c>
      <c r="S104" s="6">
        <f>R104*4.7</f>
        <v/>
      </c>
      <c r="T104" s="7">
        <f>IF(L104&gt;0,R104/L104,0)</f>
        <v/>
      </c>
      <c r="U104" s="3" t="inlineStr">
        <is>
          <t>28/05/2026 14:21:21</t>
        </is>
      </c>
    </row>
    <row r="105">
      <c r="A105" s="3" t="inlineStr">
        <is>
          <t>584238100152485096</t>
        </is>
      </c>
      <c r="B105" s="3" t="inlineStr">
        <is>
          <t>已发货</t>
        </is>
      </c>
      <c r="C105" s="3" t="inlineStr">
        <is>
          <t>CK</t>
        </is>
      </c>
      <c r="D105" s="3" t="inlineStr">
        <is>
          <t>黑松露黑麦苏打饼干</t>
        </is>
      </c>
      <c r="E10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05" s="3" t="inlineStr">
        <is>
          <t>ค่าเริ่มต้น</t>
        </is>
      </c>
      <c r="G105" s="6" t="n">
        <v>1</v>
      </c>
      <c r="H105" s="6" t="n">
        <v>100</v>
      </c>
      <c r="I105" s="6" t="n">
        <v>0</v>
      </c>
      <c r="J105" s="6" t="n">
        <v>35</v>
      </c>
      <c r="K105" s="6">
        <f>H105+I105</f>
        <v/>
      </c>
      <c r="L105" s="5">
        <f>K105/4.7</f>
        <v/>
      </c>
      <c r="M105" s="6" t="n">
        <v>10.72665050209467</v>
      </c>
      <c r="N105" s="6" t="n">
        <v>1</v>
      </c>
      <c r="O105" s="6">
        <f>(K105*0.1229+1.05)/4.7</f>
        <v/>
      </c>
      <c r="P105" s="6">
        <f>K105*0.0749/4.7</f>
        <v/>
      </c>
      <c r="Q105" s="5">
        <f>M105+N105+O105+P105</f>
        <v/>
      </c>
      <c r="R105" s="5">
        <f>L105-Q105</f>
        <v/>
      </c>
      <c r="S105" s="6">
        <f>R105*4.7</f>
        <v/>
      </c>
      <c r="T105" s="7">
        <f>IF(L105&gt;0,R105/L105,0)</f>
        <v/>
      </c>
      <c r="U105" s="3" t="inlineStr">
        <is>
          <t>28/05/2026 13:14:32</t>
        </is>
      </c>
    </row>
    <row r="106">
      <c r="A106" s="3" t="inlineStr">
        <is>
          <t>584236769999029424</t>
        </is>
      </c>
      <c r="B106" s="3" t="inlineStr">
        <is>
          <t>已发货</t>
        </is>
      </c>
      <c r="C106" s="3" t="inlineStr">
        <is>
          <t>B1</t>
        </is>
      </c>
      <c r="D106" s="3" t="inlineStr">
        <is>
          <t>魔芋笋1大袋</t>
        </is>
      </c>
      <c r="E1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6" s="3" t="inlineStr">
        <is>
          <t>รสเปรี้ยวเผ็ด​, 10 ซอง 200g</t>
        </is>
      </c>
      <c r="G106" s="6" t="n">
        <v>1</v>
      </c>
      <c r="H106" s="6" t="n">
        <v>138</v>
      </c>
      <c r="I106" s="6" t="n">
        <v>0</v>
      </c>
      <c r="J106" s="6" t="n">
        <v>48</v>
      </c>
      <c r="K106" s="6">
        <f>H106+I106</f>
        <v/>
      </c>
      <c r="L106" s="5">
        <f>K106/4.7</f>
        <v/>
      </c>
      <c r="M106" s="6" t="n">
        <v>6.699999999999999</v>
      </c>
      <c r="N106" s="6" t="n">
        <v>1</v>
      </c>
      <c r="O106" s="6">
        <f>(K106*0.1229+1.05)/4.7</f>
        <v/>
      </c>
      <c r="P106" s="6">
        <f>K106*0.0749/4.7</f>
        <v/>
      </c>
      <c r="Q106" s="5">
        <f>M106+N106+O106+P106</f>
        <v/>
      </c>
      <c r="R106" s="5">
        <f>L106-Q106</f>
        <v/>
      </c>
      <c r="S106" s="6">
        <f>R106*4.7</f>
        <v/>
      </c>
      <c r="T106" s="7">
        <f>IF(L106&gt;0,R106/L106,0)</f>
        <v/>
      </c>
      <c r="U106" s="3" t="inlineStr">
        <is>
          <t>28/05/2026 11:42:51</t>
        </is>
      </c>
    </row>
    <row r="107">
      <c r="A107" s="3" t="inlineStr">
        <is>
          <t>584236769999029424</t>
        </is>
      </c>
      <c r="B107" s="3" t="inlineStr">
        <is>
          <t>已发货</t>
        </is>
      </c>
      <c r="C107" s="3" t="inlineStr">
        <is>
          <t>C1</t>
        </is>
      </c>
      <c r="D107" s="3" t="inlineStr">
        <is>
          <t>魔芋笋1大袋</t>
        </is>
      </c>
      <c r="E1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7" s="3" t="inlineStr">
        <is>
          <t>รสเผ็ดหอม​, 10 ซอง 200g</t>
        </is>
      </c>
      <c r="G107" s="6" t="n">
        <v>1</v>
      </c>
      <c r="H107" s="6" t="n">
        <v>138</v>
      </c>
      <c r="I107" s="6" t="n">
        <v>0</v>
      </c>
      <c r="J107" s="6" t="n">
        <v>48</v>
      </c>
      <c r="K107" s="6">
        <f>H107+I107</f>
        <v/>
      </c>
      <c r="L107" s="5">
        <f>K107/4.7</f>
        <v/>
      </c>
      <c r="M107" s="6" t="n">
        <v>6.699999999999999</v>
      </c>
      <c r="N107" s="6" t="n">
        <v>1</v>
      </c>
      <c r="O107" s="6">
        <f>(K107*0.1229+1.05)/4.7</f>
        <v/>
      </c>
      <c r="P107" s="6">
        <f>K107*0.0749/4.7</f>
        <v/>
      </c>
      <c r="Q107" s="5">
        <f>M107+N107+O107+P107</f>
        <v/>
      </c>
      <c r="R107" s="5">
        <f>L107-Q107</f>
        <v/>
      </c>
      <c r="S107" s="6">
        <f>R107*4.7</f>
        <v/>
      </c>
      <c r="T107" s="7">
        <f>IF(L107&gt;0,R107/L107,0)</f>
        <v/>
      </c>
      <c r="U107" s="3" t="inlineStr">
        <is>
          <t>28/05/2026 11:42:51</t>
        </is>
      </c>
    </row>
    <row r="108">
      <c r="A108" s="3" t="inlineStr">
        <is>
          <t>584235873521665109</t>
        </is>
      </c>
      <c r="B108" s="3" t="inlineStr">
        <is>
          <t>已发货</t>
        </is>
      </c>
      <c r="C108" s="3" t="inlineStr">
        <is>
          <t>C1</t>
        </is>
      </c>
      <c r="D108" s="3" t="inlineStr">
        <is>
          <t>魔芋笋1大袋</t>
        </is>
      </c>
      <c r="E1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8" s="3" t="inlineStr">
        <is>
          <t>รสเผ็ดหอม​, 10 ซอง 200g</t>
        </is>
      </c>
      <c r="G108" s="6" t="n">
        <v>1</v>
      </c>
      <c r="H108" s="6" t="n">
        <v>107</v>
      </c>
      <c r="I108" s="6" t="n">
        <v>0</v>
      </c>
      <c r="J108" s="6" t="n">
        <v>0</v>
      </c>
      <c r="K108" s="6">
        <f>H108+I108</f>
        <v/>
      </c>
      <c r="L108" s="5">
        <f>K108/4.7</f>
        <v/>
      </c>
      <c r="M108" s="6" t="n">
        <v>6.699999999999999</v>
      </c>
      <c r="N108" s="6" t="n">
        <v>1</v>
      </c>
      <c r="O108" s="6">
        <f>(K108*0.1229+1.05)/4.7</f>
        <v/>
      </c>
      <c r="P108" s="6">
        <f>K108*0.0749/4.7</f>
        <v/>
      </c>
      <c r="Q108" s="5">
        <f>M108+N108+O108+P108</f>
        <v/>
      </c>
      <c r="R108" s="5">
        <f>L108-Q108</f>
        <v/>
      </c>
      <c r="S108" s="6">
        <f>R108*4.7</f>
        <v/>
      </c>
      <c r="T108" s="7">
        <f>IF(L108&gt;0,R108/L108,0)</f>
        <v/>
      </c>
      <c r="U108" s="3" t="inlineStr">
        <is>
          <t>28/05/2026 10:39:30</t>
        </is>
      </c>
    </row>
    <row r="109">
      <c r="A109" s="3" t="inlineStr">
        <is>
          <t>584235211200562220</t>
        </is>
      </c>
      <c r="B109" s="3" t="inlineStr">
        <is>
          <t>已发货</t>
        </is>
      </c>
      <c r="C109" s="3" t="inlineStr">
        <is>
          <t>ER-B</t>
        </is>
      </c>
      <c r="D109" s="3" t="inlineStr">
        <is>
          <t>广州酒家黄油鸡蛋卷480g</t>
        </is>
      </c>
      <c r="E109" s="3" t="inlineStr">
        <is>
          <t>Egg Roll 2สูตร ทองม้วนไข่กล่องเหล็กพรีเมี่ยม!! GuangZhou Restaurant 454g/480g กล่องล่ะ 24 แท่ง</t>
        </is>
      </c>
      <c r="F109" s="3" t="inlineStr">
        <is>
          <t>Butter สูตรเนยสด พรีเมี่ยม</t>
        </is>
      </c>
      <c r="G109" s="6" t="n">
        <v>1</v>
      </c>
      <c r="H109" s="6" t="n">
        <v>355</v>
      </c>
      <c r="I109" s="6" t="n">
        <v>0</v>
      </c>
      <c r="J109" s="6" t="n">
        <v>38</v>
      </c>
      <c r="K109" s="6">
        <f>H109+I109</f>
        <v/>
      </c>
      <c r="L109" s="5">
        <f>K109/4.7</f>
        <v/>
      </c>
      <c r="M109" s="6" t="n">
        <v>45.49882436351998</v>
      </c>
      <c r="N109" s="6" t="n">
        <v>2</v>
      </c>
      <c r="O109" s="6">
        <f>(K109*0.1229+1.05)/4.7</f>
        <v/>
      </c>
      <c r="P109" s="6">
        <f>K109*0.0749/4.7</f>
        <v/>
      </c>
      <c r="Q109" s="5">
        <f>M109+N109+O109+P109</f>
        <v/>
      </c>
      <c r="R109" s="5">
        <f>L109-Q109</f>
        <v/>
      </c>
      <c r="S109" s="6">
        <f>R109*4.7</f>
        <v/>
      </c>
      <c r="T109" s="7">
        <f>IF(L109&gt;0,R109/L109,0)</f>
        <v/>
      </c>
      <c r="U109" s="3" t="inlineStr">
        <is>
          <t>28/05/2026 09:50:45</t>
        </is>
      </c>
    </row>
    <row r="110">
      <c r="A110" s="3" t="inlineStr">
        <is>
          <t>584234447504443369</t>
        </is>
      </c>
      <c r="B110" s="3" t="inlineStr">
        <is>
          <t>已发货</t>
        </is>
      </c>
      <c r="C110" s="3" t="inlineStr">
        <is>
          <t>C1</t>
        </is>
      </c>
      <c r="D110" s="3" t="inlineStr">
        <is>
          <t>魔芋笋1大袋</t>
        </is>
      </c>
      <c r="E1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0" s="3" t="inlineStr">
        <is>
          <t>รสเผ็ดหอม​, 10 ซอง 200g</t>
        </is>
      </c>
      <c r="G110" s="6" t="n">
        <v>1</v>
      </c>
      <c r="H110" s="6" t="n">
        <v>133</v>
      </c>
      <c r="I110" s="6" t="n">
        <v>0</v>
      </c>
      <c r="J110" s="6" t="n">
        <v>35</v>
      </c>
      <c r="K110" s="6">
        <f>H110+I110</f>
        <v/>
      </c>
      <c r="L110" s="5">
        <f>K110/4.7</f>
        <v/>
      </c>
      <c r="M110" s="6" t="n">
        <v>6.699999999999999</v>
      </c>
      <c r="N110" s="6" t="n">
        <v>1</v>
      </c>
      <c r="O110" s="6">
        <f>(K110*0.1229+1.05)/4.7</f>
        <v/>
      </c>
      <c r="P110" s="6">
        <f>K110*0.0749/4.7</f>
        <v/>
      </c>
      <c r="Q110" s="5">
        <f>M110+N110+O110+P110</f>
        <v/>
      </c>
      <c r="R110" s="5">
        <f>L110-Q110</f>
        <v/>
      </c>
      <c r="S110" s="6">
        <f>R110*4.7</f>
        <v/>
      </c>
      <c r="T110" s="7">
        <f>IF(L110&gt;0,R110/L110,0)</f>
        <v/>
      </c>
      <c r="U110" s="3" t="inlineStr">
        <is>
          <t>28/05/2026 08:49:37</t>
        </is>
      </c>
    </row>
    <row r="111">
      <c r="A111" s="3" t="inlineStr">
        <is>
          <t>584234447504443369</t>
        </is>
      </c>
      <c r="B111" s="3" t="inlineStr">
        <is>
          <t>已发货</t>
        </is>
      </c>
      <c r="C111" s="3" t="inlineStr">
        <is>
          <t>B1</t>
        </is>
      </c>
      <c r="D111" s="3" t="inlineStr">
        <is>
          <t>魔芋笋1大袋</t>
        </is>
      </c>
      <c r="E1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1" s="3" t="inlineStr">
        <is>
          <t>รสเปรี้ยวเผ็ด​, 10 ซอง 200g</t>
        </is>
      </c>
      <c r="G111" s="6" t="n">
        <v>1</v>
      </c>
      <c r="H111" s="6" t="n">
        <v>133</v>
      </c>
      <c r="I111" s="6" t="n">
        <v>0</v>
      </c>
      <c r="J111" s="6" t="n">
        <v>35</v>
      </c>
      <c r="K111" s="6">
        <f>H111+I111</f>
        <v/>
      </c>
      <c r="L111" s="5">
        <f>K111/4.7</f>
        <v/>
      </c>
      <c r="M111" s="6" t="n">
        <v>6.699999999999999</v>
      </c>
      <c r="N111" s="6" t="n">
        <v>1</v>
      </c>
      <c r="O111" s="6">
        <f>(K111*0.1229+1.05)/4.7</f>
        <v/>
      </c>
      <c r="P111" s="6">
        <f>K111*0.0749/4.7</f>
        <v/>
      </c>
      <c r="Q111" s="5">
        <f>M111+N111+O111+P111</f>
        <v/>
      </c>
      <c r="R111" s="5">
        <f>L111-Q111</f>
        <v/>
      </c>
      <c r="S111" s="6">
        <f>R111*4.7</f>
        <v/>
      </c>
      <c r="T111" s="7">
        <f>IF(L111&gt;0,R111/L111,0)</f>
        <v/>
      </c>
      <c r="U111" s="3" t="inlineStr">
        <is>
          <t>28/05/2026 08:49:37</t>
        </is>
      </c>
    </row>
    <row r="112">
      <c r="A112" s="3" t="inlineStr">
        <is>
          <t>584232827407336561</t>
        </is>
      </c>
      <c r="B112" s="3" t="inlineStr">
        <is>
          <t>已发货</t>
        </is>
      </c>
      <c r="C112" s="3" t="inlineStr">
        <is>
          <t>C2</t>
        </is>
      </c>
      <c r="D112" s="3" t="inlineStr">
        <is>
          <t>魔芋笋2大袋</t>
        </is>
      </c>
      <c r="E1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2" s="3" t="inlineStr">
        <is>
          <t>รสเผ็ดหอม​, 20 ซอง 400g</t>
        </is>
      </c>
      <c r="G112" s="6" t="n">
        <v>1</v>
      </c>
      <c r="H112" s="6" t="n">
        <v>120</v>
      </c>
      <c r="I112" s="6" t="n">
        <v>0</v>
      </c>
      <c r="J112" s="6" t="n">
        <v>38</v>
      </c>
      <c r="K112" s="6">
        <f>H112+I112</f>
        <v/>
      </c>
      <c r="L112" s="5">
        <f>K112/4.7</f>
        <v/>
      </c>
      <c r="M112" s="6" t="n">
        <v>13.4</v>
      </c>
      <c r="N112" s="6" t="n">
        <v>1</v>
      </c>
      <c r="O112" s="6">
        <f>(K112*0.1229+1.05)/4.7</f>
        <v/>
      </c>
      <c r="P112" s="6">
        <f>K112*0.0749/4.7</f>
        <v/>
      </c>
      <c r="Q112" s="5">
        <f>M112+N112+O112+P112</f>
        <v/>
      </c>
      <c r="R112" s="5">
        <f>L112-Q112</f>
        <v/>
      </c>
      <c r="S112" s="6">
        <f>R112*4.7</f>
        <v/>
      </c>
      <c r="T112" s="7">
        <f>IF(L112&gt;0,R112/L112,0)</f>
        <v/>
      </c>
      <c r="U112" s="3" t="inlineStr">
        <is>
          <t>28/05/2026 06:05:16</t>
        </is>
      </c>
    </row>
    <row r="113">
      <c r="A113" s="3" t="inlineStr">
        <is>
          <t>584232045229344400</t>
        </is>
      </c>
      <c r="B113" s="3" t="inlineStr">
        <is>
          <t>已发货</t>
        </is>
      </c>
      <c r="C113" s="3" t="inlineStr">
        <is>
          <t>C3</t>
        </is>
      </c>
      <c r="D113" s="3" t="inlineStr">
        <is>
          <t>魔芋笋3大袋</t>
        </is>
      </c>
      <c r="E1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3" s="3" t="inlineStr">
        <is>
          <t>รสเผ็ดหอม​, 30 ซอง 600g</t>
        </is>
      </c>
      <c r="G113" s="6" t="n">
        <v>1</v>
      </c>
      <c r="H113" s="6" t="n">
        <v>167</v>
      </c>
      <c r="I113" s="6" t="n">
        <v>0</v>
      </c>
      <c r="J113" s="6" t="n">
        <v>42</v>
      </c>
      <c r="K113" s="6">
        <f>H113+I113</f>
        <v/>
      </c>
      <c r="L113" s="5">
        <f>K113/4.7</f>
        <v/>
      </c>
      <c r="M113" s="6" t="n">
        <v>20.1</v>
      </c>
      <c r="N113" s="6" t="n">
        <v>1</v>
      </c>
      <c r="O113" s="6">
        <f>(K113*0.1229+1.05)/4.7</f>
        <v/>
      </c>
      <c r="P113" s="6">
        <f>K113*0.0749/4.7</f>
        <v/>
      </c>
      <c r="Q113" s="5">
        <f>M113+N113+O113+P113</f>
        <v/>
      </c>
      <c r="R113" s="5">
        <f>L113-Q113</f>
        <v/>
      </c>
      <c r="S113" s="6">
        <f>R113*4.7</f>
        <v/>
      </c>
      <c r="T113" s="7">
        <f>IF(L113&gt;0,R113/L113,0)</f>
        <v/>
      </c>
      <c r="U113" s="3" t="inlineStr">
        <is>
          <t>28/05/2026 02:44:01</t>
        </is>
      </c>
    </row>
    <row r="114">
      <c r="A114" s="3" t="inlineStr">
        <is>
          <t>584231801408751545</t>
        </is>
      </c>
      <c r="B114" s="3" t="inlineStr">
        <is>
          <t>已发货</t>
        </is>
      </c>
      <c r="C114" s="3" t="inlineStr">
        <is>
          <t>C3</t>
        </is>
      </c>
      <c r="D114" s="3" t="inlineStr">
        <is>
          <t>魔芋笋3大袋</t>
        </is>
      </c>
      <c r="E1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4" s="3" t="inlineStr">
        <is>
          <t>รสเผ็ดหอม​, 30 ซอง 600g</t>
        </is>
      </c>
      <c r="G114" s="6" t="n">
        <v>1</v>
      </c>
      <c r="H114" s="6" t="n">
        <v>167</v>
      </c>
      <c r="I114" s="6" t="n">
        <v>0</v>
      </c>
      <c r="J114" s="6" t="n">
        <v>38</v>
      </c>
      <c r="K114" s="6">
        <f>H114+I114</f>
        <v/>
      </c>
      <c r="L114" s="5">
        <f>K114/4.7</f>
        <v/>
      </c>
      <c r="M114" s="6" t="n">
        <v>20.1</v>
      </c>
      <c r="N114" s="6" t="n">
        <v>1</v>
      </c>
      <c r="O114" s="6">
        <f>(K114*0.1229+1.05)/4.7</f>
        <v/>
      </c>
      <c r="P114" s="6">
        <f>K114*0.0749/4.7</f>
        <v/>
      </c>
      <c r="Q114" s="5">
        <f>M114+N114+O114+P114</f>
        <v/>
      </c>
      <c r="R114" s="5">
        <f>L114-Q114</f>
        <v/>
      </c>
      <c r="S114" s="6">
        <f>R114*4.7</f>
        <v/>
      </c>
      <c r="T114" s="7">
        <f>IF(L114&gt;0,R114/L114,0)</f>
        <v/>
      </c>
      <c r="U114" s="3" t="inlineStr">
        <is>
          <t>28/05/2026 01:33:27</t>
        </is>
      </c>
    </row>
    <row r="115">
      <c r="A115" s="3" t="inlineStr">
        <is>
          <t>584231386024674881</t>
        </is>
      </c>
      <c r="B115" s="3" t="inlineStr">
        <is>
          <t>已发货</t>
        </is>
      </c>
      <c r="C115" s="3" t="inlineStr">
        <is>
          <t>CK</t>
        </is>
      </c>
      <c r="D115" s="3" t="inlineStr">
        <is>
          <t>黑松露黑麦苏打饼干</t>
        </is>
      </c>
      <c r="E11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15" s="3" t="inlineStr">
        <is>
          <t>ค่าเริ่มต้น</t>
        </is>
      </c>
      <c r="G115" s="6" t="n">
        <v>1</v>
      </c>
      <c r="H115" s="6" t="n">
        <v>101</v>
      </c>
      <c r="I115" s="6" t="n">
        <v>0</v>
      </c>
      <c r="J115" s="6" t="n">
        <v>28</v>
      </c>
      <c r="K115" s="6">
        <f>H115+I115</f>
        <v/>
      </c>
      <c r="L115" s="5">
        <f>K115/4.7</f>
        <v/>
      </c>
      <c r="M115" s="6" t="n">
        <v>10.72665050209467</v>
      </c>
      <c r="N115" s="6" t="n">
        <v>1</v>
      </c>
      <c r="O115" s="6">
        <f>(K115*0.1229+1.05)/4.7</f>
        <v/>
      </c>
      <c r="P115" s="6">
        <f>K115*0.0749/4.7</f>
        <v/>
      </c>
      <c r="Q115" s="5">
        <f>M115+N115+O115+P115</f>
        <v/>
      </c>
      <c r="R115" s="5">
        <f>L115-Q115</f>
        <v/>
      </c>
      <c r="S115" s="6">
        <f>R115*4.7</f>
        <v/>
      </c>
      <c r="T115" s="7">
        <f>IF(L115&gt;0,R115/L115,0)</f>
        <v/>
      </c>
      <c r="U115" s="3" t="inlineStr">
        <is>
          <t>28/05/2026 00:21:38</t>
        </is>
      </c>
    </row>
    <row r="116">
      <c r="A116" s="3" t="inlineStr">
        <is>
          <t>584231048439170946</t>
        </is>
      </c>
      <c r="B116" s="3" t="inlineStr">
        <is>
          <t>已发货</t>
        </is>
      </c>
      <c r="C116" s="3" t="inlineStr">
        <is>
          <t>CK</t>
        </is>
      </c>
      <c r="D116" s="3" t="inlineStr">
        <is>
          <t>黑松露黑麦苏打饼干</t>
        </is>
      </c>
      <c r="E11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16" s="3" t="inlineStr">
        <is>
          <t>ค่าเริ่มต้น</t>
        </is>
      </c>
      <c r="G116" s="6" t="n">
        <v>1</v>
      </c>
      <c r="H116" s="6" t="n">
        <v>65</v>
      </c>
      <c r="I116" s="6" t="n">
        <v>40</v>
      </c>
      <c r="J116" s="6" t="n">
        <v>35</v>
      </c>
      <c r="K116" s="6">
        <f>H116+I116</f>
        <v/>
      </c>
      <c r="L116" s="5">
        <f>K116/4.7</f>
        <v/>
      </c>
      <c r="M116" s="6" t="n">
        <v>10.72665050209467</v>
      </c>
      <c r="N116" s="6" t="n">
        <v>1</v>
      </c>
      <c r="O116" s="6">
        <f>(K116*0.1229+1.05)/4.7</f>
        <v/>
      </c>
      <c r="P116" s="6">
        <f>K116*0.0749/4.7</f>
        <v/>
      </c>
      <c r="Q116" s="5">
        <f>M116+N116+O116+P116</f>
        <v/>
      </c>
      <c r="R116" s="5">
        <f>L116-Q116</f>
        <v/>
      </c>
      <c r="S116" s="6">
        <f>R116*4.7</f>
        <v/>
      </c>
      <c r="T116" s="7">
        <f>IF(L116&gt;0,R116/L116,0)</f>
        <v/>
      </c>
      <c r="U116" s="3" t="inlineStr">
        <is>
          <t>27/05/2026 23:42:13</t>
        </is>
      </c>
    </row>
    <row r="117">
      <c r="A117" s="3" t="inlineStr">
        <is>
          <t>584229780669302239</t>
        </is>
      </c>
      <c r="B117" s="3" t="inlineStr">
        <is>
          <t>已发货</t>
        </is>
      </c>
      <c r="C117" s="3" t="inlineStr">
        <is>
          <t>C5s</t>
        </is>
      </c>
      <c r="D117" s="3" t="inlineStr">
        <is>
          <t>香辣味魔芋笋5小袋</t>
        </is>
      </c>
      <c r="E1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7" s="3" t="inlineStr">
        <is>
          <t>รสเผ็ดหอม​, *ชุดเล็ก 5 ซอง 100g</t>
        </is>
      </c>
      <c r="G117" s="6" t="n">
        <v>1</v>
      </c>
      <c r="H117" s="6" t="n">
        <v>85</v>
      </c>
      <c r="I117" s="6" t="n">
        <v>0</v>
      </c>
      <c r="J117" s="6" t="n">
        <v>0</v>
      </c>
      <c r="K117" s="6">
        <f>H117+I117</f>
        <v/>
      </c>
      <c r="L117" s="5">
        <f>K117/4.7</f>
        <v/>
      </c>
      <c r="M117" s="6" t="n">
        <v>3.35</v>
      </c>
      <c r="N117" s="6" t="n">
        <v>1</v>
      </c>
      <c r="O117" s="6">
        <f>(K117*0.1229+1.05)/4.7</f>
        <v/>
      </c>
      <c r="P117" s="6">
        <f>K117*0.0749/4.7</f>
        <v/>
      </c>
      <c r="Q117" s="5">
        <f>M117+N117+O117+P117</f>
        <v/>
      </c>
      <c r="R117" s="5">
        <f>L117-Q117</f>
        <v/>
      </c>
      <c r="S117" s="6">
        <f>R117*4.7</f>
        <v/>
      </c>
      <c r="T117" s="7">
        <f>IF(L117&gt;0,R117/L117,0)</f>
        <v/>
      </c>
      <c r="U117" s="3" t="inlineStr">
        <is>
          <t>27/05/2026 21:56:00</t>
        </is>
      </c>
    </row>
    <row r="118">
      <c r="A118" s="3" t="inlineStr">
        <is>
          <t>584229240130995865</t>
        </is>
      </c>
      <c r="B118" s="3" t="inlineStr">
        <is>
          <t>已发货</t>
        </is>
      </c>
      <c r="C118" s="3" t="inlineStr">
        <is>
          <t>C1</t>
        </is>
      </c>
      <c r="D118" s="3" t="inlineStr">
        <is>
          <t>魔芋笋1大袋</t>
        </is>
      </c>
      <c r="E1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8" s="3" t="inlineStr">
        <is>
          <t>รสเผ็ดหอม​, 10 ซอง 200g</t>
        </is>
      </c>
      <c r="G118" s="6" t="n">
        <v>1</v>
      </c>
      <c r="H118" s="6" t="n">
        <v>69</v>
      </c>
      <c r="I118" s="6" t="n">
        <v>0</v>
      </c>
      <c r="J118" s="6" t="n">
        <v>38</v>
      </c>
      <c r="K118" s="6">
        <f>H118+I118</f>
        <v/>
      </c>
      <c r="L118" s="5">
        <f>K118/4.7</f>
        <v/>
      </c>
      <c r="M118" s="6" t="n">
        <v>6.699999999999999</v>
      </c>
      <c r="N118" s="6" t="n">
        <v>1</v>
      </c>
      <c r="O118" s="6">
        <f>(K118*0.1229+1.05)/4.7</f>
        <v/>
      </c>
      <c r="P118" s="6">
        <f>K118*0.0749/4.7</f>
        <v/>
      </c>
      <c r="Q118" s="5">
        <f>M118+N118+O118+P118</f>
        <v/>
      </c>
      <c r="R118" s="5">
        <f>L118-Q118</f>
        <v/>
      </c>
      <c r="S118" s="6">
        <f>R118*4.7</f>
        <v/>
      </c>
      <c r="T118" s="7">
        <f>IF(L118&gt;0,R118/L118,0)</f>
        <v/>
      </c>
      <c r="U118" s="3" t="inlineStr">
        <is>
          <t>27/05/2026 21:19:54</t>
        </is>
      </c>
    </row>
    <row r="119">
      <c r="A119" s="3" t="inlineStr">
        <is>
          <t>584228350819075115</t>
        </is>
      </c>
      <c r="B119" s="3" t="inlineStr">
        <is>
          <t>已发货</t>
        </is>
      </c>
      <c r="C119" s="3" t="inlineStr">
        <is>
          <t>C5s</t>
        </is>
      </c>
      <c r="D119" s="3" t="inlineStr">
        <is>
          <t>香辣味魔芋笋5小袋</t>
        </is>
      </c>
      <c r="E1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9" s="3" t="inlineStr">
        <is>
          <t>รสเผ็ดหอม​, *ชุดเล็ก 5 ซอง 100g</t>
        </is>
      </c>
      <c r="G119" s="6" t="n">
        <v>1</v>
      </c>
      <c r="H119" s="6" t="n">
        <v>94</v>
      </c>
      <c r="I119" s="6" t="n">
        <v>0</v>
      </c>
      <c r="J119" s="6" t="n">
        <v>35</v>
      </c>
      <c r="K119" s="6">
        <f>H119+I119</f>
        <v/>
      </c>
      <c r="L119" s="5">
        <f>K119/4.7</f>
        <v/>
      </c>
      <c r="M119" s="6" t="n">
        <v>3.35</v>
      </c>
      <c r="N119" s="6" t="n">
        <v>1</v>
      </c>
      <c r="O119" s="6">
        <f>(K119*0.1229+1.05)/4.7</f>
        <v/>
      </c>
      <c r="P119" s="6">
        <f>K119*0.0749/4.7</f>
        <v/>
      </c>
      <c r="Q119" s="5">
        <f>M119+N119+O119+P119</f>
        <v/>
      </c>
      <c r="R119" s="5">
        <f>L119-Q119</f>
        <v/>
      </c>
      <c r="S119" s="6">
        <f>R119*4.7</f>
        <v/>
      </c>
      <c r="T119" s="7">
        <f>IF(L119&gt;0,R119/L119,0)</f>
        <v/>
      </c>
      <c r="U119" s="3" t="inlineStr">
        <is>
          <t>27/05/2026 20:20:24</t>
        </is>
      </c>
    </row>
    <row r="120">
      <c r="A120" s="3" t="inlineStr">
        <is>
          <t>584228350819075115</t>
        </is>
      </c>
      <c r="B120" s="3" t="inlineStr">
        <is>
          <t>已发货</t>
        </is>
      </c>
      <c r="C120" s="3" t="inlineStr">
        <is>
          <t>B5s</t>
        </is>
      </c>
      <c r="D120" s="3" t="inlineStr">
        <is>
          <t>酸辣味5小袋</t>
        </is>
      </c>
      <c r="E1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0" s="3" t="inlineStr">
        <is>
          <t>รสเปรี้ยวเผ็ด​, *ชุดเล็ก 5 ซอง 100g</t>
        </is>
      </c>
      <c r="G120" s="6" t="n">
        <v>1</v>
      </c>
      <c r="H120" s="6" t="n">
        <v>94</v>
      </c>
      <c r="I120" s="6" t="n">
        <v>0</v>
      </c>
      <c r="J120" s="6" t="n">
        <v>35</v>
      </c>
      <c r="K120" s="6">
        <f>H120+I120</f>
        <v/>
      </c>
      <c r="L120" s="5">
        <f>K120/4.7</f>
        <v/>
      </c>
      <c r="M120" s="6" t="n">
        <v>3.35</v>
      </c>
      <c r="N120" s="6" t="n">
        <v>1</v>
      </c>
      <c r="O120" s="6">
        <f>(K120*0.1229+1.05)/4.7</f>
        <v/>
      </c>
      <c r="P120" s="6">
        <f>K120*0.0749/4.7</f>
        <v/>
      </c>
      <c r="Q120" s="5">
        <f>M120+N120+O120+P120</f>
        <v/>
      </c>
      <c r="R120" s="5">
        <f>L120-Q120</f>
        <v/>
      </c>
      <c r="S120" s="6">
        <f>R120*4.7</f>
        <v/>
      </c>
      <c r="T120" s="7">
        <f>IF(L120&gt;0,R120/L120,0)</f>
        <v/>
      </c>
      <c r="U120" s="3" t="inlineStr">
        <is>
          <t>27/05/2026 20:20:24</t>
        </is>
      </c>
    </row>
    <row r="121">
      <c r="A121" s="3" t="inlineStr">
        <is>
          <t>584228040888452228</t>
        </is>
      </c>
      <c r="B121" s="3" t="inlineStr">
        <is>
          <t>已发货</t>
        </is>
      </c>
      <c r="C121" s="3" t="inlineStr">
        <is>
          <t>C1</t>
        </is>
      </c>
      <c r="D121" s="3" t="inlineStr">
        <is>
          <t>魔芋笋1大袋</t>
        </is>
      </c>
      <c r="E121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21" s="3" t="inlineStr">
        <is>
          <t>รสเผ็ดหอม​, 1pcs   200g</t>
        </is>
      </c>
      <c r="G121" s="6" t="n">
        <v>4</v>
      </c>
      <c r="H121" s="6" t="n">
        <v>216</v>
      </c>
      <c r="I121" s="6" t="n">
        <v>24</v>
      </c>
      <c r="J121" s="6" t="n">
        <v>54</v>
      </c>
      <c r="K121" s="6">
        <f>H121+I121</f>
        <v/>
      </c>
      <c r="L121" s="5">
        <f>K121/4.7</f>
        <v/>
      </c>
      <c r="M121" s="6" t="n">
        <v>26.8</v>
      </c>
      <c r="N121" s="6" t="n">
        <v>1</v>
      </c>
      <c r="O121" s="6">
        <f>(K121*0.1229+1.05)/4.7</f>
        <v/>
      </c>
      <c r="P121" s="6">
        <f>K121*0.0749/4.7</f>
        <v/>
      </c>
      <c r="Q121" s="5">
        <f>M121+N121+O121+P121</f>
        <v/>
      </c>
      <c r="R121" s="5">
        <f>L121-Q121</f>
        <v/>
      </c>
      <c r="S121" s="6">
        <f>R121*4.7</f>
        <v/>
      </c>
      <c r="T121" s="7">
        <f>IF(L121&gt;0,R121/L121,0)</f>
        <v/>
      </c>
      <c r="U121" s="3" t="inlineStr">
        <is>
          <t>27/05/2026 19:58:31</t>
        </is>
      </c>
    </row>
    <row r="122">
      <c r="A122" s="3" t="inlineStr">
        <is>
          <t>584227924342703984</t>
        </is>
      </c>
      <c r="B122" s="3" t="inlineStr">
        <is>
          <t>已发货</t>
        </is>
      </c>
      <c r="C122" s="3" t="inlineStr">
        <is>
          <t>CK</t>
        </is>
      </c>
      <c r="D122" s="3" t="inlineStr">
        <is>
          <t>黑松露黑麦苏打饼干</t>
        </is>
      </c>
      <c r="E12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22" s="3" t="inlineStr">
        <is>
          <t>ค่าเริ่มต้น</t>
        </is>
      </c>
      <c r="G122" s="6" t="n">
        <v>1</v>
      </c>
      <c r="H122" s="6" t="n">
        <v>60</v>
      </c>
      <c r="I122" s="6" t="n">
        <v>40</v>
      </c>
      <c r="J122" s="6" t="n">
        <v>35</v>
      </c>
      <c r="K122" s="6">
        <f>H122+I122</f>
        <v/>
      </c>
      <c r="L122" s="5">
        <f>K122/4.7</f>
        <v/>
      </c>
      <c r="M122" s="6" t="n">
        <v>10.72665050209467</v>
      </c>
      <c r="N122" s="6" t="n">
        <v>1</v>
      </c>
      <c r="O122" s="6">
        <f>(K122*0.1229+1.05)/4.7</f>
        <v/>
      </c>
      <c r="P122" s="6">
        <f>K122*0.0749/4.7</f>
        <v/>
      </c>
      <c r="Q122" s="5">
        <f>M122+N122+O122+P122</f>
        <v/>
      </c>
      <c r="R122" s="5">
        <f>L122-Q122</f>
        <v/>
      </c>
      <c r="S122" s="6">
        <f>R122*4.7</f>
        <v/>
      </c>
      <c r="T122" s="7">
        <f>IF(L122&gt;0,R122/L122,0)</f>
        <v/>
      </c>
      <c r="U122" s="3" t="inlineStr">
        <is>
          <t>27/05/2026 19:56:37</t>
        </is>
      </c>
    </row>
    <row r="123">
      <c r="A123" s="3" t="inlineStr">
        <is>
          <t>584227790597097011</t>
        </is>
      </c>
      <c r="B123" s="3" t="inlineStr">
        <is>
          <t>已发货</t>
        </is>
      </c>
      <c r="C123" s="3" t="inlineStr">
        <is>
          <t>C3</t>
        </is>
      </c>
      <c r="D123" s="3" t="inlineStr">
        <is>
          <t>魔芋笋3大袋</t>
        </is>
      </c>
      <c r="E1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3" s="3" t="inlineStr">
        <is>
          <t>รสเผ็ดหอม​, 30 ซอง 600g</t>
        </is>
      </c>
      <c r="G123" s="6" t="n">
        <v>1</v>
      </c>
      <c r="H123" s="6" t="n">
        <v>172</v>
      </c>
      <c r="I123" s="6" t="n">
        <v>0</v>
      </c>
      <c r="J123" s="6" t="n">
        <v>38</v>
      </c>
      <c r="K123" s="6">
        <f>H123+I123</f>
        <v/>
      </c>
      <c r="L123" s="5">
        <f>K123/4.7</f>
        <v/>
      </c>
      <c r="M123" s="6" t="n">
        <v>20.1</v>
      </c>
      <c r="N123" s="6" t="n">
        <v>1</v>
      </c>
      <c r="O123" s="6">
        <f>(K123*0.1229+1.05)/4.7</f>
        <v/>
      </c>
      <c r="P123" s="6">
        <f>K123*0.0749/4.7</f>
        <v/>
      </c>
      <c r="Q123" s="5">
        <f>M123+N123+O123+P123</f>
        <v/>
      </c>
      <c r="R123" s="5">
        <f>L123-Q123</f>
        <v/>
      </c>
      <c r="S123" s="6">
        <f>R123*4.7</f>
        <v/>
      </c>
      <c r="T123" s="7">
        <f>IF(L123&gt;0,R123/L123,0)</f>
        <v/>
      </c>
      <c r="U123" s="3" t="inlineStr">
        <is>
          <t>27/05/2026 19:44:39</t>
        </is>
      </c>
    </row>
    <row r="124">
      <c r="A124" s="3" t="inlineStr">
        <is>
          <t>584227184002892961</t>
        </is>
      </c>
      <c r="B124" s="3" t="inlineStr">
        <is>
          <t>已发货</t>
        </is>
      </c>
      <c r="C124" s="3" t="inlineStr">
        <is>
          <t>CK</t>
        </is>
      </c>
      <c r="D124" s="3" t="inlineStr">
        <is>
          <t>黑松露黑麦苏打饼干</t>
        </is>
      </c>
      <c r="E12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24" s="3" t="inlineStr">
        <is>
          <t>ค่าเริ่มต้น</t>
        </is>
      </c>
      <c r="G124" s="6" t="n">
        <v>1</v>
      </c>
      <c r="H124" s="6" t="n">
        <v>100</v>
      </c>
      <c r="I124" s="6" t="n">
        <v>0</v>
      </c>
      <c r="J124" s="6" t="n">
        <v>38</v>
      </c>
      <c r="K124" s="6">
        <f>H124+I124</f>
        <v/>
      </c>
      <c r="L124" s="5">
        <f>K124/4.7</f>
        <v/>
      </c>
      <c r="M124" s="6" t="n">
        <v>10.72665050209467</v>
      </c>
      <c r="N124" s="6" t="n">
        <v>1</v>
      </c>
      <c r="O124" s="6">
        <f>(K124*0.1229+1.05)/4.7</f>
        <v/>
      </c>
      <c r="P124" s="6">
        <f>K124*0.0749/4.7</f>
        <v/>
      </c>
      <c r="Q124" s="5">
        <f>M124+N124+O124+P124</f>
        <v/>
      </c>
      <c r="R124" s="5">
        <f>L124-Q124</f>
        <v/>
      </c>
      <c r="S124" s="6">
        <f>R124*4.7</f>
        <v/>
      </c>
      <c r="T124" s="7">
        <f>IF(L124&gt;0,R124/L124,0)</f>
        <v/>
      </c>
      <c r="U124" s="3" t="inlineStr">
        <is>
          <t>27/05/2026 19:06:52</t>
        </is>
      </c>
    </row>
    <row r="125">
      <c r="A125" s="3" t="inlineStr">
        <is>
          <t>584226883627681652</t>
        </is>
      </c>
      <c r="B125" s="3" t="inlineStr">
        <is>
          <t>已发货</t>
        </is>
      </c>
      <c r="C125" s="3" t="inlineStr">
        <is>
          <t>C1</t>
        </is>
      </c>
      <c r="D125" s="3" t="inlineStr">
        <is>
          <t>魔芋笋1大袋</t>
        </is>
      </c>
      <c r="E125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25" s="3" t="inlineStr">
        <is>
          <t>รสเผ็ดหอม​, 1pcs   200g</t>
        </is>
      </c>
      <c r="G125" s="6" t="n">
        <v>1</v>
      </c>
      <c r="H125" s="6" t="n">
        <v>45</v>
      </c>
      <c r="I125" s="6" t="n">
        <v>15</v>
      </c>
      <c r="J125" s="6" t="n">
        <v>38</v>
      </c>
      <c r="K125" s="6">
        <f>H125+I125</f>
        <v/>
      </c>
      <c r="L125" s="5">
        <f>K125/4.7</f>
        <v/>
      </c>
      <c r="M125" s="6" t="n">
        <v>6.699999999999999</v>
      </c>
      <c r="N125" s="6" t="n">
        <v>1</v>
      </c>
      <c r="O125" s="6">
        <f>(K125*0.1229+1.05)/4.7</f>
        <v/>
      </c>
      <c r="P125" s="6">
        <f>K125*0.0749/4.7</f>
        <v/>
      </c>
      <c r="Q125" s="5">
        <f>M125+N125+O125+P125</f>
        <v/>
      </c>
      <c r="R125" s="5">
        <f>L125-Q125</f>
        <v/>
      </c>
      <c r="S125" s="6">
        <f>R125*4.7</f>
        <v/>
      </c>
      <c r="T125" s="7">
        <f>IF(L125&gt;0,R125/L125,0)</f>
        <v/>
      </c>
      <c r="U125" s="3" t="inlineStr">
        <is>
          <t>27/05/2026 18:43:22</t>
        </is>
      </c>
    </row>
    <row r="126">
      <c r="A126" s="3" t="inlineStr">
        <is>
          <t>584226166506751374</t>
        </is>
      </c>
      <c r="B126" s="3" t="inlineStr">
        <is>
          <t>已发货</t>
        </is>
      </c>
      <c r="C126" s="3" t="inlineStr">
        <is>
          <t>C5s</t>
        </is>
      </c>
      <c r="D126" s="3" t="inlineStr">
        <is>
          <t>香辣味魔芋笋5小袋</t>
        </is>
      </c>
      <c r="E1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6" s="3" t="inlineStr">
        <is>
          <t>รสเผ็ดหอม​, *ชุดเล็ก 5 ซอง 100g</t>
        </is>
      </c>
      <c r="G126" s="6" t="n">
        <v>1</v>
      </c>
      <c r="H126" s="6" t="n">
        <v>94</v>
      </c>
      <c r="I126" s="6" t="n">
        <v>0</v>
      </c>
      <c r="J126" s="6" t="n">
        <v>48</v>
      </c>
      <c r="K126" s="6">
        <f>H126+I126</f>
        <v/>
      </c>
      <c r="L126" s="5">
        <f>K126/4.7</f>
        <v/>
      </c>
      <c r="M126" s="6" t="n">
        <v>3.35</v>
      </c>
      <c r="N126" s="6" t="n">
        <v>1</v>
      </c>
      <c r="O126" s="6">
        <f>(K126*0.1229+1.05)/4.7</f>
        <v/>
      </c>
      <c r="P126" s="6">
        <f>K126*0.0749/4.7</f>
        <v/>
      </c>
      <c r="Q126" s="5">
        <f>M126+N126+O126+P126</f>
        <v/>
      </c>
      <c r="R126" s="5">
        <f>L126-Q126</f>
        <v/>
      </c>
      <c r="S126" s="6">
        <f>R126*4.7</f>
        <v/>
      </c>
      <c r="T126" s="7">
        <f>IF(L126&gt;0,R126/L126,0)</f>
        <v/>
      </c>
      <c r="U126" s="3" t="inlineStr">
        <is>
          <t>27/05/2026 17:48:56</t>
        </is>
      </c>
    </row>
    <row r="127">
      <c r="A127" s="3" t="inlineStr">
        <is>
          <t>584226166506751374</t>
        </is>
      </c>
      <c r="B127" s="3" t="inlineStr">
        <is>
          <t>已发货</t>
        </is>
      </c>
      <c r="C127" s="3" t="inlineStr">
        <is>
          <t>B5s</t>
        </is>
      </c>
      <c r="D127" s="3" t="inlineStr">
        <is>
          <t>酸辣味5小袋</t>
        </is>
      </c>
      <c r="E1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7" s="3" t="inlineStr">
        <is>
          <t>รสเปรี้ยวเผ็ด​, *ชุดเล็ก 5 ซอง 100g</t>
        </is>
      </c>
      <c r="G127" s="6" t="n">
        <v>1</v>
      </c>
      <c r="H127" s="6" t="n">
        <v>94</v>
      </c>
      <c r="I127" s="6" t="n">
        <v>0</v>
      </c>
      <c r="J127" s="6" t="n">
        <v>48</v>
      </c>
      <c r="K127" s="6">
        <f>H127+I127</f>
        <v/>
      </c>
      <c r="L127" s="5">
        <f>K127/4.7</f>
        <v/>
      </c>
      <c r="M127" s="6" t="n">
        <v>3.35</v>
      </c>
      <c r="N127" s="6" t="n">
        <v>1</v>
      </c>
      <c r="O127" s="6">
        <f>(K127*0.1229+1.05)/4.7</f>
        <v/>
      </c>
      <c r="P127" s="6">
        <f>K127*0.0749/4.7</f>
        <v/>
      </c>
      <c r="Q127" s="5">
        <f>M127+N127+O127+P127</f>
        <v/>
      </c>
      <c r="R127" s="5">
        <f>L127-Q127</f>
        <v/>
      </c>
      <c r="S127" s="6">
        <f>R127*4.7</f>
        <v/>
      </c>
      <c r="T127" s="7">
        <f>IF(L127&gt;0,R127/L127,0)</f>
        <v/>
      </c>
      <c r="U127" s="3" t="inlineStr">
        <is>
          <t>27/05/2026 17:48:56</t>
        </is>
      </c>
    </row>
    <row r="128">
      <c r="A128" s="3" t="inlineStr">
        <is>
          <t>584226072525768190</t>
        </is>
      </c>
      <c r="B128" s="3" t="inlineStr">
        <is>
          <t>已发货</t>
        </is>
      </c>
      <c r="C128" s="3" t="inlineStr">
        <is>
          <t>C5s</t>
        </is>
      </c>
      <c r="D128" s="3" t="inlineStr">
        <is>
          <t>香辣味魔芋笋5小袋</t>
        </is>
      </c>
      <c r="E1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8" s="3" t="inlineStr">
        <is>
          <t>รสเผ็ดหอม​, *ชุดเล็ก 5 ซอง 100g</t>
        </is>
      </c>
      <c r="G128" s="6" t="n">
        <v>1</v>
      </c>
      <c r="H128" s="6" t="n">
        <v>65</v>
      </c>
      <c r="I128" s="6" t="n">
        <v>0</v>
      </c>
      <c r="J128" s="6" t="n">
        <v>20</v>
      </c>
      <c r="K128" s="6">
        <f>H128+I128</f>
        <v/>
      </c>
      <c r="L128" s="5">
        <f>K128/4.7</f>
        <v/>
      </c>
      <c r="M128" s="6" t="n">
        <v>3.35</v>
      </c>
      <c r="N128" s="6" t="n">
        <v>1</v>
      </c>
      <c r="O128" s="6">
        <f>(K128*0.1229+1.05)/4.7</f>
        <v/>
      </c>
      <c r="P128" s="6">
        <f>K128*0.0749/4.7</f>
        <v/>
      </c>
      <c r="Q128" s="5">
        <f>M128+N128+O128+P128</f>
        <v/>
      </c>
      <c r="R128" s="5">
        <f>L128-Q128</f>
        <v/>
      </c>
      <c r="S128" s="6">
        <f>R128*4.7</f>
        <v/>
      </c>
      <c r="T128" s="7">
        <f>IF(L128&gt;0,R128/L128,0)</f>
        <v/>
      </c>
      <c r="U128" s="3" t="inlineStr">
        <is>
          <t>27/05/2026 17:40:45</t>
        </is>
      </c>
    </row>
    <row r="129">
      <c r="A129" s="3" t="inlineStr">
        <is>
          <t>584225990037243870</t>
        </is>
      </c>
      <c r="B129" s="3" t="inlineStr">
        <is>
          <t>已发货</t>
        </is>
      </c>
      <c r="C129" s="3" t="inlineStr">
        <is>
          <t>C5s</t>
        </is>
      </c>
      <c r="D129" s="3" t="inlineStr">
        <is>
          <t>香辣味魔芋笋5小袋</t>
        </is>
      </c>
      <c r="E1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9" s="3" t="inlineStr">
        <is>
          <t>รสเผ็ดหอม​, *ชุดเล็ก 5 ซอง 100g</t>
        </is>
      </c>
      <c r="G129" s="6" t="n">
        <v>1</v>
      </c>
      <c r="H129" s="6" t="n">
        <v>47</v>
      </c>
      <c r="I129" s="6" t="n">
        <v>0</v>
      </c>
      <c r="J129" s="6" t="n">
        <v>38</v>
      </c>
      <c r="K129" s="6">
        <f>H129+I129</f>
        <v/>
      </c>
      <c r="L129" s="5">
        <f>K129/4.7</f>
        <v/>
      </c>
      <c r="M129" s="6" t="n">
        <v>3.35</v>
      </c>
      <c r="N129" s="6" t="n">
        <v>1</v>
      </c>
      <c r="O129" s="6">
        <f>(K129*0.1229+1.05)/4.7</f>
        <v/>
      </c>
      <c r="P129" s="6">
        <f>K129*0.0749/4.7</f>
        <v/>
      </c>
      <c r="Q129" s="5">
        <f>M129+N129+O129+P129</f>
        <v/>
      </c>
      <c r="R129" s="5">
        <f>L129-Q129</f>
        <v/>
      </c>
      <c r="S129" s="6">
        <f>R129*4.7</f>
        <v/>
      </c>
      <c r="T129" s="7">
        <f>IF(L129&gt;0,R129/L129,0)</f>
        <v/>
      </c>
      <c r="U129" s="3" t="inlineStr">
        <is>
          <t>27/05/2026 17:33:53</t>
        </is>
      </c>
    </row>
    <row r="130">
      <c r="A130" s="3" t="inlineStr">
        <is>
          <t>584225864895137031</t>
        </is>
      </c>
      <c r="B130" s="3" t="inlineStr">
        <is>
          <t>已发货</t>
        </is>
      </c>
      <c r="C130" s="3" t="inlineStr">
        <is>
          <t>C1</t>
        </is>
      </c>
      <c r="D130" s="3" t="inlineStr">
        <is>
          <t>魔芋笋1大袋</t>
        </is>
      </c>
      <c r="E1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0" s="3" t="inlineStr">
        <is>
          <t>รสเผ็ดหอม​, 10 ซอง 200g</t>
        </is>
      </c>
      <c r="G130" s="6" t="n">
        <v>1</v>
      </c>
      <c r="H130" s="6" t="n">
        <v>69</v>
      </c>
      <c r="I130" s="6" t="n">
        <v>0</v>
      </c>
      <c r="J130" s="6" t="n">
        <v>38</v>
      </c>
      <c r="K130" s="6">
        <f>H130+I130</f>
        <v/>
      </c>
      <c r="L130" s="5">
        <f>K130/4.7</f>
        <v/>
      </c>
      <c r="M130" s="6" t="n">
        <v>6.699999999999999</v>
      </c>
      <c r="N130" s="6" t="n">
        <v>1</v>
      </c>
      <c r="O130" s="6">
        <f>(K130*0.1229+1.05)/4.7</f>
        <v/>
      </c>
      <c r="P130" s="6">
        <f>K130*0.0749/4.7</f>
        <v/>
      </c>
      <c r="Q130" s="5">
        <f>M130+N130+O130+P130</f>
        <v/>
      </c>
      <c r="R130" s="5">
        <f>L130-Q130</f>
        <v/>
      </c>
      <c r="S130" s="6">
        <f>R130*4.7</f>
        <v/>
      </c>
      <c r="T130" s="7">
        <f>IF(L130&gt;0,R130/L130,0)</f>
        <v/>
      </c>
      <c r="U130" s="3" t="inlineStr">
        <is>
          <t>27/05/2026 17:24:20</t>
        </is>
      </c>
    </row>
    <row r="131">
      <c r="A131" s="3" t="inlineStr">
        <is>
          <t>584224358620693969</t>
        </is>
      </c>
      <c r="B131" s="3" t="inlineStr">
        <is>
          <t>已发货</t>
        </is>
      </c>
      <c r="C131" s="3" t="inlineStr">
        <is>
          <t>ER-B</t>
        </is>
      </c>
      <c r="D131" s="3" t="inlineStr">
        <is>
          <t>广州酒家黄油鸡蛋卷480g</t>
        </is>
      </c>
      <c r="E131" s="3" t="inlineStr">
        <is>
          <t>Egg Roll 2สูตร ทองม้วนไข่กล่องเหล็กพรีเมี่ยม!! GuangZhou Restaurant 454g/480g กล่องล่ะ 24 แท่ง</t>
        </is>
      </c>
      <c r="F131" s="3" t="inlineStr">
        <is>
          <t>Butter สูตรเนยสด พรีเมี่ยม</t>
        </is>
      </c>
      <c r="G131" s="6" t="n">
        <v>1</v>
      </c>
      <c r="H131" s="6" t="n">
        <v>337.25</v>
      </c>
      <c r="I131" s="6" t="n">
        <v>17.75</v>
      </c>
      <c r="J131" s="6" t="n">
        <v>38</v>
      </c>
      <c r="K131" s="6">
        <f>H131+I131</f>
        <v/>
      </c>
      <c r="L131" s="5">
        <f>K131/4.7</f>
        <v/>
      </c>
      <c r="M131" s="6" t="n">
        <v>45.49882436351998</v>
      </c>
      <c r="N131" s="6" t="n">
        <v>2</v>
      </c>
      <c r="O131" s="6">
        <f>(K131*0.1229+1.05)/4.7</f>
        <v/>
      </c>
      <c r="P131" s="6">
        <f>K131*0.0749/4.7</f>
        <v/>
      </c>
      <c r="Q131" s="5">
        <f>M131+N131+O131+P131</f>
        <v/>
      </c>
      <c r="R131" s="5">
        <f>L131-Q131</f>
        <v/>
      </c>
      <c r="S131" s="6">
        <f>R131*4.7</f>
        <v/>
      </c>
      <c r="T131" s="7">
        <f>IF(L131&gt;0,R131/L131,0)</f>
        <v/>
      </c>
      <c r="U131" s="3" t="inlineStr">
        <is>
          <t>27/05/2026 15:22:20</t>
        </is>
      </c>
    </row>
    <row r="132">
      <c r="A132" s="3" t="inlineStr">
        <is>
          <t>584224351823365585</t>
        </is>
      </c>
      <c r="B132" s="3" t="inlineStr">
        <is>
          <t>已取消</t>
        </is>
      </c>
      <c r="C132" s="3" t="inlineStr">
        <is>
          <t>ER-B</t>
        </is>
      </c>
      <c r="D132" s="3" t="inlineStr">
        <is>
          <t>广州酒家黄油鸡蛋卷480g</t>
        </is>
      </c>
      <c r="E132" s="3" t="inlineStr">
        <is>
          <t>Egg Roll 2สูตร ทองม้วนไข่กล่องเหล็กพรีเมี่ยม!! GuangZhou Restaurant 454g/480g กล่องล่ะ 24 แท่ง</t>
        </is>
      </c>
      <c r="F132" s="3" t="inlineStr">
        <is>
          <t>Butter สูตรเนยสด พรีเมี่ยม</t>
        </is>
      </c>
      <c r="G132" s="6" t="n">
        <v>1</v>
      </c>
      <c r="H132" s="6" t="n">
        <v>342</v>
      </c>
      <c r="I132" s="6" t="n">
        <v>18</v>
      </c>
      <c r="J132" s="6" t="n">
        <v>38</v>
      </c>
      <c r="K132" s="6">
        <f>H132+I132</f>
        <v/>
      </c>
      <c r="L132" s="5">
        <f>K132/4.7</f>
        <v/>
      </c>
      <c r="M132" s="6" t="n">
        <v>45.49882436351998</v>
      </c>
      <c r="N132" s="6" t="n">
        <v>2</v>
      </c>
      <c r="O132" s="6">
        <f>(K132*0.1229+1.05)/4.7</f>
        <v/>
      </c>
      <c r="P132" s="6">
        <f>K132*0.0749/4.7</f>
        <v/>
      </c>
      <c r="Q132" s="5">
        <f>M132+N132+O132+P132</f>
        <v/>
      </c>
      <c r="R132" s="5">
        <f>L132-Q132</f>
        <v/>
      </c>
      <c r="S132" s="6">
        <f>R132*4.7</f>
        <v/>
      </c>
      <c r="T132" s="7">
        <f>IF(L132&gt;0,R132/L132,0)</f>
        <v/>
      </c>
      <c r="U132" s="3" t="inlineStr">
        <is>
          <t>27/05/2026 15:21:43</t>
        </is>
      </c>
    </row>
    <row r="133">
      <c r="A133" s="3" t="inlineStr">
        <is>
          <t>584224152808818338</t>
        </is>
      </c>
      <c r="B133" s="3" t="inlineStr">
        <is>
          <t>已发货</t>
        </is>
      </c>
      <c r="C133" s="3" t="inlineStr">
        <is>
          <t>C1</t>
        </is>
      </c>
      <c r="D133" s="3" t="inlineStr">
        <is>
          <t>魔芋笋1大袋</t>
        </is>
      </c>
      <c r="E1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3" s="3" t="inlineStr">
        <is>
          <t>รสเผ็ดหอม​, 10 ซอง 200g</t>
        </is>
      </c>
      <c r="G133" s="6" t="n">
        <v>1</v>
      </c>
      <c r="H133" s="6" t="n">
        <v>69</v>
      </c>
      <c r="I133" s="6" t="n">
        <v>0</v>
      </c>
      <c r="J133" s="6" t="n">
        <v>35</v>
      </c>
      <c r="K133" s="6">
        <f>H133+I133</f>
        <v/>
      </c>
      <c r="L133" s="5">
        <f>K133/4.7</f>
        <v/>
      </c>
      <c r="M133" s="6" t="n">
        <v>6.699999999999999</v>
      </c>
      <c r="N133" s="6" t="n">
        <v>1</v>
      </c>
      <c r="O133" s="6">
        <f>(K133*0.1229+1.05)/4.7</f>
        <v/>
      </c>
      <c r="P133" s="6">
        <f>K133*0.0749/4.7</f>
        <v/>
      </c>
      <c r="Q133" s="5">
        <f>M133+N133+O133+P133</f>
        <v/>
      </c>
      <c r="R133" s="5">
        <f>L133-Q133</f>
        <v/>
      </c>
      <c r="S133" s="6">
        <f>R133*4.7</f>
        <v/>
      </c>
      <c r="T133" s="7">
        <f>IF(L133&gt;0,R133/L133,0)</f>
        <v/>
      </c>
      <c r="U133" s="3" t="inlineStr">
        <is>
          <t>27/05/2026 15:09:32</t>
        </is>
      </c>
    </row>
    <row r="134">
      <c r="A134" s="3" t="inlineStr">
        <is>
          <t>584224180313884559</t>
        </is>
      </c>
      <c r="B134" s="3" t="inlineStr">
        <is>
          <t>已发货</t>
        </is>
      </c>
      <c r="C134" s="3" t="inlineStr">
        <is>
          <t>C2</t>
        </is>
      </c>
      <c r="D134" s="3" t="inlineStr">
        <is>
          <t>魔芋笋2大袋</t>
        </is>
      </c>
      <c r="E1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4" s="3" t="inlineStr">
        <is>
          <t>รสเผ็ดหอม​, 20 ซอง 400g</t>
        </is>
      </c>
      <c r="G134" s="6" t="n">
        <v>1</v>
      </c>
      <c r="H134" s="6" t="n">
        <v>120</v>
      </c>
      <c r="I134" s="6" t="n">
        <v>0</v>
      </c>
      <c r="J134" s="6" t="n">
        <v>38</v>
      </c>
      <c r="K134" s="6">
        <f>H134+I134</f>
        <v/>
      </c>
      <c r="L134" s="5">
        <f>K134/4.7</f>
        <v/>
      </c>
      <c r="M134" s="6" t="n">
        <v>13.4</v>
      </c>
      <c r="N134" s="6" t="n">
        <v>1</v>
      </c>
      <c r="O134" s="6">
        <f>(K134*0.1229+1.05)/4.7</f>
        <v/>
      </c>
      <c r="P134" s="6">
        <f>K134*0.0749/4.7</f>
        <v/>
      </c>
      <c r="Q134" s="5">
        <f>M134+N134+O134+P134</f>
        <v/>
      </c>
      <c r="R134" s="5">
        <f>L134-Q134</f>
        <v/>
      </c>
      <c r="S134" s="6">
        <f>R134*4.7</f>
        <v/>
      </c>
      <c r="T134" s="7">
        <f>IF(L134&gt;0,R134/L134,0)</f>
        <v/>
      </c>
      <c r="U134" s="3" t="inlineStr">
        <is>
          <t>27/05/2026 15:06:16</t>
        </is>
      </c>
    </row>
    <row r="135">
      <c r="A135" s="3" t="inlineStr">
        <is>
          <t>584224019302483892</t>
        </is>
      </c>
      <c r="B135" s="3" t="inlineStr">
        <is>
          <t>已发货</t>
        </is>
      </c>
      <c r="C135" s="3" t="inlineStr">
        <is>
          <t>C1</t>
        </is>
      </c>
      <c r="D135" s="3" t="inlineStr">
        <is>
          <t>魔芋笋1大袋</t>
        </is>
      </c>
      <c r="E1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5" s="3" t="inlineStr">
        <is>
          <t>รสเผ็ดหอม​, 10 ซอง 200g</t>
        </is>
      </c>
      <c r="G135" s="6" t="n">
        <v>1</v>
      </c>
      <c r="H135" s="6" t="n">
        <v>69</v>
      </c>
      <c r="I135" s="6" t="n">
        <v>0</v>
      </c>
      <c r="J135" s="6" t="n">
        <v>42</v>
      </c>
      <c r="K135" s="6">
        <f>H135+I135</f>
        <v/>
      </c>
      <c r="L135" s="5">
        <f>K135/4.7</f>
        <v/>
      </c>
      <c r="M135" s="6" t="n">
        <v>6.699999999999999</v>
      </c>
      <c r="N135" s="6" t="n">
        <v>1</v>
      </c>
      <c r="O135" s="6">
        <f>(K135*0.1229+1.05)/4.7</f>
        <v/>
      </c>
      <c r="P135" s="6">
        <f>K135*0.0749/4.7</f>
        <v/>
      </c>
      <c r="Q135" s="5">
        <f>M135+N135+O135+P135</f>
        <v/>
      </c>
      <c r="R135" s="5">
        <f>L135-Q135</f>
        <v/>
      </c>
      <c r="S135" s="6">
        <f>R135*4.7</f>
        <v/>
      </c>
      <c r="T135" s="7">
        <f>IF(L135&gt;0,R135/L135,0)</f>
        <v/>
      </c>
      <c r="U135" s="3" t="inlineStr">
        <is>
          <t>27/05/2026 14:55:42</t>
        </is>
      </c>
    </row>
    <row r="136">
      <c r="A136" s="3" t="inlineStr">
        <is>
          <t>584223554303853904</t>
        </is>
      </c>
      <c r="B136" s="3" t="inlineStr">
        <is>
          <t>已发货</t>
        </is>
      </c>
      <c r="C136" s="3" t="inlineStr">
        <is>
          <t>C1</t>
        </is>
      </c>
      <c r="D136" s="3" t="inlineStr">
        <is>
          <t>魔芋笋1大袋</t>
        </is>
      </c>
      <c r="E1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6" s="3" t="inlineStr">
        <is>
          <t>รสเผ็ดหอม​, 10 ซอง 200g</t>
        </is>
      </c>
      <c r="G136" s="6" t="n">
        <v>1</v>
      </c>
      <c r="H136" s="6" t="n">
        <v>84</v>
      </c>
      <c r="I136" s="6" t="n">
        <v>0</v>
      </c>
      <c r="J136" s="6" t="n">
        <v>20</v>
      </c>
      <c r="K136" s="6">
        <f>H136+I136</f>
        <v/>
      </c>
      <c r="L136" s="5">
        <f>K136/4.7</f>
        <v/>
      </c>
      <c r="M136" s="6" t="n">
        <v>6.699999999999999</v>
      </c>
      <c r="N136" s="6" t="n">
        <v>1</v>
      </c>
      <c r="O136" s="6">
        <f>(K136*0.1229+1.05)/4.7</f>
        <v/>
      </c>
      <c r="P136" s="6">
        <f>K136*0.0749/4.7</f>
        <v/>
      </c>
      <c r="Q136" s="5">
        <f>M136+N136+O136+P136</f>
        <v/>
      </c>
      <c r="R136" s="5">
        <f>L136-Q136</f>
        <v/>
      </c>
      <c r="S136" s="6">
        <f>R136*4.7</f>
        <v/>
      </c>
      <c r="T136" s="7">
        <f>IF(L136&gt;0,R136/L136,0)</f>
        <v/>
      </c>
      <c r="U136" s="3" t="inlineStr">
        <is>
          <t>27/05/2026 14:20:46</t>
        </is>
      </c>
    </row>
    <row r="137">
      <c r="A137" s="3" t="inlineStr">
        <is>
          <t>584223469688031003</t>
        </is>
      </c>
      <c r="B137" s="3" t="inlineStr">
        <is>
          <t>已发货</t>
        </is>
      </c>
      <c r="C137" s="3" t="inlineStr">
        <is>
          <t>B1</t>
        </is>
      </c>
      <c r="D137" s="3" t="inlineStr">
        <is>
          <t>魔芋笋1大袋</t>
        </is>
      </c>
      <c r="E1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7" s="3" t="inlineStr">
        <is>
          <t>รสเปรี้ยวเผ็ด​, 10 ซอง 200g</t>
        </is>
      </c>
      <c r="G137" s="6" t="n">
        <v>1</v>
      </c>
      <c r="H137" s="6" t="n">
        <v>69</v>
      </c>
      <c r="I137" s="6" t="n">
        <v>0</v>
      </c>
      <c r="J137" s="6" t="n">
        <v>42</v>
      </c>
      <c r="K137" s="6">
        <f>H137+I137</f>
        <v/>
      </c>
      <c r="L137" s="5">
        <f>K137/4.7</f>
        <v/>
      </c>
      <c r="M137" s="6" t="n">
        <v>6.699999999999999</v>
      </c>
      <c r="N137" s="6" t="n">
        <v>1</v>
      </c>
      <c r="O137" s="6">
        <f>(K137*0.1229+1.05)/4.7</f>
        <v/>
      </c>
      <c r="P137" s="6">
        <f>K137*0.0749/4.7</f>
        <v/>
      </c>
      <c r="Q137" s="5">
        <f>M137+N137+O137+P137</f>
        <v/>
      </c>
      <c r="R137" s="5">
        <f>L137-Q137</f>
        <v/>
      </c>
      <c r="S137" s="6">
        <f>R137*4.7</f>
        <v/>
      </c>
      <c r="T137" s="7">
        <f>IF(L137&gt;0,R137/L137,0)</f>
        <v/>
      </c>
      <c r="U137" s="3" t="inlineStr">
        <is>
          <t>27/05/2026 14:15:18</t>
        </is>
      </c>
    </row>
    <row r="138">
      <c r="A138" s="3" t="inlineStr">
        <is>
          <t>584223245760627930</t>
        </is>
      </c>
      <c r="B138" s="3" t="inlineStr">
        <is>
          <t>已发货</t>
        </is>
      </c>
      <c r="C138" s="3" t="inlineStr">
        <is>
          <t>C1</t>
        </is>
      </c>
      <c r="D138" s="3" t="inlineStr">
        <is>
          <t>魔芋笋1大袋</t>
        </is>
      </c>
      <c r="E1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8" s="3" t="inlineStr">
        <is>
          <t>รสเผ็ดหอม​, 10 ซอง 200g</t>
        </is>
      </c>
      <c r="G138" s="6" t="n">
        <v>1</v>
      </c>
      <c r="H138" s="6" t="n">
        <v>87</v>
      </c>
      <c r="I138" s="6" t="n">
        <v>0</v>
      </c>
      <c r="J138" s="6" t="n">
        <v>20</v>
      </c>
      <c r="K138" s="6">
        <f>H138+I138</f>
        <v/>
      </c>
      <c r="L138" s="5">
        <f>K138/4.7</f>
        <v/>
      </c>
      <c r="M138" s="6" t="n">
        <v>6.699999999999999</v>
      </c>
      <c r="N138" s="6" t="n">
        <v>1</v>
      </c>
      <c r="O138" s="6">
        <f>(K138*0.1229+1.05)/4.7</f>
        <v/>
      </c>
      <c r="P138" s="6">
        <f>K138*0.0749/4.7</f>
        <v/>
      </c>
      <c r="Q138" s="5">
        <f>M138+N138+O138+P138</f>
        <v/>
      </c>
      <c r="R138" s="5">
        <f>L138-Q138</f>
        <v/>
      </c>
      <c r="S138" s="6">
        <f>R138*4.7</f>
        <v/>
      </c>
      <c r="T138" s="7">
        <f>IF(L138&gt;0,R138/L138,0)</f>
        <v/>
      </c>
      <c r="U138" s="3" t="inlineStr">
        <is>
          <t>27/05/2026 13:55:22</t>
        </is>
      </c>
    </row>
    <row r="139">
      <c r="A139" s="3" t="inlineStr">
        <is>
          <t>584223136442123399</t>
        </is>
      </c>
      <c r="B139" s="3" t="inlineStr">
        <is>
          <t>已发货</t>
        </is>
      </c>
      <c r="C139" s="3" t="inlineStr">
        <is>
          <t>CK</t>
        </is>
      </c>
      <c r="D139" s="3" t="inlineStr">
        <is>
          <t>黑松露黑麦苏打饼干</t>
        </is>
      </c>
      <c r="E13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9" s="3" t="inlineStr">
        <is>
          <t>ค่าเริ่มต้น</t>
        </is>
      </c>
      <c r="G139" s="6" t="n">
        <v>1</v>
      </c>
      <c r="H139" s="6" t="n">
        <v>100</v>
      </c>
      <c r="I139" s="6" t="n">
        <v>0</v>
      </c>
      <c r="J139" s="6" t="n">
        <v>29</v>
      </c>
      <c r="K139" s="6">
        <f>H139+I139</f>
        <v/>
      </c>
      <c r="L139" s="5">
        <f>K139/4.7</f>
        <v/>
      </c>
      <c r="M139" s="6" t="n">
        <v>10.72665050209467</v>
      </c>
      <c r="N139" s="6" t="n">
        <v>1</v>
      </c>
      <c r="O139" s="6">
        <f>(K139*0.1229+1.05)/4.7</f>
        <v/>
      </c>
      <c r="P139" s="6">
        <f>K139*0.0749/4.7</f>
        <v/>
      </c>
      <c r="Q139" s="5">
        <f>M139+N139+O139+P139</f>
        <v/>
      </c>
      <c r="R139" s="5">
        <f>L139-Q139</f>
        <v/>
      </c>
      <c r="S139" s="6">
        <f>R139*4.7</f>
        <v/>
      </c>
      <c r="T139" s="7">
        <f>IF(L139&gt;0,R139/L139,0)</f>
        <v/>
      </c>
      <c r="U139" s="3" t="inlineStr">
        <is>
          <t>27/05/2026 13:45:32</t>
        </is>
      </c>
    </row>
    <row r="140">
      <c r="A140" s="3" t="inlineStr">
        <is>
          <t>584223007873795675</t>
        </is>
      </c>
      <c r="B140" s="3" t="inlineStr">
        <is>
          <t>已发货</t>
        </is>
      </c>
      <c r="C140" s="3" t="inlineStr">
        <is>
          <t>CK</t>
        </is>
      </c>
      <c r="D140" s="3" t="inlineStr">
        <is>
          <t>黑松露黑麦苏打饼干</t>
        </is>
      </c>
      <c r="E14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40" s="3" t="inlineStr">
        <is>
          <t>ค่าเริ่มต้น</t>
        </is>
      </c>
      <c r="G140" s="6" t="n">
        <v>1</v>
      </c>
      <c r="H140" s="6" t="n">
        <v>70</v>
      </c>
      <c r="I140" s="6" t="n">
        <v>30</v>
      </c>
      <c r="J140" s="6" t="n">
        <v>35</v>
      </c>
      <c r="K140" s="6">
        <f>H140+I140</f>
        <v/>
      </c>
      <c r="L140" s="5">
        <f>K140/4.7</f>
        <v/>
      </c>
      <c r="M140" s="6" t="n">
        <v>10.72665050209467</v>
      </c>
      <c r="N140" s="6" t="n">
        <v>1</v>
      </c>
      <c r="O140" s="6">
        <f>(K140*0.1229+1.05)/4.7</f>
        <v/>
      </c>
      <c r="P140" s="6">
        <f>K140*0.0749/4.7</f>
        <v/>
      </c>
      <c r="Q140" s="5">
        <f>M140+N140+O140+P140</f>
        <v/>
      </c>
      <c r="R140" s="5">
        <f>L140-Q140</f>
        <v/>
      </c>
      <c r="S140" s="6">
        <f>R140*4.7</f>
        <v/>
      </c>
      <c r="T140" s="7">
        <f>IF(L140&gt;0,R140/L140,0)</f>
        <v/>
      </c>
      <c r="U140" s="3" t="inlineStr">
        <is>
          <t>27/05/2026 13:36:07</t>
        </is>
      </c>
    </row>
    <row r="141">
      <c r="A141" s="3" t="inlineStr">
        <is>
          <t>584222926361691512</t>
        </is>
      </c>
      <c r="B141" s="3" t="inlineStr">
        <is>
          <t>已取消</t>
        </is>
      </c>
      <c r="C141" s="3" t="inlineStr">
        <is>
          <t>B1</t>
        </is>
      </c>
      <c r="D141" s="3" t="inlineStr">
        <is>
          <t>魔芋笋1大袋</t>
        </is>
      </c>
      <c r="E1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1" s="3" t="inlineStr">
        <is>
          <t>รสเปรี้ยวเผ็ด​, 10 ซอง 200g</t>
        </is>
      </c>
      <c r="G141" s="6" t="n">
        <v>1</v>
      </c>
      <c r="H141" s="6" t="n">
        <v>70</v>
      </c>
      <c r="I141" s="6" t="n">
        <v>0</v>
      </c>
      <c r="J141" s="6" t="n">
        <v>38</v>
      </c>
      <c r="K141" s="6">
        <f>H141+I141</f>
        <v/>
      </c>
      <c r="L141" s="5">
        <f>K141/4.7</f>
        <v/>
      </c>
      <c r="M141" s="6" t="n">
        <v>6.699999999999999</v>
      </c>
      <c r="N141" s="6" t="n">
        <v>1</v>
      </c>
      <c r="O141" s="6">
        <f>(K141*0.1229+1.05)/4.7</f>
        <v/>
      </c>
      <c r="P141" s="6">
        <f>K141*0.0749/4.7</f>
        <v/>
      </c>
      <c r="Q141" s="5">
        <f>M141+N141+O141+P141</f>
        <v/>
      </c>
      <c r="R141" s="5">
        <f>L141-Q141</f>
        <v/>
      </c>
      <c r="S141" s="6">
        <f>R141*4.7</f>
        <v/>
      </c>
      <c r="T141" s="7">
        <f>IF(L141&gt;0,R141/L141,0)</f>
        <v/>
      </c>
      <c r="U141" s="3" t="inlineStr">
        <is>
          <t>27/05/2026 13:32:10</t>
        </is>
      </c>
    </row>
    <row r="142">
      <c r="A142" s="3" t="inlineStr">
        <is>
          <t>584222428981462794</t>
        </is>
      </c>
      <c r="B142" s="3" t="inlineStr">
        <is>
          <t>已发货</t>
        </is>
      </c>
      <c r="C142" s="3" t="inlineStr">
        <is>
          <t>C2</t>
        </is>
      </c>
      <c r="D142" s="3" t="inlineStr">
        <is>
          <t>魔芋笋2大袋</t>
        </is>
      </c>
      <c r="E1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2" s="3" t="inlineStr">
        <is>
          <t>รสเผ็ดหอม​, 20 ซอง 400g</t>
        </is>
      </c>
      <c r="G142" s="6" t="n">
        <v>1</v>
      </c>
      <c r="H142" s="6" t="n">
        <v>96</v>
      </c>
      <c r="I142" s="6" t="n">
        <v>24</v>
      </c>
      <c r="J142" s="6" t="n">
        <v>38</v>
      </c>
      <c r="K142" s="6">
        <f>H142+I142</f>
        <v/>
      </c>
      <c r="L142" s="5">
        <f>K142/4.7</f>
        <v/>
      </c>
      <c r="M142" s="6" t="n">
        <v>13.4</v>
      </c>
      <c r="N142" s="6" t="n">
        <v>1</v>
      </c>
      <c r="O142" s="6">
        <f>(K142*0.1229+1.05)/4.7</f>
        <v/>
      </c>
      <c r="P142" s="6">
        <f>K142*0.0749/4.7</f>
        <v/>
      </c>
      <c r="Q142" s="5">
        <f>M142+N142+O142+P142</f>
        <v/>
      </c>
      <c r="R142" s="5">
        <f>L142-Q142</f>
        <v/>
      </c>
      <c r="S142" s="6">
        <f>R142*4.7</f>
        <v/>
      </c>
      <c r="T142" s="7">
        <f>IF(L142&gt;0,R142/L142,0)</f>
        <v/>
      </c>
      <c r="U142" s="3" t="inlineStr">
        <is>
          <t>27/05/2026 12:54:03</t>
        </is>
      </c>
    </row>
    <row r="143">
      <c r="A143" s="3" t="inlineStr">
        <is>
          <t>584221727235933194</t>
        </is>
      </c>
      <c r="B143" s="3" t="inlineStr">
        <is>
          <t>已发货</t>
        </is>
      </c>
      <c r="C143" s="3" t="inlineStr">
        <is>
          <t>C2</t>
        </is>
      </c>
      <c r="D143" s="3" t="inlineStr">
        <is>
          <t>魔芋笋2大袋</t>
        </is>
      </c>
      <c r="E143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43" s="3" t="inlineStr">
        <is>
          <t>รสเผ็ดหอม​, 2pcs  400g</t>
        </is>
      </c>
      <c r="G143" s="6" t="n">
        <v>1</v>
      </c>
      <c r="H143" s="6" t="n">
        <v>240</v>
      </c>
      <c r="I143" s="6" t="n">
        <v>0</v>
      </c>
      <c r="J143" s="6" t="n">
        <v>48</v>
      </c>
      <c r="K143" s="6">
        <f>H143+I143</f>
        <v/>
      </c>
      <c r="L143" s="5">
        <f>K143/4.7</f>
        <v/>
      </c>
      <c r="M143" s="6" t="n">
        <v>13.4</v>
      </c>
      <c r="N143" s="6" t="n">
        <v>1</v>
      </c>
      <c r="O143" s="6">
        <f>(K143*0.1229+1.05)/4.7</f>
        <v/>
      </c>
      <c r="P143" s="6">
        <f>K143*0.0749/4.7</f>
        <v/>
      </c>
      <c r="Q143" s="5">
        <f>M143+N143+O143+P143</f>
        <v/>
      </c>
      <c r="R143" s="5">
        <f>L143-Q143</f>
        <v/>
      </c>
      <c r="S143" s="6">
        <f>R143*4.7</f>
        <v/>
      </c>
      <c r="T143" s="7">
        <f>IF(L143&gt;0,R143/L143,0)</f>
        <v/>
      </c>
      <c r="U143" s="3" t="inlineStr">
        <is>
          <t>27/05/2026 11:59:46</t>
        </is>
      </c>
    </row>
    <row r="144">
      <c r="A144" s="3" t="inlineStr">
        <is>
          <t>584221727235933194</t>
        </is>
      </c>
      <c r="B144" s="3" t="inlineStr">
        <is>
          <t>已发货</t>
        </is>
      </c>
      <c r="C144" s="3" t="inlineStr">
        <is>
          <t>B2</t>
        </is>
      </c>
      <c r="D144" s="3" t="inlineStr">
        <is>
          <t>魔芋笋2大袋</t>
        </is>
      </c>
      <c r="E144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44" s="3" t="inlineStr">
        <is>
          <t>รสเปรี้ยวเผ็ด​, 2pcs  400g</t>
        </is>
      </c>
      <c r="G144" s="6" t="n">
        <v>1</v>
      </c>
      <c r="H144" s="6" t="n">
        <v>240</v>
      </c>
      <c r="I144" s="6" t="n">
        <v>0</v>
      </c>
      <c r="J144" s="6" t="n">
        <v>48</v>
      </c>
      <c r="K144" s="6">
        <f>H144+I144</f>
        <v/>
      </c>
      <c r="L144" s="5">
        <f>K144/4.7</f>
        <v/>
      </c>
      <c r="M144" s="6" t="n">
        <v>13.4</v>
      </c>
      <c r="N144" s="6" t="n">
        <v>1</v>
      </c>
      <c r="O144" s="6">
        <f>(K144*0.1229+1.05)/4.7</f>
        <v/>
      </c>
      <c r="P144" s="6">
        <f>K144*0.0749/4.7</f>
        <v/>
      </c>
      <c r="Q144" s="5">
        <f>M144+N144+O144+P144</f>
        <v/>
      </c>
      <c r="R144" s="5">
        <f>L144-Q144</f>
        <v/>
      </c>
      <c r="S144" s="6">
        <f>R144*4.7</f>
        <v/>
      </c>
      <c r="T144" s="7">
        <f>IF(L144&gt;0,R144/L144,0)</f>
        <v/>
      </c>
      <c r="U144" s="3" t="inlineStr">
        <is>
          <t>27/05/2026 11:59:46</t>
        </is>
      </c>
    </row>
    <row r="145">
      <c r="A145" s="3" t="inlineStr">
        <is>
          <t>584221471359927603</t>
        </is>
      </c>
      <c r="B145" s="3" t="inlineStr">
        <is>
          <t>已发货</t>
        </is>
      </c>
      <c r="C145" s="3" t="inlineStr">
        <is>
          <t>C2</t>
        </is>
      </c>
      <c r="D145" s="3" t="inlineStr">
        <is>
          <t>魔芋笋2大袋</t>
        </is>
      </c>
      <c r="E1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5" s="3" t="inlineStr">
        <is>
          <t>รสเผ็ดหอม​, 20 ซอง 400g</t>
        </is>
      </c>
      <c r="G145" s="6" t="n">
        <v>1</v>
      </c>
      <c r="H145" s="6" t="n">
        <v>135</v>
      </c>
      <c r="I145" s="6" t="n">
        <v>0</v>
      </c>
      <c r="J145" s="6" t="n">
        <v>28</v>
      </c>
      <c r="K145" s="6">
        <f>H145+I145</f>
        <v/>
      </c>
      <c r="L145" s="5">
        <f>K145/4.7</f>
        <v/>
      </c>
      <c r="M145" s="6" t="n">
        <v>13.4</v>
      </c>
      <c r="N145" s="6" t="n">
        <v>1</v>
      </c>
      <c r="O145" s="6">
        <f>(K145*0.1229+1.05)/4.7</f>
        <v/>
      </c>
      <c r="P145" s="6">
        <f>K145*0.0749/4.7</f>
        <v/>
      </c>
      <c r="Q145" s="5">
        <f>M145+N145+O145+P145</f>
        <v/>
      </c>
      <c r="R145" s="5">
        <f>L145-Q145</f>
        <v/>
      </c>
      <c r="S145" s="6">
        <f>R145*4.7</f>
        <v/>
      </c>
      <c r="T145" s="7">
        <f>IF(L145&gt;0,R145/L145,0)</f>
        <v/>
      </c>
      <c r="U145" s="3" t="inlineStr">
        <is>
          <t>27/05/2026 11:48:57</t>
        </is>
      </c>
    </row>
    <row r="146">
      <c r="A146" s="3" t="inlineStr">
        <is>
          <t>584221373196305511</t>
        </is>
      </c>
      <c r="B146" s="3" t="inlineStr">
        <is>
          <t>已发货</t>
        </is>
      </c>
      <c r="C146" s="3" t="inlineStr">
        <is>
          <t>C2</t>
        </is>
      </c>
      <c r="D146" s="3" t="inlineStr">
        <is>
          <t>魔芋笋2大袋</t>
        </is>
      </c>
      <c r="E1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6" s="3" t="inlineStr">
        <is>
          <t>รสเผ็ดหอม​, 20 ซอง 400g</t>
        </is>
      </c>
      <c r="G146" s="6" t="n">
        <v>1</v>
      </c>
      <c r="H146" s="6" t="n">
        <v>196</v>
      </c>
      <c r="I146" s="6" t="n">
        <v>0</v>
      </c>
      <c r="J146" s="6" t="n">
        <v>35</v>
      </c>
      <c r="K146" s="6">
        <f>H146+I146</f>
        <v/>
      </c>
      <c r="L146" s="5">
        <f>K146/4.7</f>
        <v/>
      </c>
      <c r="M146" s="6" t="n">
        <v>13.4</v>
      </c>
      <c r="N146" s="6" t="n">
        <v>1</v>
      </c>
      <c r="O146" s="6">
        <f>(K146*0.1229+1.05)/4.7</f>
        <v/>
      </c>
      <c r="P146" s="6">
        <f>K146*0.0749/4.7</f>
        <v/>
      </c>
      <c r="Q146" s="5">
        <f>M146+N146+O146+P146</f>
        <v/>
      </c>
      <c r="R146" s="5">
        <f>L146-Q146</f>
        <v/>
      </c>
      <c r="S146" s="6">
        <f>R146*4.7</f>
        <v/>
      </c>
      <c r="T146" s="7">
        <f>IF(L146&gt;0,R146/L146,0)</f>
        <v/>
      </c>
      <c r="U146" s="3" t="inlineStr">
        <is>
          <t>27/05/2026 11:44:31</t>
        </is>
      </c>
    </row>
    <row r="147">
      <c r="A147" s="3" t="inlineStr">
        <is>
          <t>584221373196305511</t>
        </is>
      </c>
      <c r="B147" s="3" t="inlineStr">
        <is>
          <t>已发货</t>
        </is>
      </c>
      <c r="C147" s="3" t="inlineStr">
        <is>
          <t>B1</t>
        </is>
      </c>
      <c r="D147" s="3" t="inlineStr">
        <is>
          <t>魔芋笋1大袋</t>
        </is>
      </c>
      <c r="E1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7" s="3" t="inlineStr">
        <is>
          <t>รสเปรี้ยวเผ็ด​, 10 ซอง 200g</t>
        </is>
      </c>
      <c r="G147" s="6" t="n">
        <v>1</v>
      </c>
      <c r="H147" s="6" t="n">
        <v>196</v>
      </c>
      <c r="I147" s="6" t="n">
        <v>0</v>
      </c>
      <c r="J147" s="6" t="n">
        <v>35</v>
      </c>
      <c r="K147" s="6">
        <f>H147+I147</f>
        <v/>
      </c>
      <c r="L147" s="5">
        <f>K147/4.7</f>
        <v/>
      </c>
      <c r="M147" s="6" t="n">
        <v>6.699999999999999</v>
      </c>
      <c r="N147" s="6" t="n">
        <v>1</v>
      </c>
      <c r="O147" s="6">
        <f>(K147*0.1229+1.05)/4.7</f>
        <v/>
      </c>
      <c r="P147" s="6">
        <f>K147*0.0749/4.7</f>
        <v/>
      </c>
      <c r="Q147" s="5">
        <f>M147+N147+O147+P147</f>
        <v/>
      </c>
      <c r="R147" s="5">
        <f>L147-Q147</f>
        <v/>
      </c>
      <c r="S147" s="6">
        <f>R147*4.7</f>
        <v/>
      </c>
      <c r="T147" s="7">
        <f>IF(L147&gt;0,R147/L147,0)</f>
        <v/>
      </c>
      <c r="U147" s="3" t="inlineStr">
        <is>
          <t>27/05/2026 11:44:31</t>
        </is>
      </c>
    </row>
    <row r="148">
      <c r="A148" s="3" t="inlineStr">
        <is>
          <t>584221386021635640</t>
        </is>
      </c>
      <c r="B148" s="3" t="inlineStr">
        <is>
          <t>已发货</t>
        </is>
      </c>
      <c r="C148" s="3" t="inlineStr">
        <is>
          <t>C3</t>
        </is>
      </c>
      <c r="D148" s="3" t="inlineStr">
        <is>
          <t>魔芋笋3大袋</t>
        </is>
      </c>
      <c r="E1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8" s="3" t="inlineStr">
        <is>
          <t>รสเผ็ดหอม​, 30 ซอง 600g</t>
        </is>
      </c>
      <c r="G148" s="6" t="n">
        <v>1</v>
      </c>
      <c r="H148" s="6" t="n">
        <v>344</v>
      </c>
      <c r="I148" s="6" t="n">
        <v>0</v>
      </c>
      <c r="J148" s="6" t="n">
        <v>48</v>
      </c>
      <c r="K148" s="6">
        <f>H148+I148</f>
        <v/>
      </c>
      <c r="L148" s="5">
        <f>K148/4.7</f>
        <v/>
      </c>
      <c r="M148" s="6" t="n">
        <v>20.1</v>
      </c>
      <c r="N148" s="6" t="n">
        <v>1</v>
      </c>
      <c r="O148" s="6">
        <f>(K148*0.1229+1.05)/4.7</f>
        <v/>
      </c>
      <c r="P148" s="6">
        <f>K148*0.0749/4.7</f>
        <v/>
      </c>
      <c r="Q148" s="5">
        <f>M148+N148+O148+P148</f>
        <v/>
      </c>
      <c r="R148" s="5">
        <f>L148-Q148</f>
        <v/>
      </c>
      <c r="S148" s="6">
        <f>R148*4.7</f>
        <v/>
      </c>
      <c r="T148" s="7">
        <f>IF(L148&gt;0,R148/L148,0)</f>
        <v/>
      </c>
      <c r="U148" s="3" t="inlineStr">
        <is>
          <t>27/05/2026 11:38:47</t>
        </is>
      </c>
    </row>
    <row r="149">
      <c r="A149" s="3" t="inlineStr">
        <is>
          <t>584221386021635640</t>
        </is>
      </c>
      <c r="B149" s="3" t="inlineStr">
        <is>
          <t>已发货</t>
        </is>
      </c>
      <c r="C149" s="3" t="inlineStr">
        <is>
          <t>B3</t>
        </is>
      </c>
      <c r="D149" s="3" t="inlineStr">
        <is>
          <t>魔芋笋3大袋</t>
        </is>
      </c>
      <c r="E1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9" s="3" t="inlineStr">
        <is>
          <t>รสเปรี้ยวเผ็ด​, 30 ซอง 600g</t>
        </is>
      </c>
      <c r="G149" s="6" t="n">
        <v>1</v>
      </c>
      <c r="H149" s="6" t="n">
        <v>344</v>
      </c>
      <c r="I149" s="6" t="n">
        <v>0</v>
      </c>
      <c r="J149" s="6" t="n">
        <v>48</v>
      </c>
      <c r="K149" s="6">
        <f>H149+I149</f>
        <v/>
      </c>
      <c r="L149" s="5">
        <f>K149/4.7</f>
        <v/>
      </c>
      <c r="M149" s="6" t="n">
        <v>20.1</v>
      </c>
      <c r="N149" s="6" t="n">
        <v>1</v>
      </c>
      <c r="O149" s="6">
        <f>(K149*0.1229+1.05)/4.7</f>
        <v/>
      </c>
      <c r="P149" s="6">
        <f>K149*0.0749/4.7</f>
        <v/>
      </c>
      <c r="Q149" s="5">
        <f>M149+N149+O149+P149</f>
        <v/>
      </c>
      <c r="R149" s="5">
        <f>L149-Q149</f>
        <v/>
      </c>
      <c r="S149" s="6">
        <f>R149*4.7</f>
        <v/>
      </c>
      <c r="T149" s="7">
        <f>IF(L149&gt;0,R149/L149,0)</f>
        <v/>
      </c>
      <c r="U149" s="3" t="inlineStr">
        <is>
          <t>27/05/2026 11:38:47</t>
        </is>
      </c>
    </row>
    <row r="150">
      <c r="A150" s="3" t="inlineStr">
        <is>
          <t>584220285087352454</t>
        </is>
      </c>
      <c r="B150" s="3" t="inlineStr">
        <is>
          <t>已发货</t>
        </is>
      </c>
      <c r="C150" s="3" t="inlineStr">
        <is>
          <t>C2</t>
        </is>
      </c>
      <c r="D150" s="3" t="inlineStr">
        <is>
          <t>魔芋笋2大袋</t>
        </is>
      </c>
      <c r="E1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0" s="3" t="inlineStr">
        <is>
          <t>รสเผ็ดหอม​, 20 ซอง 400g</t>
        </is>
      </c>
      <c r="G150" s="6" t="n">
        <v>1</v>
      </c>
      <c r="H150" s="6" t="n">
        <v>250</v>
      </c>
      <c r="I150" s="6" t="n">
        <v>0</v>
      </c>
      <c r="J150" s="6" t="n">
        <v>48</v>
      </c>
      <c r="K150" s="6">
        <f>H150+I150</f>
        <v/>
      </c>
      <c r="L150" s="5">
        <f>K150/4.7</f>
        <v/>
      </c>
      <c r="M150" s="6" t="n">
        <v>13.4</v>
      </c>
      <c r="N150" s="6" t="n">
        <v>1</v>
      </c>
      <c r="O150" s="6">
        <f>(K150*0.1229+1.05)/4.7</f>
        <v/>
      </c>
      <c r="P150" s="6">
        <f>K150*0.0749/4.7</f>
        <v/>
      </c>
      <c r="Q150" s="5">
        <f>M150+N150+O150+P150</f>
        <v/>
      </c>
      <c r="R150" s="5">
        <f>L150-Q150</f>
        <v/>
      </c>
      <c r="S150" s="6">
        <f>R150*4.7</f>
        <v/>
      </c>
      <c r="T150" s="7">
        <f>IF(L150&gt;0,R150/L150,0)</f>
        <v/>
      </c>
      <c r="U150" s="3" t="inlineStr">
        <is>
          <t>27/05/2026 10:22:08</t>
        </is>
      </c>
    </row>
    <row r="151">
      <c r="A151" s="3" t="inlineStr">
        <is>
          <t>584220285087352454</t>
        </is>
      </c>
      <c r="B151" s="3" t="inlineStr">
        <is>
          <t>已发货</t>
        </is>
      </c>
      <c r="C151" s="3" t="inlineStr">
        <is>
          <t>B2</t>
        </is>
      </c>
      <c r="D151" s="3" t="inlineStr">
        <is>
          <t>魔芋笋2大袋</t>
        </is>
      </c>
      <c r="E1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1" s="3" t="inlineStr">
        <is>
          <t>รสเปรี้ยวเผ็ด​, 20 ซอง 400g</t>
        </is>
      </c>
      <c r="G151" s="6" t="n">
        <v>1</v>
      </c>
      <c r="H151" s="6" t="n">
        <v>250</v>
      </c>
      <c r="I151" s="6" t="n">
        <v>0</v>
      </c>
      <c r="J151" s="6" t="n">
        <v>48</v>
      </c>
      <c r="K151" s="6">
        <f>H151+I151</f>
        <v/>
      </c>
      <c r="L151" s="5">
        <f>K151/4.7</f>
        <v/>
      </c>
      <c r="M151" s="6" t="n">
        <v>13.4</v>
      </c>
      <c r="N151" s="6" t="n">
        <v>1</v>
      </c>
      <c r="O151" s="6">
        <f>(K151*0.1229+1.05)/4.7</f>
        <v/>
      </c>
      <c r="P151" s="6">
        <f>K151*0.0749/4.7</f>
        <v/>
      </c>
      <c r="Q151" s="5">
        <f>M151+N151+O151+P151</f>
        <v/>
      </c>
      <c r="R151" s="5">
        <f>L151-Q151</f>
        <v/>
      </c>
      <c r="S151" s="6">
        <f>R151*4.7</f>
        <v/>
      </c>
      <c r="T151" s="7">
        <f>IF(L151&gt;0,R151/L151,0)</f>
        <v/>
      </c>
      <c r="U151" s="3" t="inlineStr">
        <is>
          <t>27/05/2026 10:22:08</t>
        </is>
      </c>
    </row>
    <row r="152">
      <c r="A152" s="3" t="inlineStr">
        <is>
          <t>584220329458894018</t>
        </is>
      </c>
      <c r="B152" s="3" t="inlineStr">
        <is>
          <t>已发货</t>
        </is>
      </c>
      <c r="C152" s="3" t="inlineStr">
        <is>
          <t>C5s</t>
        </is>
      </c>
      <c r="D152" s="3" t="inlineStr">
        <is>
          <t>香辣味魔芋笋5小袋</t>
        </is>
      </c>
      <c r="E1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2" s="3" t="inlineStr">
        <is>
          <t>รสเผ็ดหอม​, *ชุดเล็ก 5 ซอง 100g</t>
        </is>
      </c>
      <c r="G152" s="6" t="n">
        <v>4</v>
      </c>
      <c r="H152" s="6" t="n">
        <v>183</v>
      </c>
      <c r="I152" s="6" t="n">
        <v>0</v>
      </c>
      <c r="J152" s="6" t="n">
        <v>54</v>
      </c>
      <c r="K152" s="6">
        <f>H152+I152</f>
        <v/>
      </c>
      <c r="L152" s="5">
        <f>K152/4.7</f>
        <v/>
      </c>
      <c r="M152" s="6" t="n">
        <v>13.4</v>
      </c>
      <c r="N152" s="6" t="n">
        <v>1</v>
      </c>
      <c r="O152" s="6">
        <f>(K152*0.1229+1.05)/4.7</f>
        <v/>
      </c>
      <c r="P152" s="6">
        <f>K152*0.0749/4.7</f>
        <v/>
      </c>
      <c r="Q152" s="5">
        <f>M152+N152+O152+P152</f>
        <v/>
      </c>
      <c r="R152" s="5">
        <f>L152-Q152</f>
        <v/>
      </c>
      <c r="S152" s="6">
        <f>R152*4.7</f>
        <v/>
      </c>
      <c r="T152" s="7">
        <f>IF(L152&gt;0,R152/L152,0)</f>
        <v/>
      </c>
      <c r="U152" s="3" t="inlineStr">
        <is>
          <t>27/05/2026 10:21:08</t>
        </is>
      </c>
    </row>
    <row r="153">
      <c r="A153" s="3" t="inlineStr">
        <is>
          <t>584219697542563594</t>
        </is>
      </c>
      <c r="B153" s="3" t="inlineStr">
        <is>
          <t>已发货</t>
        </is>
      </c>
      <c r="C153" s="3" t="inlineStr">
        <is>
          <t>C5s</t>
        </is>
      </c>
      <c r="D153" s="3" t="inlineStr">
        <is>
          <t>香辣味魔芋笋5小袋</t>
        </is>
      </c>
      <c r="E1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3" s="3" t="inlineStr">
        <is>
          <t>รสเผ็ดหอม​, *ชุดเล็ก 5 ซอง 100g</t>
        </is>
      </c>
      <c r="G153" s="6" t="n">
        <v>3</v>
      </c>
      <c r="H153" s="6" t="n">
        <v>141</v>
      </c>
      <c r="I153" s="6" t="n">
        <v>0</v>
      </c>
      <c r="J153" s="6" t="n">
        <v>48</v>
      </c>
      <c r="K153" s="6">
        <f>H153+I153</f>
        <v/>
      </c>
      <c r="L153" s="5">
        <f>K153/4.7</f>
        <v/>
      </c>
      <c r="M153" s="6" t="n">
        <v>10.05</v>
      </c>
      <c r="N153" s="6" t="n">
        <v>1</v>
      </c>
      <c r="O153" s="6">
        <f>(K153*0.1229+1.05)/4.7</f>
        <v/>
      </c>
      <c r="P153" s="6">
        <f>K153*0.0749/4.7</f>
        <v/>
      </c>
      <c r="Q153" s="5">
        <f>M153+N153+O153+P153</f>
        <v/>
      </c>
      <c r="R153" s="5">
        <f>L153-Q153</f>
        <v/>
      </c>
      <c r="S153" s="6">
        <f>R153*4.7</f>
        <v/>
      </c>
      <c r="T153" s="7">
        <f>IF(L153&gt;0,R153/L153,0)</f>
        <v/>
      </c>
      <c r="U153" s="3" t="inlineStr">
        <is>
          <t>27/05/2026 09:31:51</t>
        </is>
      </c>
    </row>
    <row r="154">
      <c r="A154" s="3" t="inlineStr">
        <is>
          <t>584218463804949790</t>
        </is>
      </c>
      <c r="B154" s="3" t="inlineStr">
        <is>
          <t>已发货</t>
        </is>
      </c>
      <c r="C154" s="3" t="inlineStr">
        <is>
          <t>C1</t>
        </is>
      </c>
      <c r="D154" s="3" t="inlineStr">
        <is>
          <t>魔芋笋1大袋</t>
        </is>
      </c>
      <c r="E1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4" s="3" t="inlineStr">
        <is>
          <t>รสเผ็ดหอม​, 10 ซอง 200g</t>
        </is>
      </c>
      <c r="G154" s="6" t="n">
        <v>1</v>
      </c>
      <c r="H154" s="6" t="n">
        <v>69</v>
      </c>
      <c r="I154" s="6" t="n">
        <v>0</v>
      </c>
      <c r="J154" s="6" t="n">
        <v>35</v>
      </c>
      <c r="K154" s="6">
        <f>H154+I154</f>
        <v/>
      </c>
      <c r="L154" s="5">
        <f>K154/4.7</f>
        <v/>
      </c>
      <c r="M154" s="6" t="n">
        <v>6.699999999999999</v>
      </c>
      <c r="N154" s="6" t="n">
        <v>1</v>
      </c>
      <c r="O154" s="6">
        <f>(K154*0.1229+1.05)/4.7</f>
        <v/>
      </c>
      <c r="P154" s="6">
        <f>K154*0.0749/4.7</f>
        <v/>
      </c>
      <c r="Q154" s="5">
        <f>M154+N154+O154+P154</f>
        <v/>
      </c>
      <c r="R154" s="5">
        <f>L154-Q154</f>
        <v/>
      </c>
      <c r="S154" s="6">
        <f>R154*4.7</f>
        <v/>
      </c>
      <c r="T154" s="7">
        <f>IF(L154&gt;0,R154/L154,0)</f>
        <v/>
      </c>
      <c r="U154" s="3" t="inlineStr">
        <is>
          <t>27/05/2026 07:54:10</t>
        </is>
      </c>
    </row>
    <row r="155">
      <c r="A155" s="3" t="inlineStr">
        <is>
          <t>584216686484293187</t>
        </is>
      </c>
      <c r="B155" s="3" t="inlineStr">
        <is>
          <t>已发货</t>
        </is>
      </c>
      <c r="C155" s="3" t="inlineStr">
        <is>
          <t>CK</t>
        </is>
      </c>
      <c r="D155" s="3" t="inlineStr">
        <is>
          <t>黑松露黑麦苏打饼干</t>
        </is>
      </c>
      <c r="E15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55" s="3" t="inlineStr">
        <is>
          <t>ค่าเริ่มต้น</t>
        </is>
      </c>
      <c r="G155" s="6" t="n">
        <v>2</v>
      </c>
      <c r="H155" s="6" t="n">
        <v>169.38</v>
      </c>
      <c r="I155" s="6" t="n">
        <v>30.12</v>
      </c>
      <c r="J155" s="6" t="n">
        <v>35</v>
      </c>
      <c r="K155" s="6">
        <f>H155+I155</f>
        <v/>
      </c>
      <c r="L155" s="5">
        <f>K155/4.7</f>
        <v/>
      </c>
      <c r="M155" s="6" t="n">
        <v>21.45330100418933</v>
      </c>
      <c r="N155" s="6" t="n">
        <v>1</v>
      </c>
      <c r="O155" s="6">
        <f>(K155*0.1229+1.05)/4.7</f>
        <v/>
      </c>
      <c r="P155" s="6">
        <f>K155*0.0749/4.7</f>
        <v/>
      </c>
      <c r="Q155" s="5">
        <f>M155+N155+O155+P155</f>
        <v/>
      </c>
      <c r="R155" s="5">
        <f>L155-Q155</f>
        <v/>
      </c>
      <c r="S155" s="6">
        <f>R155*4.7</f>
        <v/>
      </c>
      <c r="T155" s="7">
        <f>IF(L155&gt;0,R155/L155,0)</f>
        <v/>
      </c>
      <c r="U155" s="3" t="inlineStr">
        <is>
          <t>27/05/2026 02:13:58</t>
        </is>
      </c>
    </row>
    <row r="156">
      <c r="A156" s="3" t="inlineStr">
        <is>
          <t>584216590304577157</t>
        </is>
      </c>
      <c r="B156" s="3" t="inlineStr">
        <is>
          <t>已发货</t>
        </is>
      </c>
      <c r="C156" s="3" t="inlineStr">
        <is>
          <t>C5s</t>
        </is>
      </c>
      <c r="D156" s="3" t="inlineStr">
        <is>
          <t>香辣味魔芋笋5小袋</t>
        </is>
      </c>
      <c r="E1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6" s="3" t="inlineStr">
        <is>
          <t>รสเผ็ดหอม​, *ชุดเล็ก 5 ซอง 100g</t>
        </is>
      </c>
      <c r="G156" s="6" t="n">
        <v>2</v>
      </c>
      <c r="H156" s="6" t="n">
        <v>106</v>
      </c>
      <c r="I156" s="6" t="n">
        <v>0</v>
      </c>
      <c r="J156" s="6" t="n">
        <v>38</v>
      </c>
      <c r="K156" s="6">
        <f>H156+I156</f>
        <v/>
      </c>
      <c r="L156" s="5">
        <f>K156/4.7</f>
        <v/>
      </c>
      <c r="M156" s="6" t="n">
        <v>6.699999999999999</v>
      </c>
      <c r="N156" s="6" t="n">
        <v>1</v>
      </c>
      <c r="O156" s="6">
        <f>(K156*0.1229+1.05)/4.7</f>
        <v/>
      </c>
      <c r="P156" s="6">
        <f>K156*0.0749/4.7</f>
        <v/>
      </c>
      <c r="Q156" s="5">
        <f>M156+N156+O156+P156</f>
        <v/>
      </c>
      <c r="R156" s="5">
        <f>L156-Q156</f>
        <v/>
      </c>
      <c r="S156" s="6">
        <f>R156*4.7</f>
        <v/>
      </c>
      <c r="T156" s="7">
        <f>IF(L156&gt;0,R156/L156,0)</f>
        <v/>
      </c>
      <c r="U156" s="3" t="inlineStr">
        <is>
          <t>27/05/2026 01:50:38</t>
        </is>
      </c>
    </row>
    <row r="157">
      <c r="A157" s="3" t="inlineStr">
        <is>
          <t>584216507780073453</t>
        </is>
      </c>
      <c r="B157" s="3" t="inlineStr">
        <is>
          <t>已发货</t>
        </is>
      </c>
      <c r="C157" s="3" t="inlineStr">
        <is>
          <t>C2</t>
        </is>
      </c>
      <c r="D157" s="3" t="inlineStr">
        <is>
          <t>魔芋笋2大袋</t>
        </is>
      </c>
      <c r="E1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7" s="3" t="inlineStr">
        <is>
          <t>รสเผ็ดหอม​, 20 ซอง 400g</t>
        </is>
      </c>
      <c r="G157" s="6" t="n">
        <v>1</v>
      </c>
      <c r="H157" s="6" t="n">
        <v>98.91</v>
      </c>
      <c r="I157" s="6" t="n">
        <v>14.4</v>
      </c>
      <c r="J157" s="6" t="n">
        <v>35</v>
      </c>
      <c r="K157" s="6">
        <f>H157+I157</f>
        <v/>
      </c>
      <c r="L157" s="5">
        <f>K157/4.7</f>
        <v/>
      </c>
      <c r="M157" s="6" t="n">
        <v>13.4</v>
      </c>
      <c r="N157" s="6" t="n">
        <v>1</v>
      </c>
      <c r="O157" s="6">
        <f>(K157*0.1229+1.05)/4.7</f>
        <v/>
      </c>
      <c r="P157" s="6">
        <f>K157*0.0749/4.7</f>
        <v/>
      </c>
      <c r="Q157" s="5">
        <f>M157+N157+O157+P157</f>
        <v/>
      </c>
      <c r="R157" s="5">
        <f>L157-Q157</f>
        <v/>
      </c>
      <c r="S157" s="6">
        <f>R157*4.7</f>
        <v/>
      </c>
      <c r="T157" s="7">
        <f>IF(L157&gt;0,R157/L157,0)</f>
        <v/>
      </c>
      <c r="U157" s="3" t="inlineStr">
        <is>
          <t>27/05/2026 01:33:48</t>
        </is>
      </c>
    </row>
    <row r="158">
      <c r="A158" s="3" t="inlineStr">
        <is>
          <t>584216469961344082</t>
        </is>
      </c>
      <c r="B158" s="3" t="inlineStr">
        <is>
          <t>已发货</t>
        </is>
      </c>
      <c r="C158" s="3" t="inlineStr">
        <is>
          <t>C1</t>
        </is>
      </c>
      <c r="D158" s="3" t="inlineStr">
        <is>
          <t>魔芋笋1大袋</t>
        </is>
      </c>
      <c r="E1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8" s="3" t="inlineStr">
        <is>
          <t>รสเผ็ดหอม​, 10 ซอง 200g</t>
        </is>
      </c>
      <c r="G158" s="6" t="n">
        <v>1</v>
      </c>
      <c r="H158" s="6" t="n">
        <v>105</v>
      </c>
      <c r="I158" s="6" t="n">
        <v>0</v>
      </c>
      <c r="J158" s="6" t="n">
        <v>0</v>
      </c>
      <c r="K158" s="6">
        <f>H158+I158</f>
        <v/>
      </c>
      <c r="L158" s="5">
        <f>K158/4.7</f>
        <v/>
      </c>
      <c r="M158" s="6" t="n">
        <v>6.699999999999999</v>
      </c>
      <c r="N158" s="6" t="n">
        <v>1</v>
      </c>
      <c r="O158" s="6">
        <f>(K158*0.1229+1.05)/4.7</f>
        <v/>
      </c>
      <c r="P158" s="6">
        <f>K158*0.0749/4.7</f>
        <v/>
      </c>
      <c r="Q158" s="5">
        <f>M158+N158+O158+P158</f>
        <v/>
      </c>
      <c r="R158" s="5">
        <f>L158-Q158</f>
        <v/>
      </c>
      <c r="S158" s="6">
        <f>R158*4.7</f>
        <v/>
      </c>
      <c r="T158" s="7">
        <f>IF(L158&gt;0,R158/L158,0)</f>
        <v/>
      </c>
      <c r="U158" s="3" t="inlineStr">
        <is>
          <t>27/05/2026 01:23:51</t>
        </is>
      </c>
    </row>
    <row r="159">
      <c r="A159" s="3" t="inlineStr">
        <is>
          <t>584216304524101052</t>
        </is>
      </c>
      <c r="B159" s="3" t="inlineStr">
        <is>
          <t>已发货</t>
        </is>
      </c>
      <c r="C159" s="3" t="inlineStr">
        <is>
          <t>CK</t>
        </is>
      </c>
      <c r="D159" s="3" t="inlineStr">
        <is>
          <t>黑松露黑麦苏打饼干</t>
        </is>
      </c>
      <c r="E15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59" s="3" t="inlineStr">
        <is>
          <t>ค่าเริ่มต้น</t>
        </is>
      </c>
      <c r="G159" s="6" t="n">
        <v>1</v>
      </c>
      <c r="H159" s="6" t="n">
        <v>103</v>
      </c>
      <c r="I159" s="6" t="n">
        <v>15</v>
      </c>
      <c r="J159" s="6" t="n">
        <v>0</v>
      </c>
      <c r="K159" s="6">
        <f>H159+I159</f>
        <v/>
      </c>
      <c r="L159" s="5">
        <f>K159/4.7</f>
        <v/>
      </c>
      <c r="M159" s="6" t="n">
        <v>10.72665050209467</v>
      </c>
      <c r="N159" s="6" t="n">
        <v>1</v>
      </c>
      <c r="O159" s="6">
        <f>(K159*0.1229+1.05)/4.7</f>
        <v/>
      </c>
      <c r="P159" s="6">
        <f>K159*0.0749/4.7</f>
        <v/>
      </c>
      <c r="Q159" s="5">
        <f>M159+N159+O159+P159</f>
        <v/>
      </c>
      <c r="R159" s="5">
        <f>L159-Q159</f>
        <v/>
      </c>
      <c r="S159" s="6">
        <f>R159*4.7</f>
        <v/>
      </c>
      <c r="T159" s="7">
        <f>IF(L159&gt;0,R159/L159,0)</f>
        <v/>
      </c>
      <c r="U159" s="3" t="inlineStr">
        <is>
          <t>27/05/2026 00:55:19</t>
        </is>
      </c>
    </row>
    <row r="160">
      <c r="A160" s="3" t="inlineStr">
        <is>
          <t>584216031859606869</t>
        </is>
      </c>
      <c r="B160" s="3" t="inlineStr">
        <is>
          <t>已发货</t>
        </is>
      </c>
      <c r="C160" s="3" t="inlineStr">
        <is>
          <t>C5s</t>
        </is>
      </c>
      <c r="D160" s="3" t="inlineStr">
        <is>
          <t>香辣味魔芋笋5小袋</t>
        </is>
      </c>
      <c r="E1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0" s="3" t="inlineStr">
        <is>
          <t>รสเผ็ดหอม​, *ชุดเล็ก 5 ซอง 100g</t>
        </is>
      </c>
      <c r="G160" s="6" t="n">
        <v>1</v>
      </c>
      <c r="H160" s="6" t="n">
        <v>82</v>
      </c>
      <c r="I160" s="6" t="n">
        <v>0</v>
      </c>
      <c r="J160" s="6" t="n">
        <v>0</v>
      </c>
      <c r="K160" s="6">
        <f>H160+I160</f>
        <v/>
      </c>
      <c r="L160" s="5">
        <f>K160/4.7</f>
        <v/>
      </c>
      <c r="M160" s="6" t="n">
        <v>3.35</v>
      </c>
      <c r="N160" s="6" t="n">
        <v>1</v>
      </c>
      <c r="O160" s="6">
        <f>(K160*0.1229+1.05)/4.7</f>
        <v/>
      </c>
      <c r="P160" s="6">
        <f>K160*0.0749/4.7</f>
        <v/>
      </c>
      <c r="Q160" s="5">
        <f>M160+N160+O160+P160</f>
        <v/>
      </c>
      <c r="R160" s="5">
        <f>L160-Q160</f>
        <v/>
      </c>
      <c r="S160" s="6">
        <f>R160*4.7</f>
        <v/>
      </c>
      <c r="T160" s="7">
        <f>IF(L160&gt;0,R160/L160,0)</f>
        <v/>
      </c>
      <c r="U160" s="3" t="inlineStr">
        <is>
          <t>27/05/2026 00:14:15</t>
        </is>
      </c>
    </row>
    <row r="161">
      <c r="A161" s="3" t="inlineStr">
        <is>
          <t>584215523934373762</t>
        </is>
      </c>
      <c r="B161" s="3" t="inlineStr">
        <is>
          <t>已发货</t>
        </is>
      </c>
      <c r="C161" s="3" t="inlineStr">
        <is>
          <t>CK</t>
        </is>
      </c>
      <c r="D161" s="3" t="inlineStr">
        <is>
          <t>黑松露黑麦苏打饼干</t>
        </is>
      </c>
      <c r="E16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61" s="3" t="inlineStr">
        <is>
          <t>ค่าเริ่มต้น</t>
        </is>
      </c>
      <c r="G161" s="6" t="n">
        <v>1</v>
      </c>
      <c r="H161" s="6" t="n">
        <v>65</v>
      </c>
      <c r="I161" s="6" t="n">
        <v>40</v>
      </c>
      <c r="J161" s="6" t="n">
        <v>35</v>
      </c>
      <c r="K161" s="6">
        <f>H161+I161</f>
        <v/>
      </c>
      <c r="L161" s="5">
        <f>K161/4.7</f>
        <v/>
      </c>
      <c r="M161" s="6" t="n">
        <v>10.72665050209467</v>
      </c>
      <c r="N161" s="6" t="n">
        <v>1</v>
      </c>
      <c r="O161" s="6">
        <f>(K161*0.1229+1.05)/4.7</f>
        <v/>
      </c>
      <c r="P161" s="6">
        <f>K161*0.0749/4.7</f>
        <v/>
      </c>
      <c r="Q161" s="5">
        <f>M161+N161+O161+P161</f>
        <v/>
      </c>
      <c r="R161" s="5">
        <f>L161-Q161</f>
        <v/>
      </c>
      <c r="S161" s="6">
        <f>R161*4.7</f>
        <v/>
      </c>
      <c r="T161" s="7">
        <f>IF(L161&gt;0,R161/L161,0)</f>
        <v/>
      </c>
      <c r="U161" s="3" t="inlineStr">
        <is>
          <t>26/05/2026 23:22:39</t>
        </is>
      </c>
    </row>
    <row r="162">
      <c r="A162" s="3" t="inlineStr">
        <is>
          <t>584215519081367124</t>
        </is>
      </c>
      <c r="B162" s="3" t="inlineStr">
        <is>
          <t>已发货</t>
        </is>
      </c>
      <c r="C162" s="3" t="inlineStr">
        <is>
          <t>ER-B</t>
        </is>
      </c>
      <c r="D162" s="3" t="inlineStr">
        <is>
          <t>广州酒家黄油鸡蛋卷480g</t>
        </is>
      </c>
      <c r="E162" s="3" t="inlineStr">
        <is>
          <t>Egg Roll 2สูตร ทองม้วนไข่กล่องเหล็กพรีเมี่ยม!! GuangZhou Restaurant 454g/480g กล่องล่ะ 24 แท่ง</t>
        </is>
      </c>
      <c r="F162" s="3" t="inlineStr">
        <is>
          <t>Butter สูตรเนยสด พรีเมี่ยม</t>
        </is>
      </c>
      <c r="G162" s="6" t="n">
        <v>1</v>
      </c>
      <c r="H162" s="6" t="n">
        <v>679.25</v>
      </c>
      <c r="I162" s="6" t="n">
        <v>17.88</v>
      </c>
      <c r="J162" s="6" t="n">
        <v>35</v>
      </c>
      <c r="K162" s="6">
        <f>H162+I162</f>
        <v/>
      </c>
      <c r="L162" s="5">
        <f>K162/4.7</f>
        <v/>
      </c>
      <c r="M162" s="6" t="n">
        <v>45.49882436351998</v>
      </c>
      <c r="N162" s="6" t="n">
        <v>2</v>
      </c>
      <c r="O162" s="6">
        <f>(K162*0.1229+1.05)/4.7</f>
        <v/>
      </c>
      <c r="P162" s="6">
        <f>K162*0.0749/4.7</f>
        <v/>
      </c>
      <c r="Q162" s="5">
        <f>M162+N162+O162+P162</f>
        <v/>
      </c>
      <c r="R162" s="5">
        <f>L162-Q162</f>
        <v/>
      </c>
      <c r="S162" s="6">
        <f>R162*4.7</f>
        <v/>
      </c>
      <c r="T162" s="7">
        <f>IF(L162&gt;0,R162/L162,0)</f>
        <v/>
      </c>
      <c r="U162" s="3" t="inlineStr">
        <is>
          <t>26/05/2026 23:18:57</t>
        </is>
      </c>
    </row>
    <row r="163">
      <c r="A163" s="3" t="inlineStr">
        <is>
          <t>584215519081367124</t>
        </is>
      </c>
      <c r="B163" s="3" t="inlineStr">
        <is>
          <t>已发货</t>
        </is>
      </c>
      <c r="C163" s="3" t="inlineStr">
        <is>
          <t>ER-A</t>
        </is>
      </c>
      <c r="D163" s="3" t="inlineStr">
        <is>
          <t>广州酒家传统鸡蛋卷454g</t>
        </is>
      </c>
      <c r="E163" s="3" t="inlineStr">
        <is>
          <t>Egg Roll 2สูตร ทองม้วนไข่กล่องเหล็กพรีเมี่ยม!! GuangZhou Restaurant 454g/480g กล่องล่ะ 24 แท่ง</t>
        </is>
      </c>
      <c r="F163" s="3" t="inlineStr">
        <is>
          <t>Traditional สูตรดั้งเดิม ไข่ล้วน</t>
        </is>
      </c>
      <c r="G163" s="6" t="n">
        <v>1</v>
      </c>
      <c r="H163" s="6" t="n">
        <v>679.25</v>
      </c>
      <c r="I163" s="6" t="n">
        <v>17.87</v>
      </c>
      <c r="J163" s="6" t="n">
        <v>35</v>
      </c>
      <c r="K163" s="6">
        <f>H163+I163</f>
        <v/>
      </c>
      <c r="L163" s="5">
        <f>K163/4.7</f>
        <v/>
      </c>
      <c r="M163" s="6" t="n">
        <v>40.25338607190941</v>
      </c>
      <c r="N163" s="6" t="n">
        <v>2</v>
      </c>
      <c r="O163" s="6">
        <f>(K163*0.1229+1.05)/4.7</f>
        <v/>
      </c>
      <c r="P163" s="6">
        <f>K163*0.0749/4.7</f>
        <v/>
      </c>
      <c r="Q163" s="5">
        <f>M163+N163+O163+P163</f>
        <v/>
      </c>
      <c r="R163" s="5">
        <f>L163-Q163</f>
        <v/>
      </c>
      <c r="S163" s="6">
        <f>R163*4.7</f>
        <v/>
      </c>
      <c r="T163" s="7">
        <f>IF(L163&gt;0,R163/L163,0)</f>
        <v/>
      </c>
      <c r="U163" s="3" t="inlineStr">
        <is>
          <t>26/05/2026 23:18:57</t>
        </is>
      </c>
    </row>
    <row r="164">
      <c r="A164" s="3" t="inlineStr">
        <is>
          <t>584215483812381855</t>
        </is>
      </c>
      <c r="B164" s="3" t="inlineStr">
        <is>
          <t>已发货</t>
        </is>
      </c>
      <c r="C164" s="3" t="inlineStr">
        <is>
          <t>C2</t>
        </is>
      </c>
      <c r="D164" s="3" t="inlineStr">
        <is>
          <t>魔芋笋2大袋</t>
        </is>
      </c>
      <c r="E1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4" s="3" t="inlineStr">
        <is>
          <t>รสเผ็ดหอม​, 20 ซอง 400g</t>
        </is>
      </c>
      <c r="G164" s="6" t="n">
        <v>1</v>
      </c>
      <c r="H164" s="6" t="n">
        <v>220.5</v>
      </c>
      <c r="I164" s="6" t="n">
        <v>12.25</v>
      </c>
      <c r="J164" s="6" t="n">
        <v>48</v>
      </c>
      <c r="K164" s="6">
        <f>H164+I164</f>
        <v/>
      </c>
      <c r="L164" s="5">
        <f>K164/4.7</f>
        <v/>
      </c>
      <c r="M164" s="6" t="n">
        <v>13.4</v>
      </c>
      <c r="N164" s="6" t="n">
        <v>1</v>
      </c>
      <c r="O164" s="6">
        <f>(K164*0.1229+1.05)/4.7</f>
        <v/>
      </c>
      <c r="P164" s="6">
        <f>K164*0.0749/4.7</f>
        <v/>
      </c>
      <c r="Q164" s="5">
        <f>M164+N164+O164+P164</f>
        <v/>
      </c>
      <c r="R164" s="5">
        <f>L164-Q164</f>
        <v/>
      </c>
      <c r="S164" s="6">
        <f>R164*4.7</f>
        <v/>
      </c>
      <c r="T164" s="7">
        <f>IF(L164&gt;0,R164/L164,0)</f>
        <v/>
      </c>
      <c r="U164" s="3" t="inlineStr">
        <is>
          <t>26/05/2026 23:13:34</t>
        </is>
      </c>
    </row>
    <row r="165">
      <c r="A165" s="3" t="inlineStr">
        <is>
          <t>584215483812381855</t>
        </is>
      </c>
      <c r="B165" s="3" t="inlineStr">
        <is>
          <t>已发货</t>
        </is>
      </c>
      <c r="C165" s="3" t="inlineStr">
        <is>
          <t>B2</t>
        </is>
      </c>
      <c r="D165" s="3" t="inlineStr">
        <is>
          <t>魔芋笋2大袋</t>
        </is>
      </c>
      <c r="E1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5" s="3" t="inlineStr">
        <is>
          <t>รสเปรี้ยวเผ็ด​, 20 ซอง 400g</t>
        </is>
      </c>
      <c r="G165" s="6" t="n">
        <v>1</v>
      </c>
      <c r="H165" s="6" t="n">
        <v>220.5</v>
      </c>
      <c r="I165" s="6" t="n">
        <v>12.25</v>
      </c>
      <c r="J165" s="6" t="n">
        <v>48</v>
      </c>
      <c r="K165" s="6">
        <f>H165+I165</f>
        <v/>
      </c>
      <c r="L165" s="5">
        <f>K165/4.7</f>
        <v/>
      </c>
      <c r="M165" s="6" t="n">
        <v>13.4</v>
      </c>
      <c r="N165" s="6" t="n">
        <v>1</v>
      </c>
      <c r="O165" s="6">
        <f>(K165*0.1229+1.05)/4.7</f>
        <v/>
      </c>
      <c r="P165" s="6">
        <f>K165*0.0749/4.7</f>
        <v/>
      </c>
      <c r="Q165" s="5">
        <f>M165+N165+O165+P165</f>
        <v/>
      </c>
      <c r="R165" s="5">
        <f>L165-Q165</f>
        <v/>
      </c>
      <c r="S165" s="6">
        <f>R165*4.7</f>
        <v/>
      </c>
      <c r="T165" s="7">
        <f>IF(L165&gt;0,R165/L165,0)</f>
        <v/>
      </c>
      <c r="U165" s="3" t="inlineStr">
        <is>
          <t>26/05/2026 23:13:34</t>
        </is>
      </c>
    </row>
    <row r="166">
      <c r="A166" s="3" t="inlineStr">
        <is>
          <t>584215272036730452</t>
        </is>
      </c>
      <c r="B166" s="3" t="inlineStr">
        <is>
          <t>已发货</t>
        </is>
      </c>
      <c r="C166" s="3" t="inlineStr">
        <is>
          <t>C2</t>
        </is>
      </c>
      <c r="D166" s="3" t="inlineStr">
        <is>
          <t>魔芋笋2大袋</t>
        </is>
      </c>
      <c r="E166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66" s="3" t="inlineStr">
        <is>
          <t>รสเผ็ดหอม​, 2pcs  400g</t>
        </is>
      </c>
      <c r="G166" s="6" t="n">
        <v>1</v>
      </c>
      <c r="H166" s="6" t="n">
        <v>115</v>
      </c>
      <c r="I166" s="6" t="n">
        <v>0</v>
      </c>
      <c r="J166" s="6" t="n">
        <v>29</v>
      </c>
      <c r="K166" s="6">
        <f>H166+I166</f>
        <v/>
      </c>
      <c r="L166" s="5">
        <f>K166/4.7</f>
        <v/>
      </c>
      <c r="M166" s="6" t="n">
        <v>13.4</v>
      </c>
      <c r="N166" s="6" t="n">
        <v>1</v>
      </c>
      <c r="O166" s="6">
        <f>(K166*0.1229+1.05)/4.7</f>
        <v/>
      </c>
      <c r="P166" s="6">
        <f>K166*0.0749/4.7</f>
        <v/>
      </c>
      <c r="Q166" s="5">
        <f>M166+N166+O166+P166</f>
        <v/>
      </c>
      <c r="R166" s="5">
        <f>L166-Q166</f>
        <v/>
      </c>
      <c r="S166" s="6">
        <f>R166*4.7</f>
        <v/>
      </c>
      <c r="T166" s="7">
        <f>IF(L166&gt;0,R166/L166,0)</f>
        <v/>
      </c>
      <c r="U166" s="3" t="inlineStr">
        <is>
          <t>26/05/2026 22:58:42</t>
        </is>
      </c>
    </row>
    <row r="167">
      <c r="A167" s="3" t="inlineStr">
        <is>
          <t>584215161594349099</t>
        </is>
      </c>
      <c r="B167" s="3" t="inlineStr">
        <is>
          <t>已发货</t>
        </is>
      </c>
      <c r="C167" s="3" t="inlineStr">
        <is>
          <t>B1</t>
        </is>
      </c>
      <c r="D167" s="3" t="inlineStr">
        <is>
          <t>魔芋笋1大袋</t>
        </is>
      </c>
      <c r="E1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7" s="3" t="inlineStr">
        <is>
          <t>รสเปรี้ยวเผ็ด​, 10 ซอง 200g</t>
        </is>
      </c>
      <c r="G167" s="6" t="n">
        <v>1</v>
      </c>
      <c r="H167" s="6" t="n">
        <v>69</v>
      </c>
      <c r="I167" s="6" t="n">
        <v>0</v>
      </c>
      <c r="J167" s="6" t="n">
        <v>35</v>
      </c>
      <c r="K167" s="6">
        <f>H167+I167</f>
        <v/>
      </c>
      <c r="L167" s="5">
        <f>K167/4.7</f>
        <v/>
      </c>
      <c r="M167" s="6" t="n">
        <v>6.699999999999999</v>
      </c>
      <c r="N167" s="6" t="n">
        <v>1</v>
      </c>
      <c r="O167" s="6">
        <f>(K167*0.1229+1.05)/4.7</f>
        <v/>
      </c>
      <c r="P167" s="6">
        <f>K167*0.0749/4.7</f>
        <v/>
      </c>
      <c r="Q167" s="5">
        <f>M167+N167+O167+P167</f>
        <v/>
      </c>
      <c r="R167" s="5">
        <f>L167-Q167</f>
        <v/>
      </c>
      <c r="S167" s="6">
        <f>R167*4.7</f>
        <v/>
      </c>
      <c r="T167" s="7">
        <f>IF(L167&gt;0,R167/L167,0)</f>
        <v/>
      </c>
      <c r="U167" s="3" t="inlineStr">
        <is>
          <t>26/05/2026 22:52:01</t>
        </is>
      </c>
    </row>
    <row r="168">
      <c r="A168" s="3" t="inlineStr">
        <is>
          <t>584214990121370995</t>
        </is>
      </c>
      <c r="B168" s="3" t="inlineStr">
        <is>
          <t>已发货</t>
        </is>
      </c>
      <c r="C168" s="3" t="inlineStr">
        <is>
          <t>C1</t>
        </is>
      </c>
      <c r="D168" s="3" t="inlineStr">
        <is>
          <t>魔芋笋1大袋</t>
        </is>
      </c>
      <c r="E1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8" s="3" t="inlineStr">
        <is>
          <t>รสเผ็ดหอม​, 10 ซอง 200g</t>
        </is>
      </c>
      <c r="G168" s="6" t="n">
        <v>1</v>
      </c>
      <c r="H168" s="6" t="n">
        <v>69</v>
      </c>
      <c r="I168" s="6" t="n">
        <v>0</v>
      </c>
      <c r="J168" s="6" t="n">
        <v>38</v>
      </c>
      <c r="K168" s="6">
        <f>H168+I168</f>
        <v/>
      </c>
      <c r="L168" s="5">
        <f>K168/4.7</f>
        <v/>
      </c>
      <c r="M168" s="6" t="n">
        <v>6.699999999999999</v>
      </c>
      <c r="N168" s="6" t="n">
        <v>1</v>
      </c>
      <c r="O168" s="6">
        <f>(K168*0.1229+1.05)/4.7</f>
        <v/>
      </c>
      <c r="P168" s="6">
        <f>K168*0.0749/4.7</f>
        <v/>
      </c>
      <c r="Q168" s="5">
        <f>M168+N168+O168+P168</f>
        <v/>
      </c>
      <c r="R168" s="5">
        <f>L168-Q168</f>
        <v/>
      </c>
      <c r="S168" s="6">
        <f>R168*4.7</f>
        <v/>
      </c>
      <c r="T168" s="7">
        <f>IF(L168&gt;0,R168/L168,0)</f>
        <v/>
      </c>
      <c r="U168" s="3" t="inlineStr">
        <is>
          <t>26/05/2026 22:39:01</t>
        </is>
      </c>
    </row>
    <row r="169">
      <c r="A169" s="3" t="inlineStr">
        <is>
          <t>584214120634615347</t>
        </is>
      </c>
      <c r="B169" s="3" t="inlineStr">
        <is>
          <t>已发货</t>
        </is>
      </c>
      <c r="C169" s="3" t="inlineStr">
        <is>
          <t>C1</t>
        </is>
      </c>
      <c r="D169" s="3" t="inlineStr">
        <is>
          <t>魔芋笋1大袋</t>
        </is>
      </c>
      <c r="E1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9" s="3" t="inlineStr">
        <is>
          <t>รสเผ็ดหอม​, 10 ซอง 200g</t>
        </is>
      </c>
      <c r="G169" s="6" t="n">
        <v>1</v>
      </c>
      <c r="H169" s="6" t="n">
        <v>69</v>
      </c>
      <c r="I169" s="6" t="n">
        <v>0</v>
      </c>
      <c r="J169" s="6" t="n">
        <v>38</v>
      </c>
      <c r="K169" s="6">
        <f>H169+I169</f>
        <v/>
      </c>
      <c r="L169" s="5">
        <f>K169/4.7</f>
        <v/>
      </c>
      <c r="M169" s="6" t="n">
        <v>6.699999999999999</v>
      </c>
      <c r="N169" s="6" t="n">
        <v>1</v>
      </c>
      <c r="O169" s="6">
        <f>(K169*0.1229+1.05)/4.7</f>
        <v/>
      </c>
      <c r="P169" s="6">
        <f>K169*0.0749/4.7</f>
        <v/>
      </c>
      <c r="Q169" s="5">
        <f>M169+N169+O169+P169</f>
        <v/>
      </c>
      <c r="R169" s="5">
        <f>L169-Q169</f>
        <v/>
      </c>
      <c r="S169" s="6">
        <f>R169*4.7</f>
        <v/>
      </c>
      <c r="T169" s="7">
        <f>IF(L169&gt;0,R169/L169,0)</f>
        <v/>
      </c>
      <c r="U169" s="3" t="inlineStr">
        <is>
          <t>26/05/2026 21:38:50</t>
        </is>
      </c>
    </row>
    <row r="170">
      <c r="A170" s="3" t="inlineStr">
        <is>
          <t>584213975219799409</t>
        </is>
      </c>
      <c r="B170" s="3" t="inlineStr">
        <is>
          <t>已发货</t>
        </is>
      </c>
      <c r="C170" s="3" t="inlineStr">
        <is>
          <t>CK</t>
        </is>
      </c>
      <c r="D170" s="3" t="inlineStr">
        <is>
          <t>黑松露黑麦苏打饼干</t>
        </is>
      </c>
      <c r="E17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0" s="3" t="inlineStr">
        <is>
          <t>ค่าเริ่มต้น</t>
        </is>
      </c>
      <c r="G170" s="6" t="n">
        <v>1</v>
      </c>
      <c r="H170" s="6" t="n">
        <v>140</v>
      </c>
      <c r="I170" s="6" t="n">
        <v>0</v>
      </c>
      <c r="J170" s="6" t="n">
        <v>0</v>
      </c>
      <c r="K170" s="6">
        <f>H170+I170</f>
        <v/>
      </c>
      <c r="L170" s="5">
        <f>K170/4.7</f>
        <v/>
      </c>
      <c r="M170" s="6" t="n">
        <v>10.72665050209467</v>
      </c>
      <c r="N170" s="6" t="n">
        <v>1</v>
      </c>
      <c r="O170" s="6">
        <f>(K170*0.1229+1.05)/4.7</f>
        <v/>
      </c>
      <c r="P170" s="6">
        <f>K170*0.0749/4.7</f>
        <v/>
      </c>
      <c r="Q170" s="5">
        <f>M170+N170+O170+P170</f>
        <v/>
      </c>
      <c r="R170" s="5">
        <f>L170-Q170</f>
        <v/>
      </c>
      <c r="S170" s="6">
        <f>R170*4.7</f>
        <v/>
      </c>
      <c r="T170" s="7">
        <f>IF(L170&gt;0,R170/L170,0)</f>
        <v/>
      </c>
      <c r="U170" s="3" t="inlineStr">
        <is>
          <t>26/05/2026 21:21:58</t>
        </is>
      </c>
    </row>
    <row r="171">
      <c r="A171" s="3" t="inlineStr">
        <is>
          <t>584213087242454485</t>
        </is>
      </c>
      <c r="B171" s="3" t="inlineStr">
        <is>
          <t>已发货</t>
        </is>
      </c>
      <c r="C171" s="3" t="inlineStr">
        <is>
          <t>CK</t>
        </is>
      </c>
      <c r="D171" s="3" t="inlineStr">
        <is>
          <t>黑松露黑麦苏打饼干</t>
        </is>
      </c>
      <c r="E17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1" s="3" t="inlineStr">
        <is>
          <t>ค่าเริ่มต้น</t>
        </is>
      </c>
      <c r="G171" s="6" t="n">
        <v>1</v>
      </c>
      <c r="H171" s="6" t="n">
        <v>140</v>
      </c>
      <c r="I171" s="6" t="n">
        <v>0</v>
      </c>
      <c r="J171" s="6" t="n">
        <v>0</v>
      </c>
      <c r="K171" s="6">
        <f>H171+I171</f>
        <v/>
      </c>
      <c r="L171" s="5">
        <f>K171/4.7</f>
        <v/>
      </c>
      <c r="M171" s="6" t="n">
        <v>10.72665050209467</v>
      </c>
      <c r="N171" s="6" t="n">
        <v>1</v>
      </c>
      <c r="O171" s="6">
        <f>(K171*0.1229+1.05)/4.7</f>
        <v/>
      </c>
      <c r="P171" s="6">
        <f>K171*0.0749/4.7</f>
        <v/>
      </c>
      <c r="Q171" s="5">
        <f>M171+N171+O171+P171</f>
        <v/>
      </c>
      <c r="R171" s="5">
        <f>L171-Q171</f>
        <v/>
      </c>
      <c r="S171" s="6">
        <f>R171*4.7</f>
        <v/>
      </c>
      <c r="T171" s="7">
        <f>IF(L171&gt;0,R171/L171,0)</f>
        <v/>
      </c>
      <c r="U171" s="3" t="inlineStr">
        <is>
          <t>26/05/2026 20:27:27</t>
        </is>
      </c>
    </row>
    <row r="172">
      <c r="A172" s="3" t="inlineStr">
        <is>
          <t>584211218721899958</t>
        </is>
      </c>
      <c r="B172" s="3" t="inlineStr">
        <is>
          <t>已取消</t>
        </is>
      </c>
      <c r="C172" s="3" t="inlineStr">
        <is>
          <t>CK</t>
        </is>
      </c>
      <c r="D172" s="3" t="inlineStr">
        <is>
          <t>黑松露黑麦苏打饼干</t>
        </is>
      </c>
      <c r="E17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2" s="3" t="inlineStr">
        <is>
          <t>ค่าเริ่มต้น</t>
        </is>
      </c>
      <c r="G172" s="6" t="n">
        <v>2</v>
      </c>
      <c r="H172" s="6" t="n">
        <v>149.5</v>
      </c>
      <c r="I172" s="6" t="n">
        <v>50</v>
      </c>
      <c r="J172" s="6" t="n">
        <v>35</v>
      </c>
      <c r="K172" s="6">
        <f>H172+I172</f>
        <v/>
      </c>
      <c r="L172" s="5">
        <f>K172/4.7</f>
        <v/>
      </c>
      <c r="M172" s="6" t="n">
        <v>21.45330100418933</v>
      </c>
      <c r="N172" s="6" t="n">
        <v>1</v>
      </c>
      <c r="O172" s="6">
        <f>(K172*0.1229+1.05)/4.7</f>
        <v/>
      </c>
      <c r="P172" s="6">
        <f>K172*0.0749/4.7</f>
        <v/>
      </c>
      <c r="Q172" s="5">
        <f>M172+N172+O172+P172</f>
        <v/>
      </c>
      <c r="R172" s="5">
        <f>L172-Q172</f>
        <v/>
      </c>
      <c r="S172" s="6">
        <f>R172*4.7</f>
        <v/>
      </c>
      <c r="T172" s="7">
        <f>IF(L172&gt;0,R172/L172,0)</f>
        <v/>
      </c>
      <c r="U172" s="3" t="inlineStr">
        <is>
          <t>26/05/2026 18:20:23</t>
        </is>
      </c>
    </row>
    <row r="173">
      <c r="A173" s="3" t="inlineStr">
        <is>
          <t>584210147242772227</t>
        </is>
      </c>
      <c r="B173" s="3" t="inlineStr">
        <is>
          <t>已发货</t>
        </is>
      </c>
      <c r="C173" s="3" t="inlineStr">
        <is>
          <t>CK</t>
        </is>
      </c>
      <c r="D173" s="3" t="inlineStr">
        <is>
          <t>黑松露黑麦苏打饼干</t>
        </is>
      </c>
      <c r="E17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3" s="3" t="inlineStr">
        <is>
          <t>ค่าเริ่มต้น</t>
        </is>
      </c>
      <c r="G173" s="6" t="n">
        <v>1</v>
      </c>
      <c r="H173" s="6" t="n">
        <v>155</v>
      </c>
      <c r="I173" s="6" t="n">
        <v>0</v>
      </c>
      <c r="J173" s="6" t="n">
        <v>38</v>
      </c>
      <c r="K173" s="6">
        <f>H173+I173</f>
        <v/>
      </c>
      <c r="L173" s="5">
        <f>K173/4.7</f>
        <v/>
      </c>
      <c r="M173" s="6" t="n">
        <v>10.72665050209467</v>
      </c>
      <c r="N173" s="6" t="n">
        <v>1</v>
      </c>
      <c r="O173" s="6">
        <f>(K173*0.1229+1.05)/4.7</f>
        <v/>
      </c>
      <c r="P173" s="6">
        <f>K173*0.0749/4.7</f>
        <v/>
      </c>
      <c r="Q173" s="5">
        <f>M173+N173+O173+P173</f>
        <v/>
      </c>
      <c r="R173" s="5">
        <f>L173-Q173</f>
        <v/>
      </c>
      <c r="S173" s="6">
        <f>R173*4.7</f>
        <v/>
      </c>
      <c r="T173" s="7">
        <f>IF(L173&gt;0,R173/L173,0)</f>
        <v/>
      </c>
      <c r="U173" s="3" t="inlineStr">
        <is>
          <t>26/05/2026 16:51:31</t>
        </is>
      </c>
    </row>
    <row r="174">
      <c r="A174" s="3" t="inlineStr">
        <is>
          <t>584209687111042546</t>
        </is>
      </c>
      <c r="B174" s="3" t="inlineStr">
        <is>
          <t>已发货</t>
        </is>
      </c>
      <c r="C174" s="3" t="inlineStr">
        <is>
          <t>C2</t>
        </is>
      </c>
      <c r="D174" s="3" t="inlineStr">
        <is>
          <t>魔芋笋2大袋</t>
        </is>
      </c>
      <c r="E1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4" s="3" t="inlineStr">
        <is>
          <t>รสเผ็ดหอม​, 20 ซอง 400g</t>
        </is>
      </c>
      <c r="G174" s="6" t="n">
        <v>1</v>
      </c>
      <c r="H174" s="6" t="n">
        <v>120</v>
      </c>
      <c r="I174" s="6" t="n">
        <v>0</v>
      </c>
      <c r="J174" s="6" t="n">
        <v>35</v>
      </c>
      <c r="K174" s="6">
        <f>H174+I174</f>
        <v/>
      </c>
      <c r="L174" s="5">
        <f>K174/4.7</f>
        <v/>
      </c>
      <c r="M174" s="6" t="n">
        <v>13.4</v>
      </c>
      <c r="N174" s="6" t="n">
        <v>1</v>
      </c>
      <c r="O174" s="6">
        <f>(K174*0.1229+1.05)/4.7</f>
        <v/>
      </c>
      <c r="P174" s="6">
        <f>K174*0.0749/4.7</f>
        <v/>
      </c>
      <c r="Q174" s="5">
        <f>M174+N174+O174+P174</f>
        <v/>
      </c>
      <c r="R174" s="5">
        <f>L174-Q174</f>
        <v/>
      </c>
      <c r="S174" s="6">
        <f>R174*4.7</f>
        <v/>
      </c>
      <c r="T174" s="7">
        <f>IF(L174&gt;0,R174/L174,0)</f>
        <v/>
      </c>
      <c r="U174" s="3" t="inlineStr">
        <is>
          <t>26/05/2026 16:16:33</t>
        </is>
      </c>
    </row>
    <row r="175">
      <c r="A175" s="3" t="inlineStr">
        <is>
          <t>584209691017708995</t>
        </is>
      </c>
      <c r="B175" s="3" t="inlineStr">
        <is>
          <t>已发货</t>
        </is>
      </c>
      <c r="C175" s="3" t="inlineStr">
        <is>
          <t>B1C1</t>
        </is>
      </c>
      <c r="D175" s="3" t="inlineStr">
        <is>
          <t>酸辣香辣魔芋笋各1大袋</t>
        </is>
      </c>
      <c r="E175" s="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F175" s="3" t="inlineStr">
        <is>
          <t>เผ็ดหอม+รสเปรี้ยวเผ็ด</t>
        </is>
      </c>
      <c r="G175" s="6" t="n">
        <v>1</v>
      </c>
      <c r="H175" s="6" t="n">
        <v>130</v>
      </c>
      <c r="I175" s="6" t="n">
        <v>0</v>
      </c>
      <c r="J175" s="6" t="n">
        <v>35</v>
      </c>
      <c r="K175" s="6">
        <f>H175+I175</f>
        <v/>
      </c>
      <c r="L175" s="5">
        <f>K175/4.7</f>
        <v/>
      </c>
      <c r="M175" s="6" t="n">
        <v>13.4</v>
      </c>
      <c r="N175" s="6" t="n">
        <v>1</v>
      </c>
      <c r="O175" s="6">
        <f>(K175*0.1229+1.05)/4.7</f>
        <v/>
      </c>
      <c r="P175" s="6">
        <f>K175*0.0749/4.7</f>
        <v/>
      </c>
      <c r="Q175" s="5">
        <f>M175+N175+O175+P175</f>
        <v/>
      </c>
      <c r="R175" s="5">
        <f>L175-Q175</f>
        <v/>
      </c>
      <c r="S175" s="6">
        <f>R175*4.7</f>
        <v/>
      </c>
      <c r="T175" s="7">
        <f>IF(L175&gt;0,R175/L175,0)</f>
        <v/>
      </c>
      <c r="U175" s="3" t="inlineStr">
        <is>
          <t>26/05/2026 16:14:06</t>
        </is>
      </c>
    </row>
    <row r="176">
      <c r="A176" s="3" t="inlineStr">
        <is>
          <t>584209170602230924</t>
        </is>
      </c>
      <c r="B176" s="3" t="inlineStr">
        <is>
          <t>已发货</t>
        </is>
      </c>
      <c r="C176" s="3" t="inlineStr">
        <is>
          <t>C1</t>
        </is>
      </c>
      <c r="D176" s="3" t="inlineStr">
        <is>
          <t>魔芋笋1大袋</t>
        </is>
      </c>
      <c r="E1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6" s="3" t="inlineStr">
        <is>
          <t>รสเผ็ดหอม​, 10 ซอง 200g</t>
        </is>
      </c>
      <c r="G176" s="6" t="n">
        <v>1</v>
      </c>
      <c r="H176" s="6" t="n">
        <v>69</v>
      </c>
      <c r="I176" s="6" t="n">
        <v>0</v>
      </c>
      <c r="J176" s="6" t="n">
        <v>38</v>
      </c>
      <c r="K176" s="6">
        <f>H176+I176</f>
        <v/>
      </c>
      <c r="L176" s="5">
        <f>K176/4.7</f>
        <v/>
      </c>
      <c r="M176" s="6" t="n">
        <v>6.699999999999999</v>
      </c>
      <c r="N176" s="6" t="n">
        <v>1</v>
      </c>
      <c r="O176" s="6">
        <f>(K176*0.1229+1.05)/4.7</f>
        <v/>
      </c>
      <c r="P176" s="6">
        <f>K176*0.0749/4.7</f>
        <v/>
      </c>
      <c r="Q176" s="5">
        <f>M176+N176+O176+P176</f>
        <v/>
      </c>
      <c r="R176" s="5">
        <f>L176-Q176</f>
        <v/>
      </c>
      <c r="S176" s="6">
        <f>R176*4.7</f>
        <v/>
      </c>
      <c r="T176" s="7">
        <f>IF(L176&gt;0,R176/L176,0)</f>
        <v/>
      </c>
      <c r="U176" s="3" t="inlineStr">
        <is>
          <t>26/05/2026 15:30:46</t>
        </is>
      </c>
    </row>
    <row r="177">
      <c r="A177" s="3" t="inlineStr">
        <is>
          <t>584208783842445021</t>
        </is>
      </c>
      <c r="B177" s="3" t="inlineStr">
        <is>
          <t>已发货</t>
        </is>
      </c>
      <c r="C177" s="3" t="inlineStr">
        <is>
          <t>CK</t>
        </is>
      </c>
      <c r="D177" s="3" t="inlineStr">
        <is>
          <t>黑松露黑麦苏打饼干</t>
        </is>
      </c>
      <c r="E17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7" s="3" t="inlineStr">
        <is>
          <t>ค่าเริ่มต้น</t>
        </is>
      </c>
      <c r="G177" s="6" t="n">
        <v>1</v>
      </c>
      <c r="H177" s="6" t="n">
        <v>100</v>
      </c>
      <c r="I177" s="6" t="n">
        <v>0</v>
      </c>
      <c r="J177" s="6" t="n">
        <v>49</v>
      </c>
      <c r="K177" s="6">
        <f>H177+I177</f>
        <v/>
      </c>
      <c r="L177" s="5">
        <f>K177/4.7</f>
        <v/>
      </c>
      <c r="M177" s="6" t="n">
        <v>10.72665050209467</v>
      </c>
      <c r="N177" s="6" t="n">
        <v>1</v>
      </c>
      <c r="O177" s="6">
        <f>(K177*0.1229+1.05)/4.7</f>
        <v/>
      </c>
      <c r="P177" s="6">
        <f>K177*0.0749/4.7</f>
        <v/>
      </c>
      <c r="Q177" s="5">
        <f>M177+N177+O177+P177</f>
        <v/>
      </c>
      <c r="R177" s="5">
        <f>L177-Q177</f>
        <v/>
      </c>
      <c r="S177" s="6">
        <f>R177*4.7</f>
        <v/>
      </c>
      <c r="T177" s="7">
        <f>IF(L177&gt;0,R177/L177,0)</f>
        <v/>
      </c>
      <c r="U177" s="3" t="inlineStr">
        <is>
          <t>26/05/2026 15:02:04</t>
        </is>
      </c>
    </row>
    <row r="178">
      <c r="A178" s="3" t="inlineStr">
        <is>
          <t>584208507512522691</t>
        </is>
      </c>
      <c r="B178" s="3" t="inlineStr">
        <is>
          <t>已发货</t>
        </is>
      </c>
      <c r="C178" s="3" t="inlineStr">
        <is>
          <t>CK</t>
        </is>
      </c>
      <c r="D178" s="3" t="inlineStr">
        <is>
          <t>黑松露黑麦苏打饼干</t>
        </is>
      </c>
      <c r="E17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8" s="3" t="inlineStr">
        <is>
          <t>ค่าเริ่มต้น</t>
        </is>
      </c>
      <c r="G178" s="6" t="n">
        <v>2</v>
      </c>
      <c r="H178" s="6" t="n">
        <v>202.5</v>
      </c>
      <c r="I178" s="6" t="n">
        <v>0</v>
      </c>
      <c r="J178" s="6" t="n">
        <v>80</v>
      </c>
      <c r="K178" s="6">
        <f>H178+I178</f>
        <v/>
      </c>
      <c r="L178" s="5">
        <f>K178/4.7</f>
        <v/>
      </c>
      <c r="M178" s="6" t="n">
        <v>21.45330100418933</v>
      </c>
      <c r="N178" s="6" t="n">
        <v>1</v>
      </c>
      <c r="O178" s="6">
        <f>(K178*0.1229+1.05)/4.7</f>
        <v/>
      </c>
      <c r="P178" s="6">
        <f>K178*0.0749/4.7</f>
        <v/>
      </c>
      <c r="Q178" s="5">
        <f>M178+N178+O178+P178</f>
        <v/>
      </c>
      <c r="R178" s="5">
        <f>L178-Q178</f>
        <v/>
      </c>
      <c r="S178" s="6">
        <f>R178*4.7</f>
        <v/>
      </c>
      <c r="T178" s="7">
        <f>IF(L178&gt;0,R178/L178,0)</f>
        <v/>
      </c>
      <c r="U178" s="3" t="inlineStr">
        <is>
          <t>26/05/2026 14:41:48</t>
        </is>
      </c>
    </row>
    <row r="179">
      <c r="A179" s="3" t="inlineStr">
        <is>
          <t>584208245398734331</t>
        </is>
      </c>
      <c r="B179" s="3" t="inlineStr">
        <is>
          <t>已发货</t>
        </is>
      </c>
      <c r="C179" s="3" t="inlineStr">
        <is>
          <t>CK</t>
        </is>
      </c>
      <c r="D179" s="3" t="inlineStr">
        <is>
          <t>黑松露黑麦苏打饼干</t>
        </is>
      </c>
      <c r="E17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9" s="3" t="inlineStr">
        <is>
          <t>ค่าเริ่มต้น</t>
        </is>
      </c>
      <c r="G179" s="6" t="n">
        <v>1</v>
      </c>
      <c r="H179" s="6" t="n">
        <v>70</v>
      </c>
      <c r="I179" s="6" t="n">
        <v>30</v>
      </c>
      <c r="J179" s="6" t="n">
        <v>35</v>
      </c>
      <c r="K179" s="6">
        <f>H179+I179</f>
        <v/>
      </c>
      <c r="L179" s="5">
        <f>K179/4.7</f>
        <v/>
      </c>
      <c r="M179" s="6" t="n">
        <v>10.72665050209467</v>
      </c>
      <c r="N179" s="6" t="n">
        <v>1</v>
      </c>
      <c r="O179" s="6">
        <f>(K179*0.1229+1.05)/4.7</f>
        <v/>
      </c>
      <c r="P179" s="6">
        <f>K179*0.0749/4.7</f>
        <v/>
      </c>
      <c r="Q179" s="5">
        <f>M179+N179+O179+P179</f>
        <v/>
      </c>
      <c r="R179" s="5">
        <f>L179-Q179</f>
        <v/>
      </c>
      <c r="S179" s="6">
        <f>R179*4.7</f>
        <v/>
      </c>
      <c r="T179" s="7">
        <f>IF(L179&gt;0,R179/L179,0)</f>
        <v/>
      </c>
      <c r="U179" s="3" t="inlineStr">
        <is>
          <t>26/05/2026 14:24:50</t>
        </is>
      </c>
    </row>
    <row r="180">
      <c r="A180" s="3" t="inlineStr">
        <is>
          <t>584208266134979836</t>
        </is>
      </c>
      <c r="B180" s="3" t="inlineStr">
        <is>
          <t>已发货</t>
        </is>
      </c>
      <c r="C180" s="3" t="inlineStr">
        <is>
          <t>C1</t>
        </is>
      </c>
      <c r="D180" s="3" t="inlineStr">
        <is>
          <t>魔芋笋1大袋</t>
        </is>
      </c>
      <c r="E1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0" s="3" t="inlineStr">
        <is>
          <t>รสเผ็ดหอม​, 10 ซอง 200g</t>
        </is>
      </c>
      <c r="G180" s="6" t="n">
        <v>2</v>
      </c>
      <c r="H180" s="6" t="n">
        <v>202</v>
      </c>
      <c r="I180" s="6" t="n">
        <v>0</v>
      </c>
      <c r="J180" s="6" t="n">
        <v>48</v>
      </c>
      <c r="K180" s="6">
        <f>H180+I180</f>
        <v/>
      </c>
      <c r="L180" s="5">
        <f>K180/4.7</f>
        <v/>
      </c>
      <c r="M180" s="6" t="n">
        <v>13.4</v>
      </c>
      <c r="N180" s="6" t="n">
        <v>1</v>
      </c>
      <c r="O180" s="6">
        <f>(K180*0.1229+1.05)/4.7</f>
        <v/>
      </c>
      <c r="P180" s="6">
        <f>K180*0.0749/4.7</f>
        <v/>
      </c>
      <c r="Q180" s="5">
        <f>M180+N180+O180+P180</f>
        <v/>
      </c>
      <c r="R180" s="5">
        <f>L180-Q180</f>
        <v/>
      </c>
      <c r="S180" s="6">
        <f>R180*4.7</f>
        <v/>
      </c>
      <c r="T180" s="7">
        <f>IF(L180&gt;0,R180/L180,0)</f>
        <v/>
      </c>
      <c r="U180" s="3" t="inlineStr">
        <is>
          <t>26/05/2026 14:23:29</t>
        </is>
      </c>
    </row>
    <row r="181">
      <c r="A181" s="3" t="inlineStr">
        <is>
          <t>584208266134979836</t>
        </is>
      </c>
      <c r="B181" s="3" t="inlineStr">
        <is>
          <t>已发货</t>
        </is>
      </c>
      <c r="C181" s="3" t="inlineStr">
        <is>
          <t>B1</t>
        </is>
      </c>
      <c r="D181" s="3" t="inlineStr">
        <is>
          <t>魔芋笋1大袋</t>
        </is>
      </c>
      <c r="E1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1" s="3" t="inlineStr">
        <is>
          <t>รสเปรี้ยวเผ็ด​, 10 ซอง 200g</t>
        </is>
      </c>
      <c r="G181" s="6" t="n">
        <v>1</v>
      </c>
      <c r="H181" s="6" t="n">
        <v>202</v>
      </c>
      <c r="I181" s="6" t="n">
        <v>0</v>
      </c>
      <c r="J181" s="6" t="n">
        <v>48</v>
      </c>
      <c r="K181" s="6">
        <f>H181+I181</f>
        <v/>
      </c>
      <c r="L181" s="5">
        <f>K181/4.7</f>
        <v/>
      </c>
      <c r="M181" s="6" t="n">
        <v>6.699999999999999</v>
      </c>
      <c r="N181" s="6" t="n">
        <v>1</v>
      </c>
      <c r="O181" s="6">
        <f>(K181*0.1229+1.05)/4.7</f>
        <v/>
      </c>
      <c r="P181" s="6">
        <f>K181*0.0749/4.7</f>
        <v/>
      </c>
      <c r="Q181" s="5">
        <f>M181+N181+O181+P181</f>
        <v/>
      </c>
      <c r="R181" s="5">
        <f>L181-Q181</f>
        <v/>
      </c>
      <c r="S181" s="6">
        <f>R181*4.7</f>
        <v/>
      </c>
      <c r="T181" s="7">
        <f>IF(L181&gt;0,R181/L181,0)</f>
        <v/>
      </c>
      <c r="U181" s="3" t="inlineStr">
        <is>
          <t>26/05/2026 14:23:29</t>
        </is>
      </c>
    </row>
    <row r="182">
      <c r="A182" s="3" t="inlineStr">
        <is>
          <t>584208275337611225</t>
        </is>
      </c>
      <c r="B182" s="3" t="inlineStr">
        <is>
          <t>已取消</t>
        </is>
      </c>
      <c r="C182" s="3" t="inlineStr">
        <is>
          <t>CK</t>
        </is>
      </c>
      <c r="D182" s="3" t="inlineStr">
        <is>
          <t>黑松露黑麦苏打饼干</t>
        </is>
      </c>
      <c r="E18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2" s="3" t="inlineStr">
        <is>
          <t>ค่าเริ่มต้น</t>
        </is>
      </c>
      <c r="G182" s="6" t="n">
        <v>1</v>
      </c>
      <c r="H182" s="6" t="n">
        <v>100</v>
      </c>
      <c r="I182" s="6" t="n">
        <v>0</v>
      </c>
      <c r="J182" s="6" t="n">
        <v>38</v>
      </c>
      <c r="K182" s="6">
        <f>H182+I182</f>
        <v/>
      </c>
      <c r="L182" s="5">
        <f>K182/4.7</f>
        <v/>
      </c>
      <c r="M182" s="6" t="n">
        <v>10.72665050209467</v>
      </c>
      <c r="N182" s="6" t="n">
        <v>1</v>
      </c>
      <c r="O182" s="6">
        <f>(K182*0.1229+1.05)/4.7</f>
        <v/>
      </c>
      <c r="P182" s="6">
        <f>K182*0.0749/4.7</f>
        <v/>
      </c>
      <c r="Q182" s="5">
        <f>M182+N182+O182+P182</f>
        <v/>
      </c>
      <c r="R182" s="5">
        <f>L182-Q182</f>
        <v/>
      </c>
      <c r="S182" s="6">
        <f>R182*4.7</f>
        <v/>
      </c>
      <c r="T182" s="7">
        <f>IF(L182&gt;0,R182/L182,0)</f>
        <v/>
      </c>
      <c r="U182" s="3" t="inlineStr">
        <is>
          <t>26/05/2026 14:23:11</t>
        </is>
      </c>
    </row>
    <row r="183">
      <c r="A183" s="3" t="inlineStr">
        <is>
          <t>584207992575657317</t>
        </is>
      </c>
      <c r="B183" s="3" t="inlineStr">
        <is>
          <t>已发货</t>
        </is>
      </c>
      <c r="C183" s="3" t="inlineStr">
        <is>
          <t>C1</t>
        </is>
      </c>
      <c r="D183" s="3" t="inlineStr">
        <is>
          <t>魔芋笋1大袋</t>
        </is>
      </c>
      <c r="E1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3" s="3" t="inlineStr">
        <is>
          <t>รสเผ็ดหอม​, 10 ซอง 200g</t>
        </is>
      </c>
      <c r="G183" s="6" t="n">
        <v>1</v>
      </c>
      <c r="H183" s="6" t="n">
        <v>69</v>
      </c>
      <c r="I183" s="6" t="n">
        <v>0</v>
      </c>
      <c r="J183" s="6" t="n">
        <v>35</v>
      </c>
      <c r="K183" s="6">
        <f>H183+I183</f>
        <v/>
      </c>
      <c r="L183" s="5">
        <f>K183/4.7</f>
        <v/>
      </c>
      <c r="M183" s="6" t="n">
        <v>6.699999999999999</v>
      </c>
      <c r="N183" s="6" t="n">
        <v>1</v>
      </c>
      <c r="O183" s="6">
        <f>(K183*0.1229+1.05)/4.7</f>
        <v/>
      </c>
      <c r="P183" s="6">
        <f>K183*0.0749/4.7</f>
        <v/>
      </c>
      <c r="Q183" s="5">
        <f>M183+N183+O183+P183</f>
        <v/>
      </c>
      <c r="R183" s="5">
        <f>L183-Q183</f>
        <v/>
      </c>
      <c r="S183" s="6">
        <f>R183*4.7</f>
        <v/>
      </c>
      <c r="T183" s="7">
        <f>IF(L183&gt;0,R183/L183,0)</f>
        <v/>
      </c>
      <c r="U183" s="3" t="inlineStr">
        <is>
          <t>26/05/2026 14:04:13</t>
        </is>
      </c>
    </row>
    <row r="184">
      <c r="A184" s="3" t="inlineStr">
        <is>
          <t>584207903350556305</t>
        </is>
      </c>
      <c r="B184" s="3" t="inlineStr">
        <is>
          <t>已发货</t>
        </is>
      </c>
      <c r="C184" s="3" t="inlineStr">
        <is>
          <t>B2</t>
        </is>
      </c>
      <c r="D184" s="3" t="inlineStr">
        <is>
          <t>魔芋笋2大袋</t>
        </is>
      </c>
      <c r="E1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4" s="3" t="inlineStr">
        <is>
          <t>รสเปรี้ยวเผ็ด​, 20 ซอง 400g</t>
        </is>
      </c>
      <c r="G184" s="6" t="n">
        <v>1</v>
      </c>
      <c r="H184" s="6" t="n">
        <v>265</v>
      </c>
      <c r="I184" s="6" t="n">
        <v>0</v>
      </c>
      <c r="J184" s="6" t="n">
        <v>98</v>
      </c>
      <c r="K184" s="6">
        <f>H184+I184</f>
        <v/>
      </c>
      <c r="L184" s="5">
        <f>K184/4.7</f>
        <v/>
      </c>
      <c r="M184" s="6" t="n">
        <v>13.4</v>
      </c>
      <c r="N184" s="6" t="n">
        <v>1</v>
      </c>
      <c r="O184" s="6">
        <f>(K184*0.1229+1.05)/4.7</f>
        <v/>
      </c>
      <c r="P184" s="6">
        <f>K184*0.0749/4.7</f>
        <v/>
      </c>
      <c r="Q184" s="5">
        <f>M184+N184+O184+P184</f>
        <v/>
      </c>
      <c r="R184" s="5">
        <f>L184-Q184</f>
        <v/>
      </c>
      <c r="S184" s="6">
        <f>R184*4.7</f>
        <v/>
      </c>
      <c r="T184" s="7">
        <f>IF(L184&gt;0,R184/L184,0)</f>
        <v/>
      </c>
      <c r="U184" s="3" t="inlineStr">
        <is>
          <t>26/05/2026 13:55:23</t>
        </is>
      </c>
    </row>
    <row r="185">
      <c r="A185" s="3" t="inlineStr">
        <is>
          <t>584207903350556305</t>
        </is>
      </c>
      <c r="B185" s="3" t="inlineStr">
        <is>
          <t>已发货</t>
        </is>
      </c>
      <c r="C185" s="3" t="inlineStr">
        <is>
          <t>Js6</t>
        </is>
      </c>
      <c r="D185" s="3" t="inlineStr">
        <is>
          <t>果冻6个</t>
        </is>
      </c>
      <c r="E185" s="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85" s="3" t="inlineStr">
        <is>
          <t>ชุดทดลอง(จำกัด50ชุดแรก!)1ชุด 6ชิ้น คละ3รส</t>
        </is>
      </c>
      <c r="G185" s="6" t="n">
        <v>1</v>
      </c>
      <c r="H185" s="6" t="n">
        <v>265</v>
      </c>
      <c r="I185" s="6" t="n">
        <v>0</v>
      </c>
      <c r="J185" s="6" t="n">
        <v>98</v>
      </c>
      <c r="K185" s="6">
        <f>H185+I185</f>
        <v/>
      </c>
      <c r="L185" s="5">
        <f>K185/4.7</f>
        <v/>
      </c>
      <c r="M185" s="6" t="n">
        <v>4</v>
      </c>
      <c r="N185" s="6" t="n">
        <v>0.5</v>
      </c>
      <c r="O185" s="6">
        <f>(K185*0.1229+1.05)/4.7</f>
        <v/>
      </c>
      <c r="P185" s="6">
        <f>K185*0.0749/4.7</f>
        <v/>
      </c>
      <c r="Q185" s="5">
        <f>M185+N185+O185+P185</f>
        <v/>
      </c>
      <c r="R185" s="5">
        <f>L185-Q185</f>
        <v/>
      </c>
      <c r="S185" s="6">
        <f>R185*4.7</f>
        <v/>
      </c>
      <c r="T185" s="7">
        <f>IF(L185&gt;0,R185/L185,0)</f>
        <v/>
      </c>
      <c r="U185" s="3" t="inlineStr">
        <is>
          <t>26/05/2026 13:55:23</t>
        </is>
      </c>
    </row>
    <row r="186">
      <c r="A186" s="3" t="inlineStr">
        <is>
          <t>584207903350556305</t>
        </is>
      </c>
      <c r="B186" s="3" t="inlineStr">
        <is>
          <t>已发货</t>
        </is>
      </c>
      <c r="C186" s="3" t="inlineStr">
        <is>
          <t>CK</t>
        </is>
      </c>
      <c r="D186" s="3" t="inlineStr">
        <is>
          <t>黑松露黑麦苏打饼干</t>
        </is>
      </c>
      <c r="E18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6" s="3" t="inlineStr">
        <is>
          <t>ค่าเริ่มต้น</t>
        </is>
      </c>
      <c r="G186" s="6" t="n">
        <v>1</v>
      </c>
      <c r="H186" s="6" t="n">
        <v>265</v>
      </c>
      <c r="I186" s="6" t="n">
        <v>0</v>
      </c>
      <c r="J186" s="6" t="n">
        <v>98</v>
      </c>
      <c r="K186" s="6">
        <f>H186+I186</f>
        <v/>
      </c>
      <c r="L186" s="5">
        <f>K186/4.7</f>
        <v/>
      </c>
      <c r="M186" s="6" t="n">
        <v>10.72665050209467</v>
      </c>
      <c r="N186" s="6" t="n">
        <v>1</v>
      </c>
      <c r="O186" s="6">
        <f>(K186*0.1229+1.05)/4.7</f>
        <v/>
      </c>
      <c r="P186" s="6">
        <f>K186*0.0749/4.7</f>
        <v/>
      </c>
      <c r="Q186" s="5">
        <f>M186+N186+O186+P186</f>
        <v/>
      </c>
      <c r="R186" s="5">
        <f>L186-Q186</f>
        <v/>
      </c>
      <c r="S186" s="6">
        <f>R186*4.7</f>
        <v/>
      </c>
      <c r="T186" s="7">
        <f>IF(L186&gt;0,R186/L186,0)</f>
        <v/>
      </c>
      <c r="U186" s="3" t="inlineStr">
        <is>
          <t>26/05/2026 13:55:23</t>
        </is>
      </c>
    </row>
    <row r="187">
      <c r="A187" s="3" t="inlineStr">
        <is>
          <t>584207738599081783</t>
        </is>
      </c>
      <c r="B187" s="3" t="inlineStr">
        <is>
          <t>已发货</t>
        </is>
      </c>
      <c r="C187" s="3" t="inlineStr">
        <is>
          <t>C1</t>
        </is>
      </c>
      <c r="D187" s="3" t="inlineStr">
        <is>
          <t>魔芋笋1大袋</t>
        </is>
      </c>
      <c r="E1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7" s="3" t="inlineStr">
        <is>
          <t>รสเผ็ดหอม​, 10 ซอง 200g</t>
        </is>
      </c>
      <c r="G187" s="6" t="n">
        <v>1</v>
      </c>
      <c r="H187" s="6" t="n">
        <v>69</v>
      </c>
      <c r="I187" s="6" t="n">
        <v>0</v>
      </c>
      <c r="J187" s="6" t="n">
        <v>38</v>
      </c>
      <c r="K187" s="6">
        <f>H187+I187</f>
        <v/>
      </c>
      <c r="L187" s="5">
        <f>K187/4.7</f>
        <v/>
      </c>
      <c r="M187" s="6" t="n">
        <v>6.699999999999999</v>
      </c>
      <c r="N187" s="6" t="n">
        <v>1</v>
      </c>
      <c r="O187" s="6">
        <f>(K187*0.1229+1.05)/4.7</f>
        <v/>
      </c>
      <c r="P187" s="6">
        <f>K187*0.0749/4.7</f>
        <v/>
      </c>
      <c r="Q187" s="5">
        <f>M187+N187+O187+P187</f>
        <v/>
      </c>
      <c r="R187" s="5">
        <f>L187-Q187</f>
        <v/>
      </c>
      <c r="S187" s="6">
        <f>R187*4.7</f>
        <v/>
      </c>
      <c r="T187" s="7">
        <f>IF(L187&gt;0,R187/L187,0)</f>
        <v/>
      </c>
      <c r="U187" s="3" t="inlineStr">
        <is>
          <t>26/05/2026 13:46:06</t>
        </is>
      </c>
    </row>
    <row r="188">
      <c r="A188" s="3" t="inlineStr">
        <is>
          <t>584206947974022582</t>
        </is>
      </c>
      <c r="B188" s="3" t="inlineStr">
        <is>
          <t>已发货</t>
        </is>
      </c>
      <c r="C188" s="3" t="inlineStr">
        <is>
          <t>CK</t>
        </is>
      </c>
      <c r="D188" s="3" t="inlineStr">
        <is>
          <t>黑松露黑麦苏打饼干</t>
        </is>
      </c>
      <c r="E18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8" s="3" t="inlineStr">
        <is>
          <t>ค่าเริ่มต้น</t>
        </is>
      </c>
      <c r="G188" s="6" t="n">
        <v>1</v>
      </c>
      <c r="H188" s="6" t="n">
        <v>65</v>
      </c>
      <c r="I188" s="6" t="n">
        <v>40</v>
      </c>
      <c r="J188" s="6" t="n">
        <v>35</v>
      </c>
      <c r="K188" s="6">
        <f>H188+I188</f>
        <v/>
      </c>
      <c r="L188" s="5">
        <f>K188/4.7</f>
        <v/>
      </c>
      <c r="M188" s="6" t="n">
        <v>10.72665050209467</v>
      </c>
      <c r="N188" s="6" t="n">
        <v>1</v>
      </c>
      <c r="O188" s="6">
        <f>(K188*0.1229+1.05)/4.7</f>
        <v/>
      </c>
      <c r="P188" s="6">
        <f>K188*0.0749/4.7</f>
        <v/>
      </c>
      <c r="Q188" s="5">
        <f>M188+N188+O188+P188</f>
        <v/>
      </c>
      <c r="R188" s="5">
        <f>L188-Q188</f>
        <v/>
      </c>
      <c r="S188" s="6">
        <f>R188*4.7</f>
        <v/>
      </c>
      <c r="T188" s="7">
        <f>IF(L188&gt;0,R188/L188,0)</f>
        <v/>
      </c>
      <c r="U188" s="3" t="inlineStr">
        <is>
          <t>26/05/2026 12:50:06</t>
        </is>
      </c>
    </row>
    <row r="189">
      <c r="A189" s="3" t="inlineStr">
        <is>
          <t>584206628097721399</t>
        </is>
      </c>
      <c r="B189" s="3" t="inlineStr">
        <is>
          <t>已发货</t>
        </is>
      </c>
      <c r="C189" s="3" t="inlineStr">
        <is>
          <t>C3</t>
        </is>
      </c>
      <c r="D189" s="3" t="inlineStr">
        <is>
          <t>魔芋笋3大袋</t>
        </is>
      </c>
      <c r="E1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9" s="3" t="inlineStr">
        <is>
          <t>รสเผ็ดหอม​, 30 ซอง 600g</t>
        </is>
      </c>
      <c r="G189" s="6" t="n">
        <v>2</v>
      </c>
      <c r="H189" s="6" t="n">
        <v>288.15</v>
      </c>
      <c r="I189" s="6" t="n">
        <v>50.85</v>
      </c>
      <c r="J189" s="6" t="n">
        <v>48</v>
      </c>
      <c r="K189" s="6">
        <f>H189+I189</f>
        <v/>
      </c>
      <c r="L189" s="5">
        <f>K189/4.7</f>
        <v/>
      </c>
      <c r="M189" s="6" t="n">
        <v>40.2</v>
      </c>
      <c r="N189" s="6" t="n">
        <v>1</v>
      </c>
      <c r="O189" s="6">
        <f>(K189*0.1229+1.05)/4.7</f>
        <v/>
      </c>
      <c r="P189" s="6">
        <f>K189*0.0749/4.7</f>
        <v/>
      </c>
      <c r="Q189" s="5">
        <f>M189+N189+O189+P189</f>
        <v/>
      </c>
      <c r="R189" s="5">
        <f>L189-Q189</f>
        <v/>
      </c>
      <c r="S189" s="6">
        <f>R189*4.7</f>
        <v/>
      </c>
      <c r="T189" s="7">
        <f>IF(L189&gt;0,R189/L189,0)</f>
        <v/>
      </c>
      <c r="U189" s="3" t="inlineStr">
        <is>
          <t>26/05/2026 12:19:30</t>
        </is>
      </c>
    </row>
    <row r="190">
      <c r="A190" s="3" t="inlineStr">
        <is>
          <t>584204388687775590</t>
        </is>
      </c>
      <c r="B190" s="3" t="inlineStr">
        <is>
          <t>已取消</t>
        </is>
      </c>
      <c r="C190" s="3" t="inlineStr">
        <is>
          <t>C1</t>
        </is>
      </c>
      <c r="D190" s="3" t="inlineStr">
        <is>
          <t>魔芋笋1大袋</t>
        </is>
      </c>
      <c r="E1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0" s="3" t="inlineStr">
        <is>
          <t>รสเผ็ดหอม​, 10 ซอง 200g</t>
        </is>
      </c>
      <c r="G190" s="6" t="n">
        <v>1</v>
      </c>
      <c r="H190" s="6" t="n">
        <v>87</v>
      </c>
      <c r="I190" s="6" t="n">
        <v>0</v>
      </c>
      <c r="J190" s="6" t="n">
        <v>20</v>
      </c>
      <c r="K190" s="6">
        <f>H190+I190</f>
        <v/>
      </c>
      <c r="L190" s="5">
        <f>K190/4.7</f>
        <v/>
      </c>
      <c r="M190" s="6" t="n">
        <v>6.699999999999999</v>
      </c>
      <c r="N190" s="6" t="n">
        <v>1</v>
      </c>
      <c r="O190" s="6">
        <f>(K190*0.1229+1.05)/4.7</f>
        <v/>
      </c>
      <c r="P190" s="6">
        <f>K190*0.0749/4.7</f>
        <v/>
      </c>
      <c r="Q190" s="5">
        <f>M190+N190+O190+P190</f>
        <v/>
      </c>
      <c r="R190" s="5">
        <f>L190-Q190</f>
        <v/>
      </c>
      <c r="S190" s="6">
        <f>R190*4.7</f>
        <v/>
      </c>
      <c r="T190" s="7">
        <f>IF(L190&gt;0,R190/L190,0)</f>
        <v/>
      </c>
      <c r="U190" s="3" t="inlineStr">
        <is>
          <t>26/05/2026 09:48:49</t>
        </is>
      </c>
    </row>
    <row r="191">
      <c r="A191" s="3" t="inlineStr">
        <is>
          <t>584203948384814558</t>
        </is>
      </c>
      <c r="B191" s="3" t="inlineStr">
        <is>
          <t>已发货</t>
        </is>
      </c>
      <c r="C191" s="3" t="inlineStr">
        <is>
          <t>CK</t>
        </is>
      </c>
      <c r="D191" s="3" t="inlineStr">
        <is>
          <t>黑松露黑麦苏打饼干</t>
        </is>
      </c>
      <c r="E19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1" s="3" t="inlineStr">
        <is>
          <t>ค่าเริ่มต้น</t>
        </is>
      </c>
      <c r="G191" s="6" t="n">
        <v>1</v>
      </c>
      <c r="H191" s="6" t="n">
        <v>75</v>
      </c>
      <c r="I191" s="6" t="n">
        <v>30</v>
      </c>
      <c r="J191" s="6" t="n">
        <v>35</v>
      </c>
      <c r="K191" s="6">
        <f>H191+I191</f>
        <v/>
      </c>
      <c r="L191" s="5">
        <f>K191/4.7</f>
        <v/>
      </c>
      <c r="M191" s="6" t="n">
        <v>10.72665050209467</v>
      </c>
      <c r="N191" s="6" t="n">
        <v>1</v>
      </c>
      <c r="O191" s="6">
        <f>(K191*0.1229+1.05)/4.7</f>
        <v/>
      </c>
      <c r="P191" s="6">
        <f>K191*0.0749/4.7</f>
        <v/>
      </c>
      <c r="Q191" s="5">
        <f>M191+N191+O191+P191</f>
        <v/>
      </c>
      <c r="R191" s="5">
        <f>L191-Q191</f>
        <v/>
      </c>
      <c r="S191" s="6">
        <f>R191*4.7</f>
        <v/>
      </c>
      <c r="T191" s="7">
        <f>IF(L191&gt;0,R191/L191,0)</f>
        <v/>
      </c>
      <c r="U191" s="3" t="inlineStr">
        <is>
          <t>26/05/2026 09:13:46</t>
        </is>
      </c>
    </row>
    <row r="192">
      <c r="A192" s="3" t="inlineStr">
        <is>
          <t>584203642722748083</t>
        </is>
      </c>
      <c r="B192" s="3" t="inlineStr">
        <is>
          <t>已发货</t>
        </is>
      </c>
      <c r="C192" s="3" t="inlineStr">
        <is>
          <t>C1</t>
        </is>
      </c>
      <c r="D192" s="3" t="inlineStr">
        <is>
          <t>魔芋笋1大袋</t>
        </is>
      </c>
      <c r="E1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2" s="3" t="inlineStr">
        <is>
          <t>รสเผ็ดหอม​, 10 ซอง 200g</t>
        </is>
      </c>
      <c r="G192" s="6" t="n">
        <v>1</v>
      </c>
      <c r="H192" s="6" t="n">
        <v>69</v>
      </c>
      <c r="I192" s="6" t="n">
        <v>0</v>
      </c>
      <c r="J192" s="6" t="n">
        <v>38</v>
      </c>
      <c r="K192" s="6">
        <f>H192+I192</f>
        <v/>
      </c>
      <c r="L192" s="5">
        <f>K192/4.7</f>
        <v/>
      </c>
      <c r="M192" s="6" t="n">
        <v>6.699999999999999</v>
      </c>
      <c r="N192" s="6" t="n">
        <v>1</v>
      </c>
      <c r="O192" s="6">
        <f>(K192*0.1229+1.05)/4.7</f>
        <v/>
      </c>
      <c r="P192" s="6">
        <f>K192*0.0749/4.7</f>
        <v/>
      </c>
      <c r="Q192" s="5">
        <f>M192+N192+O192+P192</f>
        <v/>
      </c>
      <c r="R192" s="5">
        <f>L192-Q192</f>
        <v/>
      </c>
      <c r="S192" s="6">
        <f>R192*4.7</f>
        <v/>
      </c>
      <c r="T192" s="7">
        <f>IF(L192&gt;0,R192/L192,0)</f>
        <v/>
      </c>
      <c r="U192" s="3" t="inlineStr">
        <is>
          <t>26/05/2026 08:46:18</t>
        </is>
      </c>
    </row>
    <row r="193">
      <c r="A193" s="3" t="inlineStr">
        <is>
          <t>584203160578852628</t>
        </is>
      </c>
      <c r="B193" s="3" t="inlineStr">
        <is>
          <t>已发货</t>
        </is>
      </c>
      <c r="C193" s="3" t="inlineStr">
        <is>
          <t>CK</t>
        </is>
      </c>
      <c r="D193" s="3" t="inlineStr">
        <is>
          <t>黑松露黑麦苏打饼干</t>
        </is>
      </c>
      <c r="E19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3" s="3" t="inlineStr">
        <is>
          <t>ค่าเริ่มต้น</t>
        </is>
      </c>
      <c r="G193" s="6" t="n">
        <v>1</v>
      </c>
      <c r="H193" s="6" t="n">
        <v>70</v>
      </c>
      <c r="I193" s="6" t="n">
        <v>30</v>
      </c>
      <c r="J193" s="6" t="n">
        <v>35</v>
      </c>
      <c r="K193" s="6">
        <f>H193+I193</f>
        <v/>
      </c>
      <c r="L193" s="5">
        <f>K193/4.7</f>
        <v/>
      </c>
      <c r="M193" s="6" t="n">
        <v>10.72665050209467</v>
      </c>
      <c r="N193" s="6" t="n">
        <v>1</v>
      </c>
      <c r="O193" s="6">
        <f>(K193*0.1229+1.05)/4.7</f>
        <v/>
      </c>
      <c r="P193" s="6">
        <f>K193*0.0749/4.7</f>
        <v/>
      </c>
      <c r="Q193" s="5">
        <f>M193+N193+O193+P193</f>
        <v/>
      </c>
      <c r="R193" s="5">
        <f>L193-Q193</f>
        <v/>
      </c>
      <c r="S193" s="6">
        <f>R193*4.7</f>
        <v/>
      </c>
      <c r="T193" s="7">
        <f>IF(L193&gt;0,R193/L193,0)</f>
        <v/>
      </c>
      <c r="U193" s="3" t="inlineStr">
        <is>
          <t>26/05/2026 08:07:16</t>
        </is>
      </c>
    </row>
    <row r="194">
      <c r="A194" s="3" t="inlineStr">
        <is>
          <t>584202503897646245</t>
        </is>
      </c>
      <c r="B194" s="3" t="inlineStr">
        <is>
          <t>已发货</t>
        </is>
      </c>
      <c r="C194" s="3" t="inlineStr">
        <is>
          <t>C2</t>
        </is>
      </c>
      <c r="D194" s="3" t="inlineStr">
        <is>
          <t>魔芋笋2大袋</t>
        </is>
      </c>
      <c r="E1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4" s="3" t="inlineStr">
        <is>
          <t>รสเผ็ดหอม​, 20 ซอง 400g</t>
        </is>
      </c>
      <c r="G194" s="6" t="n">
        <v>1</v>
      </c>
      <c r="H194" s="6" t="n">
        <v>120</v>
      </c>
      <c r="I194" s="6" t="n">
        <v>0</v>
      </c>
      <c r="J194" s="6" t="n">
        <v>35</v>
      </c>
      <c r="K194" s="6">
        <f>H194+I194</f>
        <v/>
      </c>
      <c r="L194" s="5">
        <f>K194/4.7</f>
        <v/>
      </c>
      <c r="M194" s="6" t="n">
        <v>13.4</v>
      </c>
      <c r="N194" s="6" t="n">
        <v>1</v>
      </c>
      <c r="O194" s="6">
        <f>(K194*0.1229+1.05)/4.7</f>
        <v/>
      </c>
      <c r="P194" s="6">
        <f>K194*0.0749/4.7</f>
        <v/>
      </c>
      <c r="Q194" s="5">
        <f>M194+N194+O194+P194</f>
        <v/>
      </c>
      <c r="R194" s="5">
        <f>L194-Q194</f>
        <v/>
      </c>
      <c r="S194" s="6">
        <f>R194*4.7</f>
        <v/>
      </c>
      <c r="T194" s="7">
        <f>IF(L194&gt;0,R194/L194,0)</f>
        <v/>
      </c>
      <c r="U194" s="3" t="inlineStr">
        <is>
          <t>26/05/2026 06:56:26</t>
        </is>
      </c>
    </row>
    <row r="195">
      <c r="A195" s="3" t="inlineStr">
        <is>
          <t>584202282759128302</t>
        </is>
      </c>
      <c r="B195" s="3" t="inlineStr">
        <is>
          <t>已发货</t>
        </is>
      </c>
      <c r="C195" s="3" t="inlineStr">
        <is>
          <t>CK</t>
        </is>
      </c>
      <c r="D195" s="3" t="inlineStr">
        <is>
          <t>黑松露黑麦苏打饼干</t>
        </is>
      </c>
      <c r="E19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5" s="3" t="inlineStr">
        <is>
          <t>ค่าเริ่มต้น</t>
        </is>
      </c>
      <c r="G195" s="6" t="n">
        <v>1</v>
      </c>
      <c r="H195" s="6" t="n">
        <v>75</v>
      </c>
      <c r="I195" s="6" t="n">
        <v>30</v>
      </c>
      <c r="J195" s="6" t="n">
        <v>35</v>
      </c>
      <c r="K195" s="6">
        <f>H195+I195</f>
        <v/>
      </c>
      <c r="L195" s="5">
        <f>K195/4.7</f>
        <v/>
      </c>
      <c r="M195" s="6" t="n">
        <v>10.72665050209467</v>
      </c>
      <c r="N195" s="6" t="n">
        <v>1</v>
      </c>
      <c r="O195" s="6">
        <f>(K195*0.1229+1.05)/4.7</f>
        <v/>
      </c>
      <c r="P195" s="6">
        <f>K195*0.0749/4.7</f>
        <v/>
      </c>
      <c r="Q195" s="5">
        <f>M195+N195+O195+P195</f>
        <v/>
      </c>
      <c r="R195" s="5">
        <f>L195-Q195</f>
        <v/>
      </c>
      <c r="S195" s="6">
        <f>R195*4.7</f>
        <v/>
      </c>
      <c r="T195" s="7">
        <f>IF(L195&gt;0,R195/L195,0)</f>
        <v/>
      </c>
      <c r="U195" s="3" t="inlineStr">
        <is>
          <t>26/05/2026 06:31:41</t>
        </is>
      </c>
    </row>
    <row r="196">
      <c r="A196" s="3" t="inlineStr">
        <is>
          <t>584200717763839333</t>
        </is>
      </c>
      <c r="B196" s="3" t="inlineStr">
        <is>
          <t>已发货</t>
        </is>
      </c>
      <c r="C196" s="3" t="inlineStr">
        <is>
          <t>C1</t>
        </is>
      </c>
      <c r="D196" s="3" t="inlineStr">
        <is>
          <t>魔芋笋1大袋</t>
        </is>
      </c>
      <c r="E1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6" s="3" t="inlineStr">
        <is>
          <t>รสเผ็ดหอม​, 10 ซอง 200g</t>
        </is>
      </c>
      <c r="G196" s="6" t="n">
        <v>1</v>
      </c>
      <c r="H196" s="6" t="n">
        <v>69</v>
      </c>
      <c r="I196" s="6" t="n">
        <v>0</v>
      </c>
      <c r="J196" s="6" t="n">
        <v>35</v>
      </c>
      <c r="K196" s="6">
        <f>H196+I196</f>
        <v/>
      </c>
      <c r="L196" s="5">
        <f>K196/4.7</f>
        <v/>
      </c>
      <c r="M196" s="6" t="n">
        <v>6.699999999999999</v>
      </c>
      <c r="N196" s="6" t="n">
        <v>1</v>
      </c>
      <c r="O196" s="6">
        <f>(K196*0.1229+1.05)/4.7</f>
        <v/>
      </c>
      <c r="P196" s="6">
        <f>K196*0.0749/4.7</f>
        <v/>
      </c>
      <c r="Q196" s="5">
        <f>M196+N196+O196+P196</f>
        <v/>
      </c>
      <c r="R196" s="5">
        <f>L196-Q196</f>
        <v/>
      </c>
      <c r="S196" s="6">
        <f>R196*4.7</f>
        <v/>
      </c>
      <c r="T196" s="7">
        <f>IF(L196&gt;0,R196/L196,0)</f>
        <v/>
      </c>
      <c r="U196" s="3" t="inlineStr">
        <is>
          <t>26/05/2026 01:01:26</t>
        </is>
      </c>
    </row>
    <row r="197">
      <c r="A197" s="3" t="inlineStr">
        <is>
          <t>584200532539049250</t>
        </is>
      </c>
      <c r="B197" s="3" t="inlineStr">
        <is>
          <t>已发货</t>
        </is>
      </c>
      <c r="C197" s="3" t="inlineStr">
        <is>
          <t>B1</t>
        </is>
      </c>
      <c r="D197" s="3" t="inlineStr">
        <is>
          <t>魔芋笋1大袋</t>
        </is>
      </c>
      <c r="E197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97" s="3" t="inlineStr">
        <is>
          <t>รสเปรี้ยวเผ็ด​, 1pcs   200g</t>
        </is>
      </c>
      <c r="G197" s="6" t="n">
        <v>1</v>
      </c>
      <c r="H197" s="6" t="n">
        <v>60</v>
      </c>
      <c r="I197" s="6" t="n">
        <v>0</v>
      </c>
      <c r="J197" s="6" t="n">
        <v>29</v>
      </c>
      <c r="K197" s="6">
        <f>H197+I197</f>
        <v/>
      </c>
      <c r="L197" s="5">
        <f>K197/4.7</f>
        <v/>
      </c>
      <c r="M197" s="6" t="n">
        <v>6.699999999999999</v>
      </c>
      <c r="N197" s="6" t="n">
        <v>1</v>
      </c>
      <c r="O197" s="6">
        <f>(K197*0.1229+1.05)/4.7</f>
        <v/>
      </c>
      <c r="P197" s="6">
        <f>K197*0.0749/4.7</f>
        <v/>
      </c>
      <c r="Q197" s="5">
        <f>M197+N197+O197+P197</f>
        <v/>
      </c>
      <c r="R197" s="5">
        <f>L197-Q197</f>
        <v/>
      </c>
      <c r="S197" s="6">
        <f>R197*4.7</f>
        <v/>
      </c>
      <c r="T197" s="7">
        <f>IF(L197&gt;0,R197/L197,0)</f>
        <v/>
      </c>
      <c r="U197" s="3" t="inlineStr">
        <is>
          <t>26/05/2026 00:31:15</t>
        </is>
      </c>
    </row>
    <row r="198">
      <c r="A198" s="3" t="inlineStr">
        <is>
          <t>584200387018590075</t>
        </is>
      </c>
      <c r="B198" s="3" t="inlineStr">
        <is>
          <t>已发货</t>
        </is>
      </c>
      <c r="C198" s="3" t="inlineStr">
        <is>
          <t>C1</t>
        </is>
      </c>
      <c r="D198" s="3" t="inlineStr">
        <is>
          <t>魔芋笋1大袋</t>
        </is>
      </c>
      <c r="E1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8" s="3" t="inlineStr">
        <is>
          <t>รสเผ็ดหอม​, 10 ซอง 200g</t>
        </is>
      </c>
      <c r="G198" s="6" t="n">
        <v>1</v>
      </c>
      <c r="H198" s="6" t="n">
        <v>69</v>
      </c>
      <c r="I198" s="6" t="n">
        <v>0</v>
      </c>
      <c r="J198" s="6" t="n">
        <v>38</v>
      </c>
      <c r="K198" s="6">
        <f>H198+I198</f>
        <v/>
      </c>
      <c r="L198" s="5">
        <f>K198/4.7</f>
        <v/>
      </c>
      <c r="M198" s="6" t="n">
        <v>6.699999999999999</v>
      </c>
      <c r="N198" s="6" t="n">
        <v>1</v>
      </c>
      <c r="O198" s="6">
        <f>(K198*0.1229+1.05)/4.7</f>
        <v/>
      </c>
      <c r="P198" s="6">
        <f>K198*0.0749/4.7</f>
        <v/>
      </c>
      <c r="Q198" s="5">
        <f>M198+N198+O198+P198</f>
        <v/>
      </c>
      <c r="R198" s="5">
        <f>L198-Q198</f>
        <v/>
      </c>
      <c r="S198" s="6">
        <f>R198*4.7</f>
        <v/>
      </c>
      <c r="T198" s="7">
        <f>IF(L198&gt;0,R198/L198,0)</f>
        <v/>
      </c>
      <c r="U198" s="3" t="inlineStr">
        <is>
          <t>26/05/2026 00:07:43</t>
        </is>
      </c>
    </row>
    <row r="199">
      <c r="A199" s="3" t="inlineStr">
        <is>
          <t>584199844367074322</t>
        </is>
      </c>
      <c r="B199" s="3" t="inlineStr">
        <is>
          <t>已发货</t>
        </is>
      </c>
      <c r="C199" s="3" t="inlineStr">
        <is>
          <t>C1</t>
        </is>
      </c>
      <c r="D199" s="3" t="inlineStr">
        <is>
          <t>魔芋笋1大袋</t>
        </is>
      </c>
      <c r="E199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99" s="3" t="inlineStr">
        <is>
          <t>รสเผ็ดหอม​, 1pcs   200g</t>
        </is>
      </c>
      <c r="G199" s="6" t="n">
        <v>1</v>
      </c>
      <c r="H199" s="6" t="n">
        <v>60</v>
      </c>
      <c r="I199" s="6" t="n">
        <v>0</v>
      </c>
      <c r="J199" s="6" t="n">
        <v>35</v>
      </c>
      <c r="K199" s="6">
        <f>H199+I199</f>
        <v/>
      </c>
      <c r="L199" s="5">
        <f>K199/4.7</f>
        <v/>
      </c>
      <c r="M199" s="6" t="n">
        <v>6.699999999999999</v>
      </c>
      <c r="N199" s="6" t="n">
        <v>1</v>
      </c>
      <c r="O199" s="6">
        <f>(K199*0.1229+1.05)/4.7</f>
        <v/>
      </c>
      <c r="P199" s="6">
        <f>K199*0.0749/4.7</f>
        <v/>
      </c>
      <c r="Q199" s="5">
        <f>M199+N199+O199+P199</f>
        <v/>
      </c>
      <c r="R199" s="5">
        <f>L199-Q199</f>
        <v/>
      </c>
      <c r="S199" s="6">
        <f>R199*4.7</f>
        <v/>
      </c>
      <c r="T199" s="7">
        <f>IF(L199&gt;0,R199/L199,0)</f>
        <v/>
      </c>
      <c r="U199" s="3" t="inlineStr">
        <is>
          <t>25/05/2026 23:11:47</t>
        </is>
      </c>
    </row>
    <row r="200">
      <c r="A200" s="3" t="inlineStr">
        <is>
          <t>584199503492908777</t>
        </is>
      </c>
      <c r="B200" s="3" t="inlineStr">
        <is>
          <t>已发货</t>
        </is>
      </c>
      <c r="C200" s="3" t="inlineStr">
        <is>
          <t>C3</t>
        </is>
      </c>
      <c r="D200" s="3" t="inlineStr">
        <is>
          <t>魔芋笋3大袋</t>
        </is>
      </c>
      <c r="E20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0" s="3" t="inlineStr">
        <is>
          <t>รสเผ็ดหอม​, 30 ซอง 600g</t>
        </is>
      </c>
      <c r="G200" s="6" t="n">
        <v>1</v>
      </c>
      <c r="H200" s="6" t="n">
        <v>100.2</v>
      </c>
      <c r="I200" s="6" t="n">
        <v>66.8</v>
      </c>
      <c r="J200" s="6" t="n">
        <v>35</v>
      </c>
      <c r="K200" s="6">
        <f>H200+I200</f>
        <v/>
      </c>
      <c r="L200" s="5">
        <f>K200/4.7</f>
        <v/>
      </c>
      <c r="M200" s="6" t="n">
        <v>20.1</v>
      </c>
      <c r="N200" s="6" t="n">
        <v>1</v>
      </c>
      <c r="O200" s="6">
        <f>(K200*0.1229+1.05)/4.7</f>
        <v/>
      </c>
      <c r="P200" s="6">
        <f>K200*0.0749/4.7</f>
        <v/>
      </c>
      <c r="Q200" s="5">
        <f>M200+N200+O200+P200</f>
        <v/>
      </c>
      <c r="R200" s="5">
        <f>L200-Q200</f>
        <v/>
      </c>
      <c r="S200" s="6">
        <f>R200*4.7</f>
        <v/>
      </c>
      <c r="T200" s="7">
        <f>IF(L200&gt;0,R200/L200,0)</f>
        <v/>
      </c>
      <c r="U200" s="3" t="inlineStr">
        <is>
          <t>25/05/2026 22:42:07</t>
        </is>
      </c>
    </row>
    <row r="201">
      <c r="A201" s="3" t="inlineStr">
        <is>
          <t>584198803195987783</t>
        </is>
      </c>
      <c r="B201" s="3" t="inlineStr">
        <is>
          <t>已发货</t>
        </is>
      </c>
      <c r="C201" s="3" t="inlineStr">
        <is>
          <t>C1</t>
        </is>
      </c>
      <c r="D201" s="3" t="inlineStr">
        <is>
          <t>魔芋笋1大袋</t>
        </is>
      </c>
      <c r="E2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1" s="3" t="inlineStr">
        <is>
          <t>รสเผ็ดหอม​, 10 ซอง 200g</t>
        </is>
      </c>
      <c r="G201" s="6" t="n">
        <v>1</v>
      </c>
      <c r="H201" s="6" t="n">
        <v>138</v>
      </c>
      <c r="I201" s="6" t="n">
        <v>0</v>
      </c>
      <c r="J201" s="6" t="n">
        <v>48</v>
      </c>
      <c r="K201" s="6">
        <f>H201+I201</f>
        <v/>
      </c>
      <c r="L201" s="5">
        <f>K201/4.7</f>
        <v/>
      </c>
      <c r="M201" s="6" t="n">
        <v>6.699999999999999</v>
      </c>
      <c r="N201" s="6" t="n">
        <v>1</v>
      </c>
      <c r="O201" s="6">
        <f>(K201*0.1229+1.05)/4.7</f>
        <v/>
      </c>
      <c r="P201" s="6">
        <f>K201*0.0749/4.7</f>
        <v/>
      </c>
      <c r="Q201" s="5">
        <f>M201+N201+O201+P201</f>
        <v/>
      </c>
      <c r="R201" s="5">
        <f>L201-Q201</f>
        <v/>
      </c>
      <c r="S201" s="6">
        <f>R201*4.7</f>
        <v/>
      </c>
      <c r="T201" s="7">
        <f>IF(L201&gt;0,R201/L201,0)</f>
        <v/>
      </c>
      <c r="U201" s="3" t="inlineStr">
        <is>
          <t>25/05/2026 21:57:00</t>
        </is>
      </c>
    </row>
    <row r="202">
      <c r="A202" s="3" t="inlineStr">
        <is>
          <t>584198803195987783</t>
        </is>
      </c>
      <c r="B202" s="3" t="inlineStr">
        <is>
          <t>已发货</t>
        </is>
      </c>
      <c r="C202" s="3" t="inlineStr">
        <is>
          <t>B1</t>
        </is>
      </c>
      <c r="D202" s="3" t="inlineStr">
        <is>
          <t>魔芋笋1大袋</t>
        </is>
      </c>
      <c r="E2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2" s="3" t="inlineStr">
        <is>
          <t>รสเปรี้ยวเผ็ด​, 10 ซอง 200g</t>
        </is>
      </c>
      <c r="G202" s="6" t="n">
        <v>1</v>
      </c>
      <c r="H202" s="6" t="n">
        <v>138</v>
      </c>
      <c r="I202" s="6" t="n">
        <v>0</v>
      </c>
      <c r="J202" s="6" t="n">
        <v>48</v>
      </c>
      <c r="K202" s="6">
        <f>H202+I202</f>
        <v/>
      </c>
      <c r="L202" s="5">
        <f>K202/4.7</f>
        <v/>
      </c>
      <c r="M202" s="6" t="n">
        <v>6.699999999999999</v>
      </c>
      <c r="N202" s="6" t="n">
        <v>1</v>
      </c>
      <c r="O202" s="6">
        <f>(K202*0.1229+1.05)/4.7</f>
        <v/>
      </c>
      <c r="P202" s="6">
        <f>K202*0.0749/4.7</f>
        <v/>
      </c>
      <c r="Q202" s="5">
        <f>M202+N202+O202+P202</f>
        <v/>
      </c>
      <c r="R202" s="5">
        <f>L202-Q202</f>
        <v/>
      </c>
      <c r="S202" s="6">
        <f>R202*4.7</f>
        <v/>
      </c>
      <c r="T202" s="7">
        <f>IF(L202&gt;0,R202/L202,0)</f>
        <v/>
      </c>
      <c r="U202" s="3" t="inlineStr">
        <is>
          <t>25/05/2026 21:57:00</t>
        </is>
      </c>
    </row>
    <row r="203">
      <c r="A203" s="3" t="inlineStr">
        <is>
          <t>584198650214647112</t>
        </is>
      </c>
      <c r="B203" s="3" t="inlineStr">
        <is>
          <t>已发货</t>
        </is>
      </c>
      <c r="C203" s="3" t="inlineStr">
        <is>
          <t>B1</t>
        </is>
      </c>
      <c r="D203" s="3" t="inlineStr">
        <is>
          <t>魔芋笋1大袋</t>
        </is>
      </c>
      <c r="E203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03" s="3" t="inlineStr">
        <is>
          <t>รสเปรี้ยวเผ็ด​, 1pcs   200g</t>
        </is>
      </c>
      <c r="G203" s="6" t="n">
        <v>1</v>
      </c>
      <c r="H203" s="6" t="n">
        <v>69</v>
      </c>
      <c r="I203" s="6" t="n">
        <v>23</v>
      </c>
      <c r="J203" s="6" t="n">
        <v>35</v>
      </c>
      <c r="K203" s="6">
        <f>H203+I203</f>
        <v/>
      </c>
      <c r="L203" s="5">
        <f>K203/4.7</f>
        <v/>
      </c>
      <c r="M203" s="6" t="n">
        <v>6.699999999999999</v>
      </c>
      <c r="N203" s="6" t="n">
        <v>1</v>
      </c>
      <c r="O203" s="6">
        <f>(K203*0.1229+1.05)/4.7</f>
        <v/>
      </c>
      <c r="P203" s="6">
        <f>K203*0.0749/4.7</f>
        <v/>
      </c>
      <c r="Q203" s="5">
        <f>M203+N203+O203+P203</f>
        <v/>
      </c>
      <c r="R203" s="5">
        <f>L203-Q203</f>
        <v/>
      </c>
      <c r="S203" s="6">
        <f>R203*4.7</f>
        <v/>
      </c>
      <c r="T203" s="7">
        <f>IF(L203&gt;0,R203/L203,0)</f>
        <v/>
      </c>
      <c r="U203" s="3" t="inlineStr">
        <is>
          <t>25/05/2026 21:45:08</t>
        </is>
      </c>
    </row>
    <row r="204">
      <c r="A204" s="3" t="inlineStr">
        <is>
          <t>584198650214647112</t>
        </is>
      </c>
      <c r="B204" s="3" t="inlineStr">
        <is>
          <t>已发货</t>
        </is>
      </c>
      <c r="C204" s="3" t="inlineStr">
        <is>
          <t>C1</t>
        </is>
      </c>
      <c r="D204" s="3" t="inlineStr">
        <is>
          <t>魔芋笋1大袋</t>
        </is>
      </c>
      <c r="E204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04" s="3" t="inlineStr">
        <is>
          <t>รสเผ็ดหอม​, 1pcs   200g</t>
        </is>
      </c>
      <c r="G204" s="6" t="n">
        <v>1</v>
      </c>
      <c r="H204" s="6" t="n">
        <v>69</v>
      </c>
      <c r="I204" s="6" t="n">
        <v>23</v>
      </c>
      <c r="J204" s="6" t="n">
        <v>35</v>
      </c>
      <c r="K204" s="6">
        <f>H204+I204</f>
        <v/>
      </c>
      <c r="L204" s="5">
        <f>K204/4.7</f>
        <v/>
      </c>
      <c r="M204" s="6" t="n">
        <v>6.699999999999999</v>
      </c>
      <c r="N204" s="6" t="n">
        <v>1</v>
      </c>
      <c r="O204" s="6">
        <f>(K204*0.1229+1.05)/4.7</f>
        <v/>
      </c>
      <c r="P204" s="6">
        <f>K204*0.0749/4.7</f>
        <v/>
      </c>
      <c r="Q204" s="5">
        <f>M204+N204+O204+P204</f>
        <v/>
      </c>
      <c r="R204" s="5">
        <f>L204-Q204</f>
        <v/>
      </c>
      <c r="S204" s="6">
        <f>R204*4.7</f>
        <v/>
      </c>
      <c r="T204" s="7">
        <f>IF(L204&gt;0,R204/L204,0)</f>
        <v/>
      </c>
      <c r="U204" s="3" t="inlineStr">
        <is>
          <t>25/05/2026 21:45:08</t>
        </is>
      </c>
    </row>
    <row r="205">
      <c r="A205" s="3" t="inlineStr">
        <is>
          <t>584196828984673544</t>
        </is>
      </c>
      <c r="B205" s="3" t="inlineStr">
        <is>
          <t>已发货</t>
        </is>
      </c>
      <c r="C205" s="3" t="inlineStr">
        <is>
          <t>B1</t>
        </is>
      </c>
      <c r="D205" s="3" t="inlineStr">
        <is>
          <t>魔芋笋1大袋</t>
        </is>
      </c>
      <c r="E205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05" s="3" t="inlineStr">
        <is>
          <t>รสเปรี้ยวเผ็ด​, 1pcs   200g</t>
        </is>
      </c>
      <c r="G205" s="6" t="n">
        <v>5</v>
      </c>
      <c r="H205" s="6" t="n">
        <v>564</v>
      </c>
      <c r="I205" s="6" t="n">
        <v>18</v>
      </c>
      <c r="J205" s="6" t="n">
        <v>105</v>
      </c>
      <c r="K205" s="6">
        <f>H205+I205</f>
        <v/>
      </c>
      <c r="L205" s="5">
        <f>K205/4.7</f>
        <v/>
      </c>
      <c r="M205" s="6" t="n">
        <v>33.5</v>
      </c>
      <c r="N205" s="6" t="n">
        <v>1</v>
      </c>
      <c r="O205" s="6">
        <f>(K205*0.1229+1.05)/4.7</f>
        <v/>
      </c>
      <c r="P205" s="6">
        <f>K205*0.0749/4.7</f>
        <v/>
      </c>
      <c r="Q205" s="5">
        <f>M205+N205+O205+P205</f>
        <v/>
      </c>
      <c r="R205" s="5">
        <f>L205-Q205</f>
        <v/>
      </c>
      <c r="S205" s="6">
        <f>R205*4.7</f>
        <v/>
      </c>
      <c r="T205" s="7">
        <f>IF(L205&gt;0,R205/L205,0)</f>
        <v/>
      </c>
      <c r="U205" s="3" t="inlineStr">
        <is>
          <t>25/05/2026 19:54:49</t>
        </is>
      </c>
    </row>
    <row r="206">
      <c r="A206" s="3" t="inlineStr">
        <is>
          <t>584196828984673544</t>
        </is>
      </c>
      <c r="B206" s="3" t="inlineStr">
        <is>
          <t>已发货</t>
        </is>
      </c>
      <c r="C206" s="3" t="inlineStr">
        <is>
          <t>C1</t>
        </is>
      </c>
      <c r="D206" s="3" t="inlineStr">
        <is>
          <t>魔芋笋1大袋</t>
        </is>
      </c>
      <c r="E206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06" s="3" t="inlineStr">
        <is>
          <t>รสเผ็ดหอม​, 1pcs   200g</t>
        </is>
      </c>
      <c r="G206" s="6" t="n">
        <v>5</v>
      </c>
      <c r="H206" s="6" t="n">
        <v>564</v>
      </c>
      <c r="I206" s="6" t="n">
        <v>18</v>
      </c>
      <c r="J206" s="6" t="n">
        <v>105</v>
      </c>
      <c r="K206" s="6">
        <f>H206+I206</f>
        <v/>
      </c>
      <c r="L206" s="5">
        <f>K206/4.7</f>
        <v/>
      </c>
      <c r="M206" s="6" t="n">
        <v>33.5</v>
      </c>
      <c r="N206" s="6" t="n">
        <v>1</v>
      </c>
      <c r="O206" s="6">
        <f>(K206*0.1229+1.05)/4.7</f>
        <v/>
      </c>
      <c r="P206" s="6">
        <f>K206*0.0749/4.7</f>
        <v/>
      </c>
      <c r="Q206" s="5">
        <f>M206+N206+O206+P206</f>
        <v/>
      </c>
      <c r="R206" s="5">
        <f>L206-Q206</f>
        <v/>
      </c>
      <c r="S206" s="6">
        <f>R206*4.7</f>
        <v/>
      </c>
      <c r="T206" s="7">
        <f>IF(L206&gt;0,R206/L206,0)</f>
        <v/>
      </c>
      <c r="U206" s="3" t="inlineStr">
        <is>
          <t>25/05/2026 19:54:49</t>
        </is>
      </c>
    </row>
    <row r="207">
      <c r="A207" s="3" t="inlineStr">
        <is>
          <t>584196642320319517</t>
        </is>
      </c>
      <c r="B207" s="3" t="inlineStr">
        <is>
          <t>已发货</t>
        </is>
      </c>
      <c r="C207" s="3" t="inlineStr">
        <is>
          <t>C3</t>
        </is>
      </c>
      <c r="D207" s="3" t="inlineStr">
        <is>
          <t>魔芋笋3大袋</t>
        </is>
      </c>
      <c r="E2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7" s="3" t="inlineStr">
        <is>
          <t>รสเผ็ดหอม​, 30 ซอง 600g</t>
        </is>
      </c>
      <c r="G207" s="6" t="n">
        <v>1</v>
      </c>
      <c r="H207" s="6" t="n">
        <v>167</v>
      </c>
      <c r="I207" s="6" t="n">
        <v>0</v>
      </c>
      <c r="J207" s="6" t="n">
        <v>35</v>
      </c>
      <c r="K207" s="6">
        <f>H207+I207</f>
        <v/>
      </c>
      <c r="L207" s="5">
        <f>K207/4.7</f>
        <v/>
      </c>
      <c r="M207" s="6" t="n">
        <v>20.1</v>
      </c>
      <c r="N207" s="6" t="n">
        <v>1</v>
      </c>
      <c r="O207" s="6">
        <f>(K207*0.1229+1.05)/4.7</f>
        <v/>
      </c>
      <c r="P207" s="6">
        <f>K207*0.0749/4.7</f>
        <v/>
      </c>
      <c r="Q207" s="5">
        <f>M207+N207+O207+P207</f>
        <v/>
      </c>
      <c r="R207" s="5">
        <f>L207-Q207</f>
        <v/>
      </c>
      <c r="S207" s="6">
        <f>R207*4.7</f>
        <v/>
      </c>
      <c r="T207" s="7">
        <f>IF(L207&gt;0,R207/L207,0)</f>
        <v/>
      </c>
      <c r="U207" s="3" t="inlineStr">
        <is>
          <t>25/05/2026 19:41:17</t>
        </is>
      </c>
    </row>
    <row r="208">
      <c r="A208" s="3" t="inlineStr">
        <is>
          <t>584195956764541968</t>
        </is>
      </c>
      <c r="B208" s="3" t="inlineStr">
        <is>
          <t>已发货</t>
        </is>
      </c>
      <c r="C208" s="3" t="inlineStr">
        <is>
          <t>C2</t>
        </is>
      </c>
      <c r="D208" s="3" t="inlineStr">
        <is>
          <t>魔芋笋2大袋</t>
        </is>
      </c>
      <c r="E2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8" s="3" t="inlineStr">
        <is>
          <t>รสเผ็ดหอม​, 20 ซอง 400g</t>
        </is>
      </c>
      <c r="G208" s="6" t="n">
        <v>1</v>
      </c>
      <c r="H208" s="6" t="n">
        <v>208.25</v>
      </c>
      <c r="I208" s="6" t="n">
        <v>18.38</v>
      </c>
      <c r="J208" s="6" t="n">
        <v>48</v>
      </c>
      <c r="K208" s="6">
        <f>H208+I208</f>
        <v/>
      </c>
      <c r="L208" s="5">
        <f>K208/4.7</f>
        <v/>
      </c>
      <c r="M208" s="6" t="n">
        <v>13.4</v>
      </c>
      <c r="N208" s="6" t="n">
        <v>1</v>
      </c>
      <c r="O208" s="6">
        <f>(K208*0.1229+1.05)/4.7</f>
        <v/>
      </c>
      <c r="P208" s="6">
        <f>K208*0.0749/4.7</f>
        <v/>
      </c>
      <c r="Q208" s="5">
        <f>M208+N208+O208+P208</f>
        <v/>
      </c>
      <c r="R208" s="5">
        <f>L208-Q208</f>
        <v/>
      </c>
      <c r="S208" s="6">
        <f>R208*4.7</f>
        <v/>
      </c>
      <c r="T208" s="7">
        <f>IF(L208&gt;0,R208/L208,0)</f>
        <v/>
      </c>
      <c r="U208" s="3" t="inlineStr">
        <is>
          <t>25/05/2026 19:01:10</t>
        </is>
      </c>
    </row>
    <row r="209">
      <c r="A209" s="3" t="inlineStr">
        <is>
          <t>584195956764541968</t>
        </is>
      </c>
      <c r="B209" s="3" t="inlineStr">
        <is>
          <t>已发货</t>
        </is>
      </c>
      <c r="C209" s="3" t="inlineStr">
        <is>
          <t>B2</t>
        </is>
      </c>
      <c r="D209" s="3" t="inlineStr">
        <is>
          <t>魔芋笋2大袋</t>
        </is>
      </c>
      <c r="E2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9" s="3" t="inlineStr">
        <is>
          <t>รสเปรี้ยวเผ็ด​, 20 ซอง 400g</t>
        </is>
      </c>
      <c r="G209" s="6" t="n">
        <v>1</v>
      </c>
      <c r="H209" s="6" t="n">
        <v>208.25</v>
      </c>
      <c r="I209" s="6" t="n">
        <v>18.37</v>
      </c>
      <c r="J209" s="6" t="n">
        <v>48</v>
      </c>
      <c r="K209" s="6">
        <f>H209+I209</f>
        <v/>
      </c>
      <c r="L209" s="5">
        <f>K209/4.7</f>
        <v/>
      </c>
      <c r="M209" s="6" t="n">
        <v>13.4</v>
      </c>
      <c r="N209" s="6" t="n">
        <v>1</v>
      </c>
      <c r="O209" s="6">
        <f>(K209*0.1229+1.05)/4.7</f>
        <v/>
      </c>
      <c r="P209" s="6">
        <f>K209*0.0749/4.7</f>
        <v/>
      </c>
      <c r="Q209" s="5">
        <f>M209+N209+O209+P209</f>
        <v/>
      </c>
      <c r="R209" s="5">
        <f>L209-Q209</f>
        <v/>
      </c>
      <c r="S209" s="6">
        <f>R209*4.7</f>
        <v/>
      </c>
      <c r="T209" s="7">
        <f>IF(L209&gt;0,R209/L209,0)</f>
        <v/>
      </c>
      <c r="U209" s="3" t="inlineStr">
        <is>
          <t>25/05/2026 19:01:10</t>
        </is>
      </c>
    </row>
    <row r="210">
      <c r="A210" s="3" t="inlineStr">
        <is>
          <t>584195808547342332</t>
        </is>
      </c>
      <c r="B210" s="3" t="inlineStr">
        <is>
          <t>已发货</t>
        </is>
      </c>
      <c r="C210" s="3" t="inlineStr">
        <is>
          <t>C3</t>
        </is>
      </c>
      <c r="D210" s="3" t="inlineStr">
        <is>
          <t>魔芋笋3大袋</t>
        </is>
      </c>
      <c r="E2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0" s="3" t="inlineStr">
        <is>
          <t>รสเผ็ดหอม​, 30 ซอง 600g</t>
        </is>
      </c>
      <c r="G210" s="6" t="n">
        <v>1</v>
      </c>
      <c r="H210" s="6" t="n">
        <v>167</v>
      </c>
      <c r="I210" s="6" t="n">
        <v>0</v>
      </c>
      <c r="J210" s="6" t="n">
        <v>35</v>
      </c>
      <c r="K210" s="6">
        <f>H210+I210</f>
        <v/>
      </c>
      <c r="L210" s="5">
        <f>K210/4.7</f>
        <v/>
      </c>
      <c r="M210" s="6" t="n">
        <v>20.1</v>
      </c>
      <c r="N210" s="6" t="n">
        <v>1</v>
      </c>
      <c r="O210" s="6">
        <f>(K210*0.1229+1.05)/4.7</f>
        <v/>
      </c>
      <c r="P210" s="6">
        <f>K210*0.0749/4.7</f>
        <v/>
      </c>
      <c r="Q210" s="5">
        <f>M210+N210+O210+P210</f>
        <v/>
      </c>
      <c r="R210" s="5">
        <f>L210-Q210</f>
        <v/>
      </c>
      <c r="S210" s="6">
        <f>R210*4.7</f>
        <v/>
      </c>
      <c r="T210" s="7">
        <f>IF(L210&gt;0,R210/L210,0)</f>
        <v/>
      </c>
      <c r="U210" s="3" t="inlineStr">
        <is>
          <t>25/05/2026 18:53:28</t>
        </is>
      </c>
    </row>
    <row r="211">
      <c r="A211" s="3" t="inlineStr">
        <is>
          <t>584195274164438417</t>
        </is>
      </c>
      <c r="B211" s="3" t="inlineStr">
        <is>
          <t>已发货</t>
        </is>
      </c>
      <c r="C211" s="3" t="inlineStr">
        <is>
          <t>C1</t>
        </is>
      </c>
      <c r="D211" s="3" t="inlineStr">
        <is>
          <t>魔芋笋1大袋</t>
        </is>
      </c>
      <c r="E2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1" s="3" t="inlineStr">
        <is>
          <t>รสเผ็ดหอม​, 10 ซอง 200g</t>
        </is>
      </c>
      <c r="G211" s="6" t="n">
        <v>1</v>
      </c>
      <c r="H211" s="6" t="n">
        <v>69</v>
      </c>
      <c r="I211" s="6" t="n">
        <v>0</v>
      </c>
      <c r="J211" s="6" t="n">
        <v>35</v>
      </c>
      <c r="K211" s="6">
        <f>H211+I211</f>
        <v/>
      </c>
      <c r="L211" s="5">
        <f>K211/4.7</f>
        <v/>
      </c>
      <c r="M211" s="6" t="n">
        <v>6.699999999999999</v>
      </c>
      <c r="N211" s="6" t="n">
        <v>1</v>
      </c>
      <c r="O211" s="6">
        <f>(K211*0.1229+1.05)/4.7</f>
        <v/>
      </c>
      <c r="P211" s="6">
        <f>K211*0.0749/4.7</f>
        <v/>
      </c>
      <c r="Q211" s="5">
        <f>M211+N211+O211+P211</f>
        <v/>
      </c>
      <c r="R211" s="5">
        <f>L211-Q211</f>
        <v/>
      </c>
      <c r="S211" s="6">
        <f>R211*4.7</f>
        <v/>
      </c>
      <c r="T211" s="7">
        <f>IF(L211&gt;0,R211/L211,0)</f>
        <v/>
      </c>
      <c r="U211" s="3" t="inlineStr">
        <is>
          <t>25/05/2026 18:12:34</t>
        </is>
      </c>
    </row>
    <row r="212">
      <c r="A212" s="3" t="inlineStr">
        <is>
          <t>584194904976295757</t>
        </is>
      </c>
      <c r="B212" s="3" t="inlineStr">
        <is>
          <t>已发货</t>
        </is>
      </c>
      <c r="C212" s="3" t="inlineStr">
        <is>
          <t>C3</t>
        </is>
      </c>
      <c r="D212" s="3" t="inlineStr">
        <is>
          <t>魔芋笋3大袋</t>
        </is>
      </c>
      <c r="E2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2" s="3" t="inlineStr">
        <is>
          <t>รสเผ็ดหอม​, 30 ซอง 600g</t>
        </is>
      </c>
      <c r="G212" s="6" t="n">
        <v>1</v>
      </c>
      <c r="H212" s="6" t="n">
        <v>344</v>
      </c>
      <c r="I212" s="6" t="n">
        <v>0</v>
      </c>
      <c r="J212" s="6" t="n">
        <v>48</v>
      </c>
      <c r="K212" s="6">
        <f>H212+I212</f>
        <v/>
      </c>
      <c r="L212" s="5">
        <f>K212/4.7</f>
        <v/>
      </c>
      <c r="M212" s="6" t="n">
        <v>20.1</v>
      </c>
      <c r="N212" s="6" t="n">
        <v>1</v>
      </c>
      <c r="O212" s="6">
        <f>(K212*0.1229+1.05)/4.7</f>
        <v/>
      </c>
      <c r="P212" s="6">
        <f>K212*0.0749/4.7</f>
        <v/>
      </c>
      <c r="Q212" s="5">
        <f>M212+N212+O212+P212</f>
        <v/>
      </c>
      <c r="R212" s="5">
        <f>L212-Q212</f>
        <v/>
      </c>
      <c r="S212" s="6">
        <f>R212*4.7</f>
        <v/>
      </c>
      <c r="T212" s="7">
        <f>IF(L212&gt;0,R212/L212,0)</f>
        <v/>
      </c>
      <c r="U212" s="3" t="inlineStr">
        <is>
          <t>25/05/2026 17:46:29</t>
        </is>
      </c>
    </row>
    <row r="213">
      <c r="A213" s="3" t="inlineStr">
        <is>
          <t>584194904976295757</t>
        </is>
      </c>
      <c r="B213" s="3" t="inlineStr">
        <is>
          <t>已发货</t>
        </is>
      </c>
      <c r="C213" s="3" t="inlineStr">
        <is>
          <t>B3</t>
        </is>
      </c>
      <c r="D213" s="3" t="inlineStr">
        <is>
          <t>魔芋笋3大袋</t>
        </is>
      </c>
      <c r="E2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3" s="3" t="inlineStr">
        <is>
          <t>รสเปรี้ยวเผ็ด​, 30 ซอง 600g</t>
        </is>
      </c>
      <c r="G213" s="6" t="n">
        <v>1</v>
      </c>
      <c r="H213" s="6" t="n">
        <v>344</v>
      </c>
      <c r="I213" s="6" t="n">
        <v>0</v>
      </c>
      <c r="J213" s="6" t="n">
        <v>48</v>
      </c>
      <c r="K213" s="6">
        <f>H213+I213</f>
        <v/>
      </c>
      <c r="L213" s="5">
        <f>K213/4.7</f>
        <v/>
      </c>
      <c r="M213" s="6" t="n">
        <v>20.1</v>
      </c>
      <c r="N213" s="6" t="n">
        <v>1</v>
      </c>
      <c r="O213" s="6">
        <f>(K213*0.1229+1.05)/4.7</f>
        <v/>
      </c>
      <c r="P213" s="6">
        <f>K213*0.0749/4.7</f>
        <v/>
      </c>
      <c r="Q213" s="5">
        <f>M213+N213+O213+P213</f>
        <v/>
      </c>
      <c r="R213" s="5">
        <f>L213-Q213</f>
        <v/>
      </c>
      <c r="S213" s="6">
        <f>R213*4.7</f>
        <v/>
      </c>
      <c r="T213" s="7">
        <f>IF(L213&gt;0,R213/L213,0)</f>
        <v/>
      </c>
      <c r="U213" s="3" t="inlineStr">
        <is>
          <t>25/05/2026 17:46:29</t>
        </is>
      </c>
    </row>
    <row r="214">
      <c r="A214" s="3" t="inlineStr">
        <is>
          <t>584194773483226900</t>
        </is>
      </c>
      <c r="B214" s="3" t="inlineStr">
        <is>
          <t>已发货</t>
        </is>
      </c>
      <c r="C214" s="3" t="inlineStr">
        <is>
          <t>B1</t>
        </is>
      </c>
      <c r="D214" s="3" t="inlineStr">
        <is>
          <t>魔芋笋1大袋</t>
        </is>
      </c>
      <c r="E2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4" s="3" t="inlineStr">
        <is>
          <t>รสเปรี้ยวเผ็ด​, 10 ซอง 200g</t>
        </is>
      </c>
      <c r="G214" s="6" t="n">
        <v>1</v>
      </c>
      <c r="H214" s="6" t="n">
        <v>107</v>
      </c>
      <c r="I214" s="6" t="n">
        <v>0</v>
      </c>
      <c r="J214" s="6" t="n">
        <v>0</v>
      </c>
      <c r="K214" s="6">
        <f>H214+I214</f>
        <v/>
      </c>
      <c r="L214" s="5">
        <f>K214/4.7</f>
        <v/>
      </c>
      <c r="M214" s="6" t="n">
        <v>6.699999999999999</v>
      </c>
      <c r="N214" s="6" t="n">
        <v>1</v>
      </c>
      <c r="O214" s="6">
        <f>(K214*0.1229+1.05)/4.7</f>
        <v/>
      </c>
      <c r="P214" s="6">
        <f>K214*0.0749/4.7</f>
        <v/>
      </c>
      <c r="Q214" s="5">
        <f>M214+N214+O214+P214</f>
        <v/>
      </c>
      <c r="R214" s="5">
        <f>L214-Q214</f>
        <v/>
      </c>
      <c r="S214" s="6">
        <f>R214*4.7</f>
        <v/>
      </c>
      <c r="T214" s="7">
        <f>IF(L214&gt;0,R214/L214,0)</f>
        <v/>
      </c>
      <c r="U214" s="3" t="inlineStr">
        <is>
          <t>25/05/2026 17:37:50</t>
        </is>
      </c>
    </row>
    <row r="215">
      <c r="A215" s="3" t="inlineStr">
        <is>
          <t>584194722173257492</t>
        </is>
      </c>
      <c r="B215" s="3" t="inlineStr">
        <is>
          <t>已发货</t>
        </is>
      </c>
      <c r="C215" s="3" t="inlineStr">
        <is>
          <t>C1</t>
        </is>
      </c>
      <c r="D215" s="3" t="inlineStr">
        <is>
          <t>魔芋笋1大袋</t>
        </is>
      </c>
      <c r="E2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5" s="3" t="inlineStr">
        <is>
          <t>รสเผ็ดหอม​, 10 ซอง 200g</t>
        </is>
      </c>
      <c r="G215" s="6" t="n">
        <v>2</v>
      </c>
      <c r="H215" s="6" t="n">
        <v>143</v>
      </c>
      <c r="I215" s="6" t="n">
        <v>0</v>
      </c>
      <c r="J215" s="6" t="n">
        <v>38</v>
      </c>
      <c r="K215" s="6">
        <f>H215+I215</f>
        <v/>
      </c>
      <c r="L215" s="5">
        <f>K215/4.7</f>
        <v/>
      </c>
      <c r="M215" s="6" t="n">
        <v>13.4</v>
      </c>
      <c r="N215" s="6" t="n">
        <v>1</v>
      </c>
      <c r="O215" s="6">
        <f>(K215*0.1229+1.05)/4.7</f>
        <v/>
      </c>
      <c r="P215" s="6">
        <f>K215*0.0749/4.7</f>
        <v/>
      </c>
      <c r="Q215" s="5">
        <f>M215+N215+O215+P215</f>
        <v/>
      </c>
      <c r="R215" s="5">
        <f>L215-Q215</f>
        <v/>
      </c>
      <c r="S215" s="6">
        <f>R215*4.7</f>
        <v/>
      </c>
      <c r="T215" s="7">
        <f>IF(L215&gt;0,R215/L215,0)</f>
        <v/>
      </c>
      <c r="U215" s="3" t="inlineStr">
        <is>
          <t>25/05/2026 17:31:39</t>
        </is>
      </c>
    </row>
    <row r="216">
      <c r="A216" s="3" t="inlineStr">
        <is>
          <t>584194673527195572</t>
        </is>
      </c>
      <c r="B216" s="3" t="inlineStr">
        <is>
          <t>已发货</t>
        </is>
      </c>
      <c r="C216" s="3" t="inlineStr">
        <is>
          <t>A1</t>
        </is>
      </c>
      <c r="D216" s="3" t="inlineStr">
        <is>
          <t>魔芋干1包</t>
        </is>
      </c>
      <c r="E216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16" s="3" t="inlineStr">
        <is>
          <t>10 ซอง 100g</t>
        </is>
      </c>
      <c r="G216" s="6" t="n">
        <v>5</v>
      </c>
      <c r="H216" s="6" t="n">
        <v>260</v>
      </c>
      <c r="I216" s="6" t="n">
        <v>0</v>
      </c>
      <c r="J216" s="6" t="n">
        <v>48</v>
      </c>
      <c r="K216" s="6">
        <f>H216+I216</f>
        <v/>
      </c>
      <c r="L216" s="5">
        <f>K216/4.7</f>
        <v/>
      </c>
      <c r="M216" s="6" t="n">
        <v>30.5</v>
      </c>
      <c r="N216" s="6" t="n">
        <v>0.5</v>
      </c>
      <c r="O216" s="6">
        <f>(K216*0.1229+1.05)/4.7</f>
        <v/>
      </c>
      <c r="P216" s="6">
        <f>K216*0.0749/4.7</f>
        <v/>
      </c>
      <c r="Q216" s="5">
        <f>M216+N216+O216+P216</f>
        <v/>
      </c>
      <c r="R216" s="5">
        <f>L216-Q216</f>
        <v/>
      </c>
      <c r="S216" s="6">
        <f>R216*4.7</f>
        <v/>
      </c>
      <c r="T216" s="7">
        <f>IF(L216&gt;0,R216/L216,0)</f>
        <v/>
      </c>
      <c r="U216" s="3" t="inlineStr">
        <is>
          <t>25/05/2026 17:27:07</t>
        </is>
      </c>
    </row>
    <row r="217">
      <c r="A217" s="3" t="inlineStr">
        <is>
          <t>584194601091171859</t>
        </is>
      </c>
      <c r="B217" s="3" t="inlineStr">
        <is>
          <t>已发货</t>
        </is>
      </c>
      <c r="C217" s="3" t="inlineStr">
        <is>
          <t>C2</t>
        </is>
      </c>
      <c r="D217" s="3" t="inlineStr">
        <is>
          <t>魔芋笋2大袋</t>
        </is>
      </c>
      <c r="E2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7" s="3" t="inlineStr">
        <is>
          <t>รสเผ็ดหอม​, 20 ซอง 400g</t>
        </is>
      </c>
      <c r="G217" s="6" t="n">
        <v>1</v>
      </c>
      <c r="H217" s="6" t="n">
        <v>125</v>
      </c>
      <c r="I217" s="6" t="n">
        <v>0</v>
      </c>
      <c r="J217" s="6" t="n">
        <v>38</v>
      </c>
      <c r="K217" s="6">
        <f>H217+I217</f>
        <v/>
      </c>
      <c r="L217" s="5">
        <f>K217/4.7</f>
        <v/>
      </c>
      <c r="M217" s="6" t="n">
        <v>13.4</v>
      </c>
      <c r="N217" s="6" t="n">
        <v>1</v>
      </c>
      <c r="O217" s="6">
        <f>(K217*0.1229+1.05)/4.7</f>
        <v/>
      </c>
      <c r="P217" s="6">
        <f>K217*0.0749/4.7</f>
        <v/>
      </c>
      <c r="Q217" s="5">
        <f>M217+N217+O217+P217</f>
        <v/>
      </c>
      <c r="R217" s="5">
        <f>L217-Q217</f>
        <v/>
      </c>
      <c r="S217" s="6">
        <f>R217*4.7</f>
        <v/>
      </c>
      <c r="T217" s="7">
        <f>IF(L217&gt;0,R217/L217,0)</f>
        <v/>
      </c>
      <c r="U217" s="3" t="inlineStr">
        <is>
          <t>25/05/2026 17:25:08</t>
        </is>
      </c>
    </row>
    <row r="218">
      <c r="A218" s="3" t="inlineStr">
        <is>
          <t>584194404654876629</t>
        </is>
      </c>
      <c r="B218" s="3" t="inlineStr">
        <is>
          <t>已发货</t>
        </is>
      </c>
      <c r="C218" s="3" t="inlineStr">
        <is>
          <t>C3</t>
        </is>
      </c>
      <c r="D218" s="3" t="inlineStr">
        <is>
          <t>魔芋笋3大袋</t>
        </is>
      </c>
      <c r="E2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8" s="3" t="inlineStr">
        <is>
          <t>รสเผ็ดหอม​, 30 ซอง 600g</t>
        </is>
      </c>
      <c r="G218" s="6" t="n">
        <v>1</v>
      </c>
      <c r="H218" s="6" t="n">
        <v>339</v>
      </c>
      <c r="I218" s="6" t="n">
        <v>0</v>
      </c>
      <c r="J218" s="6" t="n">
        <v>48</v>
      </c>
      <c r="K218" s="6">
        <f>H218+I218</f>
        <v/>
      </c>
      <c r="L218" s="5">
        <f>K218/4.7</f>
        <v/>
      </c>
      <c r="M218" s="6" t="n">
        <v>20.1</v>
      </c>
      <c r="N218" s="6" t="n">
        <v>1</v>
      </c>
      <c r="O218" s="6">
        <f>(K218*0.1229+1.05)/4.7</f>
        <v/>
      </c>
      <c r="P218" s="6">
        <f>K218*0.0749/4.7</f>
        <v/>
      </c>
      <c r="Q218" s="5">
        <f>M218+N218+O218+P218</f>
        <v/>
      </c>
      <c r="R218" s="5">
        <f>L218-Q218</f>
        <v/>
      </c>
      <c r="S218" s="6">
        <f>R218*4.7</f>
        <v/>
      </c>
      <c r="T218" s="7">
        <f>IF(L218&gt;0,R218/L218,0)</f>
        <v/>
      </c>
      <c r="U218" s="3" t="inlineStr">
        <is>
          <t>25/05/2026 17:05:45</t>
        </is>
      </c>
    </row>
    <row r="219">
      <c r="A219" s="3" t="inlineStr">
        <is>
          <t>584194404654876629</t>
        </is>
      </c>
      <c r="B219" s="3" t="inlineStr">
        <is>
          <t>已发货</t>
        </is>
      </c>
      <c r="C219" s="3" t="inlineStr">
        <is>
          <t>B3</t>
        </is>
      </c>
      <c r="D219" s="3" t="inlineStr">
        <is>
          <t>魔芋笋3大袋</t>
        </is>
      </c>
      <c r="E2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9" s="3" t="inlineStr">
        <is>
          <t>รสเปรี้ยวเผ็ด​, 30 ซอง 600g</t>
        </is>
      </c>
      <c r="G219" s="6" t="n">
        <v>1</v>
      </c>
      <c r="H219" s="6" t="n">
        <v>339</v>
      </c>
      <c r="I219" s="6" t="n">
        <v>0</v>
      </c>
      <c r="J219" s="6" t="n">
        <v>48</v>
      </c>
      <c r="K219" s="6">
        <f>H219+I219</f>
        <v/>
      </c>
      <c r="L219" s="5">
        <f>K219/4.7</f>
        <v/>
      </c>
      <c r="M219" s="6" t="n">
        <v>20.1</v>
      </c>
      <c r="N219" s="6" t="n">
        <v>1</v>
      </c>
      <c r="O219" s="6">
        <f>(K219*0.1229+1.05)/4.7</f>
        <v/>
      </c>
      <c r="P219" s="6">
        <f>K219*0.0749/4.7</f>
        <v/>
      </c>
      <c r="Q219" s="5">
        <f>M219+N219+O219+P219</f>
        <v/>
      </c>
      <c r="R219" s="5">
        <f>L219-Q219</f>
        <v/>
      </c>
      <c r="S219" s="6">
        <f>R219*4.7</f>
        <v/>
      </c>
      <c r="T219" s="7">
        <f>IF(L219&gt;0,R219/L219,0)</f>
        <v/>
      </c>
      <c r="U219" s="3" t="inlineStr">
        <is>
          <t>25/05/2026 17:05:45</t>
        </is>
      </c>
    </row>
    <row r="220">
      <c r="A220" s="3" t="inlineStr">
        <is>
          <t>584193188393026577</t>
        </is>
      </c>
      <c r="B220" s="3" t="inlineStr">
        <is>
          <t>已发货</t>
        </is>
      </c>
      <c r="C220" s="3" t="inlineStr">
        <is>
          <t>C2</t>
        </is>
      </c>
      <c r="D220" s="3" t="inlineStr">
        <is>
          <t>魔芋笋2大袋</t>
        </is>
      </c>
      <c r="E2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0" s="3" t="inlineStr">
        <is>
          <t>รสเผ็ดหอม​, 20 ซอง 400g</t>
        </is>
      </c>
      <c r="G220" s="6" t="n">
        <v>1</v>
      </c>
      <c r="H220" s="6" t="n">
        <v>250</v>
      </c>
      <c r="I220" s="6" t="n">
        <v>0</v>
      </c>
      <c r="J220" s="6" t="n">
        <v>48</v>
      </c>
      <c r="K220" s="6">
        <f>H220+I220</f>
        <v/>
      </c>
      <c r="L220" s="5">
        <f>K220/4.7</f>
        <v/>
      </c>
      <c r="M220" s="6" t="n">
        <v>13.4</v>
      </c>
      <c r="N220" s="6" t="n">
        <v>1</v>
      </c>
      <c r="O220" s="6">
        <f>(K220*0.1229+1.05)/4.7</f>
        <v/>
      </c>
      <c r="P220" s="6">
        <f>K220*0.0749/4.7</f>
        <v/>
      </c>
      <c r="Q220" s="5">
        <f>M220+N220+O220+P220</f>
        <v/>
      </c>
      <c r="R220" s="5">
        <f>L220-Q220</f>
        <v/>
      </c>
      <c r="S220" s="6">
        <f>R220*4.7</f>
        <v/>
      </c>
      <c r="T220" s="7">
        <f>IF(L220&gt;0,R220/L220,0)</f>
        <v/>
      </c>
      <c r="U220" s="3" t="inlineStr">
        <is>
          <t>25/05/2026 15:27:24</t>
        </is>
      </c>
    </row>
    <row r="221">
      <c r="A221" s="3" t="inlineStr">
        <is>
          <t>584193188393026577</t>
        </is>
      </c>
      <c r="B221" s="3" t="inlineStr">
        <is>
          <t>已发货</t>
        </is>
      </c>
      <c r="C221" s="3" t="inlineStr">
        <is>
          <t>B2</t>
        </is>
      </c>
      <c r="D221" s="3" t="inlineStr">
        <is>
          <t>魔芋笋2大袋</t>
        </is>
      </c>
      <c r="E2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1" s="3" t="inlineStr">
        <is>
          <t>รสเปรี้ยวเผ็ด​, 20 ซอง 400g</t>
        </is>
      </c>
      <c r="G221" s="6" t="n">
        <v>1</v>
      </c>
      <c r="H221" s="6" t="n">
        <v>250</v>
      </c>
      <c r="I221" s="6" t="n">
        <v>0</v>
      </c>
      <c r="J221" s="6" t="n">
        <v>48</v>
      </c>
      <c r="K221" s="6">
        <f>H221+I221</f>
        <v/>
      </c>
      <c r="L221" s="5">
        <f>K221/4.7</f>
        <v/>
      </c>
      <c r="M221" s="6" t="n">
        <v>13.4</v>
      </c>
      <c r="N221" s="6" t="n">
        <v>1</v>
      </c>
      <c r="O221" s="6">
        <f>(K221*0.1229+1.05)/4.7</f>
        <v/>
      </c>
      <c r="P221" s="6">
        <f>K221*0.0749/4.7</f>
        <v/>
      </c>
      <c r="Q221" s="5">
        <f>M221+N221+O221+P221</f>
        <v/>
      </c>
      <c r="R221" s="5">
        <f>L221-Q221</f>
        <v/>
      </c>
      <c r="S221" s="6">
        <f>R221*4.7</f>
        <v/>
      </c>
      <c r="T221" s="7">
        <f>IF(L221&gt;0,R221/L221,0)</f>
        <v/>
      </c>
      <c r="U221" s="3" t="inlineStr">
        <is>
          <t>25/05/2026 15:27:24</t>
        </is>
      </c>
    </row>
    <row r="222">
      <c r="A222" s="3" t="inlineStr">
        <is>
          <t>584193020845393707</t>
        </is>
      </c>
      <c r="B222" s="3" t="inlineStr">
        <is>
          <t>已发货</t>
        </is>
      </c>
      <c r="C222" s="3" t="inlineStr">
        <is>
          <t>C1</t>
        </is>
      </c>
      <c r="D222" s="3" t="inlineStr">
        <is>
          <t>魔芋笋1大袋</t>
        </is>
      </c>
      <c r="E2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2" s="3" t="inlineStr">
        <is>
          <t>รสเผ็ดหอม​, 10 ซอง 200g</t>
        </is>
      </c>
      <c r="G222" s="6" t="n">
        <v>4</v>
      </c>
      <c r="H222" s="6" t="n">
        <v>276</v>
      </c>
      <c r="I222" s="6" t="n">
        <v>0</v>
      </c>
      <c r="J222" s="6" t="n">
        <v>54</v>
      </c>
      <c r="K222" s="6">
        <f>H222+I222</f>
        <v/>
      </c>
      <c r="L222" s="5">
        <f>K222/4.7</f>
        <v/>
      </c>
      <c r="M222" s="6" t="n">
        <v>26.8</v>
      </c>
      <c r="N222" s="6" t="n">
        <v>1</v>
      </c>
      <c r="O222" s="6">
        <f>(K222*0.1229+1.05)/4.7</f>
        <v/>
      </c>
      <c r="P222" s="6">
        <f>K222*0.0749/4.7</f>
        <v/>
      </c>
      <c r="Q222" s="5">
        <f>M222+N222+O222+P222</f>
        <v/>
      </c>
      <c r="R222" s="5">
        <f>L222-Q222</f>
        <v/>
      </c>
      <c r="S222" s="6">
        <f>R222*4.7</f>
        <v/>
      </c>
      <c r="T222" s="7">
        <f>IF(L222&gt;0,R222/L222,0)</f>
        <v/>
      </c>
      <c r="U222" s="3" t="inlineStr">
        <is>
          <t>25/05/2026 15:17:21</t>
        </is>
      </c>
    </row>
    <row r="223">
      <c r="A223" s="3" t="inlineStr">
        <is>
          <t>584192984998249852</t>
        </is>
      </c>
      <c r="B223" s="3" t="inlineStr">
        <is>
          <t>已发货</t>
        </is>
      </c>
      <c r="C223" s="3" t="inlineStr">
        <is>
          <t>C3</t>
        </is>
      </c>
      <c r="D223" s="3" t="inlineStr">
        <is>
          <t>魔芋笋3大袋</t>
        </is>
      </c>
      <c r="E2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3" s="3" t="inlineStr">
        <is>
          <t>รสเผ็ดหอม​, 30 ซอง 600g</t>
        </is>
      </c>
      <c r="G223" s="6" t="n">
        <v>1</v>
      </c>
      <c r="H223" s="6" t="n">
        <v>172</v>
      </c>
      <c r="I223" s="6" t="n">
        <v>0</v>
      </c>
      <c r="J223" s="6" t="n">
        <v>35</v>
      </c>
      <c r="K223" s="6">
        <f>H223+I223</f>
        <v/>
      </c>
      <c r="L223" s="5">
        <f>K223/4.7</f>
        <v/>
      </c>
      <c r="M223" s="6" t="n">
        <v>20.1</v>
      </c>
      <c r="N223" s="6" t="n">
        <v>1</v>
      </c>
      <c r="O223" s="6">
        <f>(K223*0.1229+1.05)/4.7</f>
        <v/>
      </c>
      <c r="P223" s="6">
        <f>K223*0.0749/4.7</f>
        <v/>
      </c>
      <c r="Q223" s="5">
        <f>M223+N223+O223+P223</f>
        <v/>
      </c>
      <c r="R223" s="5">
        <f>L223-Q223</f>
        <v/>
      </c>
      <c r="S223" s="6">
        <f>R223*4.7</f>
        <v/>
      </c>
      <c r="T223" s="7">
        <f>IF(L223&gt;0,R223/L223,0)</f>
        <v/>
      </c>
      <c r="U223" s="3" t="inlineStr">
        <is>
          <t>25/05/2026 15:17:18</t>
        </is>
      </c>
    </row>
    <row r="224">
      <c r="A224" s="3" t="inlineStr">
        <is>
          <t>584192630258304798</t>
        </is>
      </c>
      <c r="B224" s="3" t="inlineStr">
        <is>
          <t>已发货</t>
        </is>
      </c>
      <c r="C224" s="3" t="inlineStr">
        <is>
          <t>B3</t>
        </is>
      </c>
      <c r="D224" s="3" t="inlineStr">
        <is>
          <t>魔芋笋3大袋</t>
        </is>
      </c>
      <c r="E2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4" s="3" t="inlineStr">
        <is>
          <t>รสเปรี้ยวเผ็ด​, 30 ซอง 600g</t>
        </is>
      </c>
      <c r="G224" s="6" t="n">
        <v>1</v>
      </c>
      <c r="H224" s="6" t="n">
        <v>172</v>
      </c>
      <c r="I224" s="6" t="n">
        <v>0</v>
      </c>
      <c r="J224" s="6" t="n">
        <v>35</v>
      </c>
      <c r="K224" s="6">
        <f>H224+I224</f>
        <v/>
      </c>
      <c r="L224" s="5">
        <f>K224/4.7</f>
        <v/>
      </c>
      <c r="M224" s="6" t="n">
        <v>20.1</v>
      </c>
      <c r="N224" s="6" t="n">
        <v>1</v>
      </c>
      <c r="O224" s="6">
        <f>(K224*0.1229+1.05)/4.7</f>
        <v/>
      </c>
      <c r="P224" s="6">
        <f>K224*0.0749/4.7</f>
        <v/>
      </c>
      <c r="Q224" s="5">
        <f>M224+N224+O224+P224</f>
        <v/>
      </c>
      <c r="R224" s="5">
        <f>L224-Q224</f>
        <v/>
      </c>
      <c r="S224" s="6">
        <f>R224*4.7</f>
        <v/>
      </c>
      <c r="T224" s="7">
        <f>IF(L224&gt;0,R224/L224,0)</f>
        <v/>
      </c>
      <c r="U224" s="3" t="inlineStr">
        <is>
          <t>25/05/2026 14:47:58</t>
        </is>
      </c>
    </row>
    <row r="225">
      <c r="A225" s="3" t="inlineStr">
        <is>
          <t>584192617361934110</t>
        </is>
      </c>
      <c r="B225" s="3" t="inlineStr">
        <is>
          <t>已发货</t>
        </is>
      </c>
      <c r="C225" s="3" t="inlineStr">
        <is>
          <t>C3</t>
        </is>
      </c>
      <c r="D225" s="3" t="inlineStr">
        <is>
          <t>魔芋笋3大袋</t>
        </is>
      </c>
      <c r="E2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5" s="3" t="inlineStr">
        <is>
          <t>รสเผ็ดหอม​, 30 ซอง 600g</t>
        </is>
      </c>
      <c r="G225" s="6" t="n">
        <v>1</v>
      </c>
      <c r="H225" s="6" t="n">
        <v>167</v>
      </c>
      <c r="I225" s="6" t="n">
        <v>0</v>
      </c>
      <c r="J225" s="6" t="n">
        <v>35</v>
      </c>
      <c r="K225" s="6">
        <f>H225+I225</f>
        <v/>
      </c>
      <c r="L225" s="5">
        <f>K225/4.7</f>
        <v/>
      </c>
      <c r="M225" s="6" t="n">
        <v>20.1</v>
      </c>
      <c r="N225" s="6" t="n">
        <v>1</v>
      </c>
      <c r="O225" s="6">
        <f>(K225*0.1229+1.05)/4.7</f>
        <v/>
      </c>
      <c r="P225" s="6">
        <f>K225*0.0749/4.7</f>
        <v/>
      </c>
      <c r="Q225" s="5">
        <f>M225+N225+O225+P225</f>
        <v/>
      </c>
      <c r="R225" s="5">
        <f>L225-Q225</f>
        <v/>
      </c>
      <c r="S225" s="6">
        <f>R225*4.7</f>
        <v/>
      </c>
      <c r="T225" s="7">
        <f>IF(L225&gt;0,R225/L225,0)</f>
        <v/>
      </c>
      <c r="U225" s="3" t="inlineStr">
        <is>
          <t>25/05/2026 14:47:46</t>
        </is>
      </c>
    </row>
    <row r="226">
      <c r="A226" s="3" t="inlineStr">
        <is>
          <t>584192206617871876</t>
        </is>
      </c>
      <c r="B226" s="3" t="inlineStr">
        <is>
          <t>已发货</t>
        </is>
      </c>
      <c r="C226" s="3" t="inlineStr">
        <is>
          <t>C1</t>
        </is>
      </c>
      <c r="D226" s="3" t="inlineStr">
        <is>
          <t>魔芋笋1大袋</t>
        </is>
      </c>
      <c r="E2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6" s="3" t="inlineStr">
        <is>
          <t>รสเผ็ดหอม​, 10 ซอง 200g</t>
        </is>
      </c>
      <c r="G226" s="6" t="n">
        <v>1</v>
      </c>
      <c r="H226" s="6" t="n">
        <v>111</v>
      </c>
      <c r="I226" s="6" t="n">
        <v>0</v>
      </c>
      <c r="J226" s="6" t="n">
        <v>48</v>
      </c>
      <c r="K226" s="6">
        <f>H226+I226</f>
        <v/>
      </c>
      <c r="L226" s="5">
        <f>K226/4.7</f>
        <v/>
      </c>
      <c r="M226" s="6" t="n">
        <v>6.699999999999999</v>
      </c>
      <c r="N226" s="6" t="n">
        <v>1</v>
      </c>
      <c r="O226" s="6">
        <f>(K226*0.1229+1.05)/4.7</f>
        <v/>
      </c>
      <c r="P226" s="6">
        <f>K226*0.0749/4.7</f>
        <v/>
      </c>
      <c r="Q226" s="5">
        <f>M226+N226+O226+P226</f>
        <v/>
      </c>
      <c r="R226" s="5">
        <f>L226-Q226</f>
        <v/>
      </c>
      <c r="S226" s="6">
        <f>R226*4.7</f>
        <v/>
      </c>
      <c r="T226" s="7">
        <f>IF(L226&gt;0,R226/L226,0)</f>
        <v/>
      </c>
      <c r="U226" s="3" t="inlineStr">
        <is>
          <t>25/05/2026 14:17:59</t>
        </is>
      </c>
    </row>
    <row r="227">
      <c r="A227" s="3" t="inlineStr">
        <is>
          <t>584192206617871876</t>
        </is>
      </c>
      <c r="B227" s="3" t="inlineStr">
        <is>
          <t>已发货</t>
        </is>
      </c>
      <c r="C227" s="3" t="inlineStr">
        <is>
          <t>B5s</t>
        </is>
      </c>
      <c r="D227" s="3" t="inlineStr">
        <is>
          <t>酸辣味5小袋</t>
        </is>
      </c>
      <c r="E2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7" s="3" t="inlineStr">
        <is>
          <t>รสเปรี้ยวเผ็ด​, *ชุดเล็ก 5 ซอง 100g</t>
        </is>
      </c>
      <c r="G227" s="6" t="n">
        <v>1</v>
      </c>
      <c r="H227" s="6" t="n">
        <v>111</v>
      </c>
      <c r="I227" s="6" t="n">
        <v>0</v>
      </c>
      <c r="J227" s="6" t="n">
        <v>48</v>
      </c>
      <c r="K227" s="6">
        <f>H227+I227</f>
        <v/>
      </c>
      <c r="L227" s="5">
        <f>K227/4.7</f>
        <v/>
      </c>
      <c r="M227" s="6" t="n">
        <v>3.35</v>
      </c>
      <c r="N227" s="6" t="n">
        <v>1</v>
      </c>
      <c r="O227" s="6">
        <f>(K227*0.1229+1.05)/4.7</f>
        <v/>
      </c>
      <c r="P227" s="6">
        <f>K227*0.0749/4.7</f>
        <v/>
      </c>
      <c r="Q227" s="5">
        <f>M227+N227+O227+P227</f>
        <v/>
      </c>
      <c r="R227" s="5">
        <f>L227-Q227</f>
        <v/>
      </c>
      <c r="S227" s="6">
        <f>R227*4.7</f>
        <v/>
      </c>
      <c r="T227" s="7">
        <f>IF(L227&gt;0,R227/L227,0)</f>
        <v/>
      </c>
      <c r="U227" s="3" t="inlineStr">
        <is>
          <t>25/05/2026 14:17:59</t>
        </is>
      </c>
    </row>
    <row r="228">
      <c r="A228" s="3" t="inlineStr">
        <is>
          <t>584191064123737302</t>
        </is>
      </c>
      <c r="B228" s="3" t="inlineStr">
        <is>
          <t>已发货</t>
        </is>
      </c>
      <c r="C228" s="3" t="inlineStr">
        <is>
          <t>CK</t>
        </is>
      </c>
      <c r="D228" s="3" t="inlineStr">
        <is>
          <t>黑松露黑麦苏打饼干</t>
        </is>
      </c>
      <c r="E22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28" s="3" t="inlineStr">
        <is>
          <t>ค่าเริ่มต้น</t>
        </is>
      </c>
      <c r="G228" s="6" t="n">
        <v>1</v>
      </c>
      <c r="H228" s="6" t="n">
        <v>70</v>
      </c>
      <c r="I228" s="6" t="n">
        <v>30</v>
      </c>
      <c r="J228" s="6" t="n">
        <v>35</v>
      </c>
      <c r="K228" s="6">
        <f>H228+I228</f>
        <v/>
      </c>
      <c r="L228" s="5">
        <f>K228/4.7</f>
        <v/>
      </c>
      <c r="M228" s="6" t="n">
        <v>10.72665050209467</v>
      </c>
      <c r="N228" s="6" t="n">
        <v>1</v>
      </c>
      <c r="O228" s="6">
        <f>(K228*0.1229+1.05)/4.7</f>
        <v/>
      </c>
      <c r="P228" s="6">
        <f>K228*0.0749/4.7</f>
        <v/>
      </c>
      <c r="Q228" s="5">
        <f>M228+N228+O228+P228</f>
        <v/>
      </c>
      <c r="R228" s="5">
        <f>L228-Q228</f>
        <v/>
      </c>
      <c r="S228" s="6">
        <f>R228*4.7</f>
        <v/>
      </c>
      <c r="T228" s="7">
        <f>IF(L228&gt;0,R228/L228,0)</f>
        <v/>
      </c>
      <c r="U228" s="3" t="inlineStr">
        <is>
          <t>25/05/2026 12:54:18</t>
        </is>
      </c>
    </row>
    <row r="229">
      <c r="A229" s="3" t="inlineStr">
        <is>
          <t>584188976481666409</t>
        </is>
      </c>
      <c r="B229" s="3" t="inlineStr">
        <is>
          <t>已发货</t>
        </is>
      </c>
      <c r="C229" s="3" t="inlineStr">
        <is>
          <t>C1</t>
        </is>
      </c>
      <c r="D229" s="3" t="inlineStr">
        <is>
          <t>魔芋笋1大袋</t>
        </is>
      </c>
      <c r="E2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9" s="3" t="inlineStr">
        <is>
          <t>รสเผ็ดหอม​, 10 ซอง 200g</t>
        </is>
      </c>
      <c r="G229" s="6" t="n">
        <v>1</v>
      </c>
      <c r="H229" s="6" t="n">
        <v>69</v>
      </c>
      <c r="I229" s="6" t="n">
        <v>0</v>
      </c>
      <c r="J229" s="6" t="n">
        <v>35</v>
      </c>
      <c r="K229" s="6">
        <f>H229+I229</f>
        <v/>
      </c>
      <c r="L229" s="5">
        <f>K229/4.7</f>
        <v/>
      </c>
      <c r="M229" s="6" t="n">
        <v>6.699999999999999</v>
      </c>
      <c r="N229" s="6" t="n">
        <v>1</v>
      </c>
      <c r="O229" s="6">
        <f>(K229*0.1229+1.05)/4.7</f>
        <v/>
      </c>
      <c r="P229" s="6">
        <f>K229*0.0749/4.7</f>
        <v/>
      </c>
      <c r="Q229" s="5">
        <f>M229+N229+O229+P229</f>
        <v/>
      </c>
      <c r="R229" s="5">
        <f>L229-Q229</f>
        <v/>
      </c>
      <c r="S229" s="6">
        <f>R229*4.7</f>
        <v/>
      </c>
      <c r="T229" s="7">
        <f>IF(L229&gt;0,R229/L229,0)</f>
        <v/>
      </c>
      <c r="U229" s="3" t="inlineStr">
        <is>
          <t>25/05/2026 10:26:31</t>
        </is>
      </c>
    </row>
    <row r="230">
      <c r="A230" s="3" t="inlineStr">
        <is>
          <t>584188788981401160</t>
        </is>
      </c>
      <c r="B230" s="3" t="inlineStr">
        <is>
          <t>已发货</t>
        </is>
      </c>
      <c r="C230" s="3" t="inlineStr">
        <is>
          <t>C2</t>
        </is>
      </c>
      <c r="D230" s="3" t="inlineStr">
        <is>
          <t>魔芋笋2大袋</t>
        </is>
      </c>
      <c r="E2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0" s="3" t="inlineStr">
        <is>
          <t>รสเผ็ดหอม​, 20 ซอง 400g</t>
        </is>
      </c>
      <c r="G230" s="6" t="n">
        <v>1</v>
      </c>
      <c r="H230" s="6" t="n">
        <v>120</v>
      </c>
      <c r="I230" s="6" t="n">
        <v>0</v>
      </c>
      <c r="J230" s="6" t="n">
        <v>38</v>
      </c>
      <c r="K230" s="6">
        <f>H230+I230</f>
        <v/>
      </c>
      <c r="L230" s="5">
        <f>K230/4.7</f>
        <v/>
      </c>
      <c r="M230" s="6" t="n">
        <v>13.4</v>
      </c>
      <c r="N230" s="6" t="n">
        <v>1</v>
      </c>
      <c r="O230" s="6">
        <f>(K230*0.1229+1.05)/4.7</f>
        <v/>
      </c>
      <c r="P230" s="6">
        <f>K230*0.0749/4.7</f>
        <v/>
      </c>
      <c r="Q230" s="5">
        <f>M230+N230+O230+P230</f>
        <v/>
      </c>
      <c r="R230" s="5">
        <f>L230-Q230</f>
        <v/>
      </c>
      <c r="S230" s="6">
        <f>R230*4.7</f>
        <v/>
      </c>
      <c r="T230" s="7">
        <f>IF(L230&gt;0,R230/L230,0)</f>
        <v/>
      </c>
      <c r="U230" s="3" t="inlineStr">
        <is>
          <t>25/05/2026 10:16:24</t>
        </is>
      </c>
    </row>
    <row r="231">
      <c r="A231" s="3" t="inlineStr">
        <is>
          <t>584188723639911740</t>
        </is>
      </c>
      <c r="B231" s="3" t="inlineStr">
        <is>
          <t>已发货</t>
        </is>
      </c>
      <c r="C231" s="3" t="inlineStr">
        <is>
          <t>B1</t>
        </is>
      </c>
      <c r="D231" s="3" t="inlineStr">
        <is>
          <t>魔芋笋1大袋</t>
        </is>
      </c>
      <c r="E231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31" s="3" t="inlineStr">
        <is>
          <t>รสเปรี้ยวเผ็ด​, 1pcs   200g</t>
        </is>
      </c>
      <c r="G231" s="6" t="n">
        <v>1</v>
      </c>
      <c r="H231" s="6" t="n">
        <v>115</v>
      </c>
      <c r="I231" s="6" t="n">
        <v>0</v>
      </c>
      <c r="J231" s="6" t="n">
        <v>48</v>
      </c>
      <c r="K231" s="6">
        <f>H231+I231</f>
        <v/>
      </c>
      <c r="L231" s="5">
        <f>K231/4.7</f>
        <v/>
      </c>
      <c r="M231" s="6" t="n">
        <v>6.699999999999999</v>
      </c>
      <c r="N231" s="6" t="n">
        <v>1</v>
      </c>
      <c r="O231" s="6">
        <f>(K231*0.1229+1.05)/4.7</f>
        <v/>
      </c>
      <c r="P231" s="6">
        <f>K231*0.0749/4.7</f>
        <v/>
      </c>
      <c r="Q231" s="5">
        <f>M231+N231+O231+P231</f>
        <v/>
      </c>
      <c r="R231" s="5">
        <f>L231-Q231</f>
        <v/>
      </c>
      <c r="S231" s="6">
        <f>R231*4.7</f>
        <v/>
      </c>
      <c r="T231" s="7">
        <f>IF(L231&gt;0,R231/L231,0)</f>
        <v/>
      </c>
      <c r="U231" s="3" t="inlineStr">
        <is>
          <t>25/05/2026 10:12:59</t>
        </is>
      </c>
    </row>
    <row r="232">
      <c r="A232" s="3" t="inlineStr">
        <is>
          <t>584188723639911740</t>
        </is>
      </c>
      <c r="B232" s="3" t="inlineStr">
        <is>
          <t>已发货</t>
        </is>
      </c>
      <c r="C232" s="3" t="inlineStr">
        <is>
          <t>C1</t>
        </is>
      </c>
      <c r="D232" s="3" t="inlineStr">
        <is>
          <t>魔芋笋1大袋</t>
        </is>
      </c>
      <c r="E232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32" s="3" t="inlineStr">
        <is>
          <t>รสเผ็ดหอม​, 1pcs   200g</t>
        </is>
      </c>
      <c r="G232" s="6" t="n">
        <v>1</v>
      </c>
      <c r="H232" s="6" t="n">
        <v>115</v>
      </c>
      <c r="I232" s="6" t="n">
        <v>0</v>
      </c>
      <c r="J232" s="6" t="n">
        <v>48</v>
      </c>
      <c r="K232" s="6">
        <f>H232+I232</f>
        <v/>
      </c>
      <c r="L232" s="5">
        <f>K232/4.7</f>
        <v/>
      </c>
      <c r="M232" s="6" t="n">
        <v>6.699999999999999</v>
      </c>
      <c r="N232" s="6" t="n">
        <v>1</v>
      </c>
      <c r="O232" s="6">
        <f>(K232*0.1229+1.05)/4.7</f>
        <v/>
      </c>
      <c r="P232" s="6">
        <f>K232*0.0749/4.7</f>
        <v/>
      </c>
      <c r="Q232" s="5">
        <f>M232+N232+O232+P232</f>
        <v/>
      </c>
      <c r="R232" s="5">
        <f>L232-Q232</f>
        <v/>
      </c>
      <c r="S232" s="6">
        <f>R232*4.7</f>
        <v/>
      </c>
      <c r="T232" s="7">
        <f>IF(L232&gt;0,R232/L232,0)</f>
        <v/>
      </c>
      <c r="U232" s="3" t="inlineStr">
        <is>
          <t>25/05/2026 10:12:59</t>
        </is>
      </c>
    </row>
    <row r="233">
      <c r="A233" s="3" t="inlineStr">
        <is>
          <t>584187286869280443</t>
        </is>
      </c>
      <c r="B233" s="3" t="inlineStr">
        <is>
          <t>已发货</t>
        </is>
      </c>
      <c r="C233" s="3" t="inlineStr">
        <is>
          <t>CK</t>
        </is>
      </c>
      <c r="D233" s="3" t="inlineStr">
        <is>
          <t>黑松露黑麦苏打饼干</t>
        </is>
      </c>
      <c r="E23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33" s="3" t="inlineStr">
        <is>
          <t>ค่าเริ่มต้น</t>
        </is>
      </c>
      <c r="G233" s="6" t="n">
        <v>1</v>
      </c>
      <c r="H233" s="6" t="n">
        <v>65</v>
      </c>
      <c r="I233" s="6" t="n">
        <v>40</v>
      </c>
      <c r="J233" s="6" t="n">
        <v>38</v>
      </c>
      <c r="K233" s="6">
        <f>H233+I233</f>
        <v/>
      </c>
      <c r="L233" s="5">
        <f>K233/4.7</f>
        <v/>
      </c>
      <c r="M233" s="6" t="n">
        <v>10.72665050209467</v>
      </c>
      <c r="N233" s="6" t="n">
        <v>1</v>
      </c>
      <c r="O233" s="6">
        <f>(K233*0.1229+1.05)/4.7</f>
        <v/>
      </c>
      <c r="P233" s="6">
        <f>K233*0.0749/4.7</f>
        <v/>
      </c>
      <c r="Q233" s="5">
        <f>M233+N233+O233+P233</f>
        <v/>
      </c>
      <c r="R233" s="5">
        <f>L233-Q233</f>
        <v/>
      </c>
      <c r="S233" s="6">
        <f>R233*4.7</f>
        <v/>
      </c>
      <c r="T233" s="7">
        <f>IF(L233&gt;0,R233/L233,0)</f>
        <v/>
      </c>
      <c r="U233" s="3" t="inlineStr">
        <is>
          <t>25/05/2026 08:21:10</t>
        </is>
      </c>
    </row>
    <row r="234">
      <c r="A234" s="3" t="inlineStr">
        <is>
          <t>584187069600335590</t>
        </is>
      </c>
      <c r="B234" s="3" t="inlineStr">
        <is>
          <t>已发货</t>
        </is>
      </c>
      <c r="C234" s="3" t="inlineStr">
        <is>
          <t>C5s</t>
        </is>
      </c>
      <c r="D234" s="3" t="inlineStr">
        <is>
          <t>香辣味魔芋笋5小袋</t>
        </is>
      </c>
      <c r="E2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4" s="3" t="inlineStr">
        <is>
          <t>รสเผ็ดหอม​, *ชุดเล็ก 5 ซอง 100g</t>
        </is>
      </c>
      <c r="G234" s="6" t="n">
        <v>1</v>
      </c>
      <c r="H234" s="6" t="n">
        <v>47</v>
      </c>
      <c r="I234" s="6" t="n">
        <v>0</v>
      </c>
      <c r="J234" s="6" t="n">
        <v>35</v>
      </c>
      <c r="K234" s="6">
        <f>H234+I234</f>
        <v/>
      </c>
      <c r="L234" s="5">
        <f>K234/4.7</f>
        <v/>
      </c>
      <c r="M234" s="6" t="n">
        <v>3.35</v>
      </c>
      <c r="N234" s="6" t="n">
        <v>1</v>
      </c>
      <c r="O234" s="6">
        <f>(K234*0.1229+1.05)/4.7</f>
        <v/>
      </c>
      <c r="P234" s="6">
        <f>K234*0.0749/4.7</f>
        <v/>
      </c>
      <c r="Q234" s="5">
        <f>M234+N234+O234+P234</f>
        <v/>
      </c>
      <c r="R234" s="5">
        <f>L234-Q234</f>
        <v/>
      </c>
      <c r="S234" s="6">
        <f>R234*4.7</f>
        <v/>
      </c>
      <c r="T234" s="7">
        <f>IF(L234&gt;0,R234/L234,0)</f>
        <v/>
      </c>
      <c r="U234" s="3" t="inlineStr">
        <is>
          <t>25/05/2026 07:57:20</t>
        </is>
      </c>
    </row>
    <row r="235">
      <c r="A235" s="3" t="inlineStr">
        <is>
          <t>584186001777525838</t>
        </is>
      </c>
      <c r="B235" s="3" t="inlineStr">
        <is>
          <t>已取消</t>
        </is>
      </c>
      <c r="C235" s="3" t="inlineStr">
        <is>
          <t>C1</t>
        </is>
      </c>
      <c r="D235" s="3" t="inlineStr">
        <is>
          <t>魔芋笋1大袋</t>
        </is>
      </c>
      <c r="E2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5" s="3" t="inlineStr">
        <is>
          <t>รสเผ็ดหอม​, 10 ซอง 200g</t>
        </is>
      </c>
      <c r="G235" s="6" t="n">
        <v>1</v>
      </c>
      <c r="H235" s="6" t="n">
        <v>107</v>
      </c>
      <c r="I235" s="6" t="n">
        <v>0</v>
      </c>
      <c r="J235" s="6" t="n">
        <v>0</v>
      </c>
      <c r="K235" s="6">
        <f>H235+I235</f>
        <v/>
      </c>
      <c r="L235" s="5">
        <f>K235/4.7</f>
        <v/>
      </c>
      <c r="M235" s="6" t="n">
        <v>6.699999999999999</v>
      </c>
      <c r="N235" s="6" t="n">
        <v>1</v>
      </c>
      <c r="O235" s="6">
        <f>(K235*0.1229+1.05)/4.7</f>
        <v/>
      </c>
      <c r="P235" s="6">
        <f>K235*0.0749/4.7</f>
        <v/>
      </c>
      <c r="Q235" s="5">
        <f>M235+N235+O235+P235</f>
        <v/>
      </c>
      <c r="R235" s="5">
        <f>L235-Q235</f>
        <v/>
      </c>
      <c r="S235" s="6">
        <f>R235*4.7</f>
        <v/>
      </c>
      <c r="T235" s="7">
        <f>IF(L235&gt;0,R235/L235,0)</f>
        <v/>
      </c>
      <c r="U235" s="3" t="inlineStr">
        <is>
          <t>25/05/2026 06:00:41</t>
        </is>
      </c>
    </row>
    <row r="236">
      <c r="A236" s="3" t="inlineStr">
        <is>
          <t>584185974013920273</t>
        </is>
      </c>
      <c r="B236" s="3" t="inlineStr">
        <is>
          <t>已发货</t>
        </is>
      </c>
      <c r="C236" s="3" t="inlineStr">
        <is>
          <t>B1</t>
        </is>
      </c>
      <c r="D236" s="3" t="inlineStr">
        <is>
          <t>魔芋笋1大袋</t>
        </is>
      </c>
      <c r="E2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6" s="3" t="inlineStr">
        <is>
          <t>รสเปรี้ยวเผ็ด​, 10 ซอง 200g</t>
        </is>
      </c>
      <c r="G236" s="6" t="n">
        <v>1</v>
      </c>
      <c r="H236" s="6" t="n">
        <v>69</v>
      </c>
      <c r="I236" s="6" t="n">
        <v>0</v>
      </c>
      <c r="J236" s="6" t="n">
        <v>35</v>
      </c>
      <c r="K236" s="6">
        <f>H236+I236</f>
        <v/>
      </c>
      <c r="L236" s="5">
        <f>K236/4.7</f>
        <v/>
      </c>
      <c r="M236" s="6" t="n">
        <v>6.699999999999999</v>
      </c>
      <c r="N236" s="6" t="n">
        <v>1</v>
      </c>
      <c r="O236" s="6">
        <f>(K236*0.1229+1.05)/4.7</f>
        <v/>
      </c>
      <c r="P236" s="6">
        <f>K236*0.0749/4.7</f>
        <v/>
      </c>
      <c r="Q236" s="5">
        <f>M236+N236+O236+P236</f>
        <v/>
      </c>
      <c r="R236" s="5">
        <f>L236-Q236</f>
        <v/>
      </c>
      <c r="S236" s="6">
        <f>R236*4.7</f>
        <v/>
      </c>
      <c r="T236" s="7">
        <f>IF(L236&gt;0,R236/L236,0)</f>
        <v/>
      </c>
      <c r="U236" s="3" t="inlineStr">
        <is>
          <t>25/05/2026 05:57:43</t>
        </is>
      </c>
    </row>
    <row r="237">
      <c r="A237" s="3" t="inlineStr">
        <is>
          <t>584185909818722246</t>
        </is>
      </c>
      <c r="B237" s="3" t="inlineStr">
        <is>
          <t>已发货</t>
        </is>
      </c>
      <c r="C237" s="3" t="inlineStr">
        <is>
          <t>C2</t>
        </is>
      </c>
      <c r="D237" s="3" t="inlineStr">
        <is>
          <t>魔芋笋2大袋</t>
        </is>
      </c>
      <c r="E2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7" s="3" t="inlineStr">
        <is>
          <t>รสเผ็ดหอม​, 20 ซอง 400g</t>
        </is>
      </c>
      <c r="G237" s="6" t="n">
        <v>1</v>
      </c>
      <c r="H237" s="6" t="n">
        <v>94.62</v>
      </c>
      <c r="I237" s="6" t="n">
        <v>26.38</v>
      </c>
      <c r="J237" s="6" t="n">
        <v>38</v>
      </c>
      <c r="K237" s="6">
        <f>H237+I237</f>
        <v/>
      </c>
      <c r="L237" s="5">
        <f>K237/4.7</f>
        <v/>
      </c>
      <c r="M237" s="6" t="n">
        <v>13.4</v>
      </c>
      <c r="N237" s="6" t="n">
        <v>1</v>
      </c>
      <c r="O237" s="6">
        <f>(K237*0.1229+1.05)/4.7</f>
        <v/>
      </c>
      <c r="P237" s="6">
        <f>K237*0.0749/4.7</f>
        <v/>
      </c>
      <c r="Q237" s="5">
        <f>M237+N237+O237+P237</f>
        <v/>
      </c>
      <c r="R237" s="5">
        <f>L237-Q237</f>
        <v/>
      </c>
      <c r="S237" s="6">
        <f>R237*4.7</f>
        <v/>
      </c>
      <c r="T237" s="7">
        <f>IF(L237&gt;0,R237/L237,0)</f>
        <v/>
      </c>
      <c r="U237" s="3" t="inlineStr">
        <is>
          <t>25/05/2026 05:48:44</t>
        </is>
      </c>
    </row>
    <row r="238">
      <c r="A238" s="3" t="inlineStr">
        <is>
          <t>584185770064774354</t>
        </is>
      </c>
      <c r="B238" s="3" t="inlineStr">
        <is>
          <t>已发货</t>
        </is>
      </c>
      <c r="C238" s="3" t="inlineStr">
        <is>
          <t>C2</t>
        </is>
      </c>
      <c r="D238" s="3" t="inlineStr">
        <is>
          <t>魔芋笋2大袋</t>
        </is>
      </c>
      <c r="E2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8" s="3" t="inlineStr">
        <is>
          <t>รสเผ็ดหอม​, 20 ซอง 400g</t>
        </is>
      </c>
      <c r="G238" s="6" t="n">
        <v>1</v>
      </c>
      <c r="H238" s="6" t="n">
        <v>132</v>
      </c>
      <c r="I238" s="6" t="n">
        <v>0</v>
      </c>
      <c r="J238" s="6" t="n">
        <v>28</v>
      </c>
      <c r="K238" s="6">
        <f>H238+I238</f>
        <v/>
      </c>
      <c r="L238" s="5">
        <f>K238/4.7</f>
        <v/>
      </c>
      <c r="M238" s="6" t="n">
        <v>13.4</v>
      </c>
      <c r="N238" s="6" t="n">
        <v>1</v>
      </c>
      <c r="O238" s="6">
        <f>(K238*0.1229+1.05)/4.7</f>
        <v/>
      </c>
      <c r="P238" s="6">
        <f>K238*0.0749/4.7</f>
        <v/>
      </c>
      <c r="Q238" s="5">
        <f>M238+N238+O238+P238</f>
        <v/>
      </c>
      <c r="R238" s="5">
        <f>L238-Q238</f>
        <v/>
      </c>
      <c r="S238" s="6">
        <f>R238*4.7</f>
        <v/>
      </c>
      <c r="T238" s="7">
        <f>IF(L238&gt;0,R238/L238,0)</f>
        <v/>
      </c>
      <c r="U238" s="3" t="inlineStr">
        <is>
          <t>25/05/2026 05:22:39</t>
        </is>
      </c>
    </row>
    <row r="239">
      <c r="A239" s="3" t="inlineStr">
        <is>
          <t>584185580664227771</t>
        </is>
      </c>
      <c r="B239" s="3" t="inlineStr">
        <is>
          <t>已发货</t>
        </is>
      </c>
      <c r="C239" s="3" t="inlineStr">
        <is>
          <t>C1</t>
        </is>
      </c>
      <c r="D239" s="3" t="inlineStr">
        <is>
          <t>魔芋笋1大袋</t>
        </is>
      </c>
      <c r="E239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39" s="3" t="inlineStr">
        <is>
          <t>รสเผ็ดหอม​, 1pcs   200g</t>
        </is>
      </c>
      <c r="G239" s="6" t="n">
        <v>1</v>
      </c>
      <c r="H239" s="6" t="n">
        <v>60</v>
      </c>
      <c r="I239" s="6" t="n">
        <v>0</v>
      </c>
      <c r="J239" s="6" t="n">
        <v>38</v>
      </c>
      <c r="K239" s="6">
        <f>H239+I239</f>
        <v/>
      </c>
      <c r="L239" s="5">
        <f>K239/4.7</f>
        <v/>
      </c>
      <c r="M239" s="6" t="n">
        <v>6.699999999999999</v>
      </c>
      <c r="N239" s="6" t="n">
        <v>1</v>
      </c>
      <c r="O239" s="6">
        <f>(K239*0.1229+1.05)/4.7</f>
        <v/>
      </c>
      <c r="P239" s="6">
        <f>K239*0.0749/4.7</f>
        <v/>
      </c>
      <c r="Q239" s="5">
        <f>M239+N239+O239+P239</f>
        <v/>
      </c>
      <c r="R239" s="5">
        <f>L239-Q239</f>
        <v/>
      </c>
      <c r="S239" s="6">
        <f>R239*4.7</f>
        <v/>
      </c>
      <c r="T239" s="7">
        <f>IF(L239&gt;0,R239/L239,0)</f>
        <v/>
      </c>
      <c r="U239" s="3" t="inlineStr">
        <is>
          <t>25/05/2026 04:43:28</t>
        </is>
      </c>
    </row>
    <row r="240">
      <c r="A240" s="3" t="inlineStr">
        <is>
          <t>584185539508733897</t>
        </is>
      </c>
      <c r="B240" s="3" t="inlineStr">
        <is>
          <t>已发货</t>
        </is>
      </c>
      <c r="C240" s="3" t="inlineStr">
        <is>
          <t>C1</t>
        </is>
      </c>
      <c r="D240" s="3" t="inlineStr">
        <is>
          <t>魔芋笋1大袋</t>
        </is>
      </c>
      <c r="E2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0" s="3" t="inlineStr">
        <is>
          <t>รสเผ็ดหอม​, 10 ซอง 200g</t>
        </is>
      </c>
      <c r="G240" s="6" t="n">
        <v>1</v>
      </c>
      <c r="H240" s="6" t="n">
        <v>58.65</v>
      </c>
      <c r="I240" s="6" t="n">
        <v>10.35</v>
      </c>
      <c r="J240" s="6" t="n">
        <v>35</v>
      </c>
      <c r="K240" s="6">
        <f>H240+I240</f>
        <v/>
      </c>
      <c r="L240" s="5">
        <f>K240/4.7</f>
        <v/>
      </c>
      <c r="M240" s="6" t="n">
        <v>6.699999999999999</v>
      </c>
      <c r="N240" s="6" t="n">
        <v>1</v>
      </c>
      <c r="O240" s="6">
        <f>(K240*0.1229+1.05)/4.7</f>
        <v/>
      </c>
      <c r="P240" s="6">
        <f>K240*0.0749/4.7</f>
        <v/>
      </c>
      <c r="Q240" s="5">
        <f>M240+N240+O240+P240</f>
        <v/>
      </c>
      <c r="R240" s="5">
        <f>L240-Q240</f>
        <v/>
      </c>
      <c r="S240" s="6">
        <f>R240*4.7</f>
        <v/>
      </c>
      <c r="T240" s="7">
        <f>IF(L240&gt;0,R240/L240,0)</f>
        <v/>
      </c>
      <c r="U240" s="3" t="inlineStr">
        <is>
          <t>25/05/2026 04:33:50</t>
        </is>
      </c>
    </row>
    <row r="241">
      <c r="A241" s="3" t="inlineStr">
        <is>
          <t>584184998829131029</t>
        </is>
      </c>
      <c r="B241" s="3" t="inlineStr">
        <is>
          <t>已发货</t>
        </is>
      </c>
      <c r="C241" s="3" t="inlineStr">
        <is>
          <t>C5s</t>
        </is>
      </c>
      <c r="D241" s="3" t="inlineStr">
        <is>
          <t>香辣味魔芋笋5小袋</t>
        </is>
      </c>
      <c r="E2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1" s="3" t="inlineStr">
        <is>
          <t>รสเผ็ดหอม​, *ชุดเล็ก 5 ซอง 100g</t>
        </is>
      </c>
      <c r="G241" s="6" t="n">
        <v>4</v>
      </c>
      <c r="H241" s="6" t="n">
        <v>183</v>
      </c>
      <c r="I241" s="6" t="n">
        <v>0</v>
      </c>
      <c r="J241" s="6" t="n">
        <v>49</v>
      </c>
      <c r="K241" s="6">
        <f>H241+I241</f>
        <v/>
      </c>
      <c r="L241" s="5">
        <f>K241/4.7</f>
        <v/>
      </c>
      <c r="M241" s="6" t="n">
        <v>13.4</v>
      </c>
      <c r="N241" s="6" t="n">
        <v>1</v>
      </c>
      <c r="O241" s="6">
        <f>(K241*0.1229+1.05)/4.7</f>
        <v/>
      </c>
      <c r="P241" s="6">
        <f>K241*0.0749/4.7</f>
        <v/>
      </c>
      <c r="Q241" s="5">
        <f>M241+N241+O241+P241</f>
        <v/>
      </c>
      <c r="R241" s="5">
        <f>L241-Q241</f>
        <v/>
      </c>
      <c r="S241" s="6">
        <f>R241*4.7</f>
        <v/>
      </c>
      <c r="T241" s="7">
        <f>IF(L241&gt;0,R241/L241,0)</f>
        <v/>
      </c>
      <c r="U241" s="3" t="inlineStr">
        <is>
          <t>25/05/2026 01:58:07</t>
        </is>
      </c>
    </row>
    <row r="242">
      <c r="A242" s="3" t="inlineStr">
        <is>
          <t>584184654592902831</t>
        </is>
      </c>
      <c r="B242" s="3" t="inlineStr">
        <is>
          <t>已发货</t>
        </is>
      </c>
      <c r="C242" s="3" t="inlineStr">
        <is>
          <t>C5s</t>
        </is>
      </c>
      <c r="D242" s="3" t="inlineStr">
        <is>
          <t>香辣味魔芋笋5小袋</t>
        </is>
      </c>
      <c r="E2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2" s="3" t="inlineStr">
        <is>
          <t>รสเผ็ดหอม​, *ชุดเล็ก 5 ซอง 100g</t>
        </is>
      </c>
      <c r="G242" s="6" t="n">
        <v>1</v>
      </c>
      <c r="H242" s="6" t="n">
        <v>47</v>
      </c>
      <c r="I242" s="6" t="n">
        <v>0</v>
      </c>
      <c r="J242" s="6" t="n">
        <v>38</v>
      </c>
      <c r="K242" s="6">
        <f>H242+I242</f>
        <v/>
      </c>
      <c r="L242" s="5">
        <f>K242/4.7</f>
        <v/>
      </c>
      <c r="M242" s="6" t="n">
        <v>3.35</v>
      </c>
      <c r="N242" s="6" t="n">
        <v>1</v>
      </c>
      <c r="O242" s="6">
        <f>(K242*0.1229+1.05)/4.7</f>
        <v/>
      </c>
      <c r="P242" s="6">
        <f>K242*0.0749/4.7</f>
        <v/>
      </c>
      <c r="Q242" s="5">
        <f>M242+N242+O242+P242</f>
        <v/>
      </c>
      <c r="R242" s="5">
        <f>L242-Q242</f>
        <v/>
      </c>
      <c r="S242" s="6">
        <f>R242*4.7</f>
        <v/>
      </c>
      <c r="T242" s="7">
        <f>IF(L242&gt;0,R242/L242,0)</f>
        <v/>
      </c>
      <c r="U242" s="3" t="inlineStr">
        <is>
          <t>25/05/2026 00:54:35</t>
        </is>
      </c>
    </row>
    <row r="243">
      <c r="A243" s="3" t="inlineStr">
        <is>
          <t>584184460027463388</t>
        </is>
      </c>
      <c r="B243" s="3" t="inlineStr">
        <is>
          <t>已发货</t>
        </is>
      </c>
      <c r="C243" s="3" t="inlineStr">
        <is>
          <t>C2</t>
        </is>
      </c>
      <c r="D243" s="3" t="inlineStr">
        <is>
          <t>魔芋笋2大袋</t>
        </is>
      </c>
      <c r="E2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3" s="3" t="inlineStr">
        <is>
          <t>รสเผ็ดหอม​, 20 ซอง 400g</t>
        </is>
      </c>
      <c r="G243" s="6" t="n">
        <v>1</v>
      </c>
      <c r="H243" s="6" t="n">
        <v>102</v>
      </c>
      <c r="I243" s="6" t="n">
        <v>18</v>
      </c>
      <c r="J243" s="6" t="n">
        <v>38</v>
      </c>
      <c r="K243" s="6">
        <f>H243+I243</f>
        <v/>
      </c>
      <c r="L243" s="5">
        <f>K243/4.7</f>
        <v/>
      </c>
      <c r="M243" s="6" t="n">
        <v>13.4</v>
      </c>
      <c r="N243" s="6" t="n">
        <v>1</v>
      </c>
      <c r="O243" s="6">
        <f>(K243*0.1229+1.05)/4.7</f>
        <v/>
      </c>
      <c r="P243" s="6">
        <f>K243*0.0749/4.7</f>
        <v/>
      </c>
      <c r="Q243" s="5">
        <f>M243+N243+O243+P243</f>
        <v/>
      </c>
      <c r="R243" s="5">
        <f>L243-Q243</f>
        <v/>
      </c>
      <c r="S243" s="6">
        <f>R243*4.7</f>
        <v/>
      </c>
      <c r="T243" s="7">
        <f>IF(L243&gt;0,R243/L243,0)</f>
        <v/>
      </c>
      <c r="U243" s="3" t="inlineStr">
        <is>
          <t>25/05/2026 00:25:42</t>
        </is>
      </c>
    </row>
    <row r="244">
      <c r="A244" s="3" t="inlineStr">
        <is>
          <t>584184260981983132</t>
        </is>
      </c>
      <c r="B244" s="3" t="inlineStr">
        <is>
          <t>已发货</t>
        </is>
      </c>
      <c r="C244" s="3" t="inlineStr">
        <is>
          <t>C2</t>
        </is>
      </c>
      <c r="D244" s="3" t="inlineStr">
        <is>
          <t>魔芋笋2大袋</t>
        </is>
      </c>
      <c r="E2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4" s="3" t="inlineStr">
        <is>
          <t>รสเผ็ดหอม​, 20 ซอง 400g</t>
        </is>
      </c>
      <c r="G244" s="6" t="n">
        <v>1</v>
      </c>
      <c r="H244" s="6" t="n">
        <v>160</v>
      </c>
      <c r="I244" s="6" t="n">
        <v>0</v>
      </c>
      <c r="J244" s="6" t="n">
        <v>0</v>
      </c>
      <c r="K244" s="6">
        <f>H244+I244</f>
        <v/>
      </c>
      <c r="L244" s="5">
        <f>K244/4.7</f>
        <v/>
      </c>
      <c r="M244" s="6" t="n">
        <v>13.4</v>
      </c>
      <c r="N244" s="6" t="n">
        <v>1</v>
      </c>
      <c r="O244" s="6">
        <f>(K244*0.1229+1.05)/4.7</f>
        <v/>
      </c>
      <c r="P244" s="6">
        <f>K244*0.0749/4.7</f>
        <v/>
      </c>
      <c r="Q244" s="5">
        <f>M244+N244+O244+P244</f>
        <v/>
      </c>
      <c r="R244" s="5">
        <f>L244-Q244</f>
        <v/>
      </c>
      <c r="S244" s="6">
        <f>R244*4.7</f>
        <v/>
      </c>
      <c r="T244" s="7">
        <f>IF(L244&gt;0,R244/L244,0)</f>
        <v/>
      </c>
      <c r="U244" s="3" t="inlineStr">
        <is>
          <t>25/05/2026 00:02:28</t>
        </is>
      </c>
    </row>
    <row r="245">
      <c r="A245" s="3" t="inlineStr">
        <is>
          <t>584184160421250158</t>
        </is>
      </c>
      <c r="B245" s="3" t="inlineStr">
        <is>
          <t>已发货</t>
        </is>
      </c>
      <c r="C245" s="3" t="inlineStr">
        <is>
          <t>B5s</t>
        </is>
      </c>
      <c r="D245" s="3" t="inlineStr">
        <is>
          <t>酸辣味5小袋</t>
        </is>
      </c>
      <c r="E2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5" s="3" t="inlineStr">
        <is>
          <t>รสเปรี้ยวเผ็ด​, *ชุดเล็ก 5 ซอง 100g</t>
        </is>
      </c>
      <c r="G245" s="6" t="n">
        <v>1</v>
      </c>
      <c r="H245" s="6" t="n">
        <v>47</v>
      </c>
      <c r="I245" s="6" t="n">
        <v>0</v>
      </c>
      <c r="J245" s="6" t="n">
        <v>38</v>
      </c>
      <c r="K245" s="6">
        <f>H245+I245</f>
        <v/>
      </c>
      <c r="L245" s="5">
        <f>K245/4.7</f>
        <v/>
      </c>
      <c r="M245" s="6" t="n">
        <v>3.35</v>
      </c>
      <c r="N245" s="6" t="n">
        <v>1</v>
      </c>
      <c r="O245" s="6">
        <f>(K245*0.1229+1.05)/4.7</f>
        <v/>
      </c>
      <c r="P245" s="6">
        <f>K245*0.0749/4.7</f>
        <v/>
      </c>
      <c r="Q245" s="5">
        <f>M245+N245+O245+P245</f>
        <v/>
      </c>
      <c r="R245" s="5">
        <f>L245-Q245</f>
        <v/>
      </c>
      <c r="S245" s="6">
        <f>R245*4.7</f>
        <v/>
      </c>
      <c r="T245" s="7">
        <f>IF(L245&gt;0,R245/L245,0)</f>
        <v/>
      </c>
      <c r="U245" s="3" t="inlineStr">
        <is>
          <t>24/05/2026 23:49:01</t>
        </is>
      </c>
    </row>
    <row r="246">
      <c r="A246" s="3" t="inlineStr">
        <is>
          <t>584184120254825582</t>
        </is>
      </c>
      <c r="B246" s="3" t="inlineStr">
        <is>
          <t>已发货</t>
        </is>
      </c>
      <c r="C246" s="3" t="inlineStr">
        <is>
          <t>C5s</t>
        </is>
      </c>
      <c r="D246" s="3" t="inlineStr">
        <is>
          <t>香辣味魔芋笋5小袋</t>
        </is>
      </c>
      <c r="E2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6" s="3" t="inlineStr">
        <is>
          <t>รสเผ็ดหอม​, *ชุดเล็ก 5 ซอง 100g</t>
        </is>
      </c>
      <c r="G246" s="6" t="n">
        <v>1</v>
      </c>
      <c r="H246" s="6" t="n">
        <v>47</v>
      </c>
      <c r="I246" s="6" t="n">
        <v>0</v>
      </c>
      <c r="J246" s="6" t="n">
        <v>38</v>
      </c>
      <c r="K246" s="6">
        <f>H246+I246</f>
        <v/>
      </c>
      <c r="L246" s="5">
        <f>K246/4.7</f>
        <v/>
      </c>
      <c r="M246" s="6" t="n">
        <v>3.35</v>
      </c>
      <c r="N246" s="6" t="n">
        <v>1</v>
      </c>
      <c r="O246" s="6">
        <f>(K246*0.1229+1.05)/4.7</f>
        <v/>
      </c>
      <c r="P246" s="6">
        <f>K246*0.0749/4.7</f>
        <v/>
      </c>
      <c r="Q246" s="5">
        <f>M246+N246+O246+P246</f>
        <v/>
      </c>
      <c r="R246" s="5">
        <f>L246-Q246</f>
        <v/>
      </c>
      <c r="S246" s="6">
        <f>R246*4.7</f>
        <v/>
      </c>
      <c r="T246" s="7">
        <f>IF(L246&gt;0,R246/L246,0)</f>
        <v/>
      </c>
      <c r="U246" s="3" t="inlineStr">
        <is>
          <t>24/05/2026 23:48:45</t>
        </is>
      </c>
    </row>
    <row r="247">
      <c r="A247" s="3" t="inlineStr">
        <is>
          <t>584183941789091819</t>
        </is>
      </c>
      <c r="B247" s="3" t="inlineStr">
        <is>
          <t>已发货</t>
        </is>
      </c>
      <c r="C247" s="3" t="inlineStr">
        <is>
          <t>C2</t>
        </is>
      </c>
      <c r="D247" s="3" t="inlineStr">
        <is>
          <t>魔芋笋2大袋</t>
        </is>
      </c>
      <c r="E2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7" s="3" t="inlineStr">
        <is>
          <t>รสเผ็ดหอม​, 20 ซอง 400g</t>
        </is>
      </c>
      <c r="G247" s="6" t="n">
        <v>1</v>
      </c>
      <c r="H247" s="6" t="n">
        <v>125</v>
      </c>
      <c r="I247" s="6" t="n">
        <v>0</v>
      </c>
      <c r="J247" s="6" t="n">
        <v>38</v>
      </c>
      <c r="K247" s="6">
        <f>H247+I247</f>
        <v/>
      </c>
      <c r="L247" s="5">
        <f>K247/4.7</f>
        <v/>
      </c>
      <c r="M247" s="6" t="n">
        <v>13.4</v>
      </c>
      <c r="N247" s="6" t="n">
        <v>1</v>
      </c>
      <c r="O247" s="6">
        <f>(K247*0.1229+1.05)/4.7</f>
        <v/>
      </c>
      <c r="P247" s="6">
        <f>K247*0.0749/4.7</f>
        <v/>
      </c>
      <c r="Q247" s="5">
        <f>M247+N247+O247+P247</f>
        <v/>
      </c>
      <c r="R247" s="5">
        <f>L247-Q247</f>
        <v/>
      </c>
      <c r="S247" s="6">
        <f>R247*4.7</f>
        <v/>
      </c>
      <c r="T247" s="7">
        <f>IF(L247&gt;0,R247/L247,0)</f>
        <v/>
      </c>
      <c r="U247" s="3" t="inlineStr">
        <is>
          <t>24/05/2026 23:30:25</t>
        </is>
      </c>
    </row>
    <row r="248">
      <c r="A248" s="3" t="inlineStr">
        <is>
          <t>584183904975226542</t>
        </is>
      </c>
      <c r="B248" s="3" t="inlineStr">
        <is>
          <t>已发货</t>
        </is>
      </c>
      <c r="C248" s="3" t="inlineStr">
        <is>
          <t>C2</t>
        </is>
      </c>
      <c r="D248" s="3" t="inlineStr">
        <is>
          <t>魔芋笋2大袋</t>
        </is>
      </c>
      <c r="E248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48" s="3" t="inlineStr">
        <is>
          <t>รสเผ็ดหอม​, 2pcs  400g</t>
        </is>
      </c>
      <c r="G248" s="6" t="n">
        <v>1</v>
      </c>
      <c r="H248" s="6" t="n">
        <v>101.7</v>
      </c>
      <c r="I248" s="6" t="n">
        <v>11.3</v>
      </c>
      <c r="J248" s="6" t="n">
        <v>38</v>
      </c>
      <c r="K248" s="6">
        <f>H248+I248</f>
        <v/>
      </c>
      <c r="L248" s="5">
        <f>K248/4.7</f>
        <v/>
      </c>
      <c r="M248" s="6" t="n">
        <v>13.4</v>
      </c>
      <c r="N248" s="6" t="n">
        <v>1</v>
      </c>
      <c r="O248" s="6">
        <f>(K248*0.1229+1.05)/4.7</f>
        <v/>
      </c>
      <c r="P248" s="6">
        <f>K248*0.0749/4.7</f>
        <v/>
      </c>
      <c r="Q248" s="5">
        <f>M248+N248+O248+P248</f>
        <v/>
      </c>
      <c r="R248" s="5">
        <f>L248-Q248</f>
        <v/>
      </c>
      <c r="S248" s="6">
        <f>R248*4.7</f>
        <v/>
      </c>
      <c r="T248" s="7">
        <f>IF(L248&gt;0,R248/L248,0)</f>
        <v/>
      </c>
      <c r="U248" s="3" t="inlineStr">
        <is>
          <t>24/05/2026 23:27:18</t>
        </is>
      </c>
    </row>
    <row r="249">
      <c r="A249" s="3" t="inlineStr">
        <is>
          <t>584183771912636342</t>
        </is>
      </c>
      <c r="B249" s="3" t="inlineStr">
        <is>
          <t>已发货</t>
        </is>
      </c>
      <c r="C249" s="3" t="inlineStr">
        <is>
          <t>A1</t>
        </is>
      </c>
      <c r="D249" s="3" t="inlineStr">
        <is>
          <t>魔芋干1包</t>
        </is>
      </c>
      <c r="E249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49" s="3" t="inlineStr">
        <is>
          <t>10 ซอง 100g</t>
        </is>
      </c>
      <c r="G249" s="6" t="n">
        <v>3</v>
      </c>
      <c r="H249" s="6" t="n">
        <v>159</v>
      </c>
      <c r="I249" s="6" t="n">
        <v>0</v>
      </c>
      <c r="J249" s="6" t="n">
        <v>29</v>
      </c>
      <c r="K249" s="6">
        <f>H249+I249</f>
        <v/>
      </c>
      <c r="L249" s="5">
        <f>K249/4.7</f>
        <v/>
      </c>
      <c r="M249" s="6" t="n">
        <v>18.3</v>
      </c>
      <c r="N249" s="6" t="n">
        <v>0.5</v>
      </c>
      <c r="O249" s="6">
        <f>(K249*0.1229+1.05)/4.7</f>
        <v/>
      </c>
      <c r="P249" s="6">
        <f>K249*0.0749/4.7</f>
        <v/>
      </c>
      <c r="Q249" s="5">
        <f>M249+N249+O249+P249</f>
        <v/>
      </c>
      <c r="R249" s="5">
        <f>L249-Q249</f>
        <v/>
      </c>
      <c r="S249" s="6">
        <f>R249*4.7</f>
        <v/>
      </c>
      <c r="T249" s="7">
        <f>IF(L249&gt;0,R249/L249,0)</f>
        <v/>
      </c>
      <c r="U249" s="3" t="inlineStr">
        <is>
          <t>24/05/2026 23:10:45</t>
        </is>
      </c>
    </row>
    <row r="250">
      <c r="A250" s="3" t="inlineStr">
        <is>
          <t>584183730408883939</t>
        </is>
      </c>
      <c r="B250" s="3" t="inlineStr">
        <is>
          <t>已发货</t>
        </is>
      </c>
      <c r="C250" s="3" t="inlineStr">
        <is>
          <t>C1</t>
        </is>
      </c>
      <c r="D250" s="3" t="inlineStr">
        <is>
          <t>魔芋笋1大袋</t>
        </is>
      </c>
      <c r="E2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0" s="3" t="inlineStr">
        <is>
          <t>รสเผ็ดหอม​, 10 ซอง 200g</t>
        </is>
      </c>
      <c r="G250" s="6" t="n">
        <v>1</v>
      </c>
      <c r="H250" s="6" t="n">
        <v>69</v>
      </c>
      <c r="I250" s="6" t="n">
        <v>0</v>
      </c>
      <c r="J250" s="6" t="n">
        <v>38</v>
      </c>
      <c r="K250" s="6">
        <f>H250+I250</f>
        <v/>
      </c>
      <c r="L250" s="5">
        <f>K250/4.7</f>
        <v/>
      </c>
      <c r="M250" s="6" t="n">
        <v>6.699999999999999</v>
      </c>
      <c r="N250" s="6" t="n">
        <v>1</v>
      </c>
      <c r="O250" s="6">
        <f>(K250*0.1229+1.05)/4.7</f>
        <v/>
      </c>
      <c r="P250" s="6">
        <f>K250*0.0749/4.7</f>
        <v/>
      </c>
      <c r="Q250" s="5">
        <f>M250+N250+O250+P250</f>
        <v/>
      </c>
      <c r="R250" s="5">
        <f>L250-Q250</f>
        <v/>
      </c>
      <c r="S250" s="6">
        <f>R250*4.7</f>
        <v/>
      </c>
      <c r="T250" s="7">
        <f>IF(L250&gt;0,R250/L250,0)</f>
        <v/>
      </c>
      <c r="U250" s="3" t="inlineStr">
        <is>
          <t>24/05/2026 23:01:23</t>
        </is>
      </c>
    </row>
    <row r="251">
      <c r="A251" s="3" t="inlineStr">
        <is>
          <t>584183001065489713</t>
        </is>
      </c>
      <c r="B251" s="3" t="inlineStr">
        <is>
          <t>已发货</t>
        </is>
      </c>
      <c r="C251" s="3" t="inlineStr">
        <is>
          <t>B3</t>
        </is>
      </c>
      <c r="D251" s="3" t="inlineStr">
        <is>
          <t>魔芋笋3大袋</t>
        </is>
      </c>
      <c r="E2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1" s="3" t="inlineStr">
        <is>
          <t>รสเปรี้ยวเผ็ด​, 30 ซอง 600g</t>
        </is>
      </c>
      <c r="G251" s="6" t="n">
        <v>3</v>
      </c>
      <c r="H251" s="6" t="n">
        <v>516</v>
      </c>
      <c r="I251" s="6" t="n">
        <v>0</v>
      </c>
      <c r="J251" s="6" t="n">
        <v>48</v>
      </c>
      <c r="K251" s="6">
        <f>H251+I251</f>
        <v/>
      </c>
      <c r="L251" s="5">
        <f>K251/4.7</f>
        <v/>
      </c>
      <c r="M251" s="6" t="n">
        <v>60.3</v>
      </c>
      <c r="N251" s="6" t="n">
        <v>1</v>
      </c>
      <c r="O251" s="6">
        <f>(K251*0.1229+1.05)/4.7</f>
        <v/>
      </c>
      <c r="P251" s="6">
        <f>K251*0.0749/4.7</f>
        <v/>
      </c>
      <c r="Q251" s="5">
        <f>M251+N251+O251+P251</f>
        <v/>
      </c>
      <c r="R251" s="5">
        <f>L251-Q251</f>
        <v/>
      </c>
      <c r="S251" s="6">
        <f>R251*4.7</f>
        <v/>
      </c>
      <c r="T251" s="7">
        <f>IF(L251&gt;0,R251/L251,0)</f>
        <v/>
      </c>
      <c r="U251" s="3" t="inlineStr">
        <is>
          <t>24/05/2026 22:10:29</t>
        </is>
      </c>
    </row>
    <row r="252">
      <c r="A252" s="3" t="inlineStr">
        <is>
          <t>584182316513592373</t>
        </is>
      </c>
      <c r="B252" s="3" t="inlineStr">
        <is>
          <t>已发货</t>
        </is>
      </c>
      <c r="C252" s="3" t="inlineStr">
        <is>
          <t>CK</t>
        </is>
      </c>
      <c r="D252" s="3" t="inlineStr">
        <is>
          <t>黑松露黑麦苏打饼干</t>
        </is>
      </c>
      <c r="E25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52" s="3" t="inlineStr">
        <is>
          <t>ค่าเริ่มต้น</t>
        </is>
      </c>
      <c r="G252" s="6" t="n">
        <v>1</v>
      </c>
      <c r="H252" s="6" t="n">
        <v>105</v>
      </c>
      <c r="I252" s="6" t="n">
        <v>0</v>
      </c>
      <c r="J252" s="6" t="n">
        <v>38</v>
      </c>
      <c r="K252" s="6">
        <f>H252+I252</f>
        <v/>
      </c>
      <c r="L252" s="5">
        <f>K252/4.7</f>
        <v/>
      </c>
      <c r="M252" s="6" t="n">
        <v>10.72665050209467</v>
      </c>
      <c r="N252" s="6" t="n">
        <v>1</v>
      </c>
      <c r="O252" s="6">
        <f>(K252*0.1229+1.05)/4.7</f>
        <v/>
      </c>
      <c r="P252" s="6">
        <f>K252*0.0749/4.7</f>
        <v/>
      </c>
      <c r="Q252" s="5">
        <f>M252+N252+O252+P252</f>
        <v/>
      </c>
      <c r="R252" s="5">
        <f>L252-Q252</f>
        <v/>
      </c>
      <c r="S252" s="6">
        <f>R252*4.7</f>
        <v/>
      </c>
      <c r="T252" s="7">
        <f>IF(L252&gt;0,R252/L252,0)</f>
        <v/>
      </c>
      <c r="U252" s="3" t="inlineStr">
        <is>
          <t>24/05/2026 21:28:35</t>
        </is>
      </c>
    </row>
    <row r="253">
      <c r="A253" s="3" t="inlineStr">
        <is>
          <t>584181829610865870</t>
        </is>
      </c>
      <c r="B253" s="3" t="inlineStr">
        <is>
          <t>已发货</t>
        </is>
      </c>
      <c r="C253" s="3" t="inlineStr">
        <is>
          <t>B1</t>
        </is>
      </c>
      <c r="D253" s="3" t="inlineStr">
        <is>
          <t>魔芋笋1大袋</t>
        </is>
      </c>
      <c r="E2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3" s="3" t="inlineStr">
        <is>
          <t>รสเปรี้ยวเผ็ด​, 10 ซอง 200g</t>
        </is>
      </c>
      <c r="G253" s="6" t="n">
        <v>1</v>
      </c>
      <c r="H253" s="6" t="n">
        <v>69</v>
      </c>
      <c r="I253" s="6" t="n">
        <v>0</v>
      </c>
      <c r="J253" s="6" t="n">
        <v>38</v>
      </c>
      <c r="K253" s="6">
        <f>H253+I253</f>
        <v/>
      </c>
      <c r="L253" s="5">
        <f>K253/4.7</f>
        <v/>
      </c>
      <c r="M253" s="6" t="n">
        <v>6.699999999999999</v>
      </c>
      <c r="N253" s="6" t="n">
        <v>1</v>
      </c>
      <c r="O253" s="6">
        <f>(K253*0.1229+1.05)/4.7</f>
        <v/>
      </c>
      <c r="P253" s="6">
        <f>K253*0.0749/4.7</f>
        <v/>
      </c>
      <c r="Q253" s="5">
        <f>M253+N253+O253+P253</f>
        <v/>
      </c>
      <c r="R253" s="5">
        <f>L253-Q253</f>
        <v/>
      </c>
      <c r="S253" s="6">
        <f>R253*4.7</f>
        <v/>
      </c>
      <c r="T253" s="7">
        <f>IF(L253&gt;0,R253/L253,0)</f>
        <v/>
      </c>
      <c r="U253" s="3" t="inlineStr">
        <is>
          <t>24/05/2026 20:58:34</t>
        </is>
      </c>
    </row>
    <row r="254">
      <c r="A254" s="3" t="inlineStr">
        <is>
          <t>584180700460385642</t>
        </is>
      </c>
      <c r="B254" s="3" t="inlineStr">
        <is>
          <t>已发货</t>
        </is>
      </c>
      <c r="C254" s="3" t="inlineStr">
        <is>
          <t>C5s</t>
        </is>
      </c>
      <c r="D254" s="3" t="inlineStr">
        <is>
          <t>香辣味魔芋笋5小袋</t>
        </is>
      </c>
      <c r="E2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4" s="3" t="inlineStr">
        <is>
          <t>รสเผ็ดหอม​, *ชุดเล็ก 5 ซอง 100g</t>
        </is>
      </c>
      <c r="G254" s="6" t="n">
        <v>1</v>
      </c>
      <c r="H254" s="6" t="n">
        <v>47</v>
      </c>
      <c r="I254" s="6" t="n">
        <v>0</v>
      </c>
      <c r="J254" s="6" t="n">
        <v>38</v>
      </c>
      <c r="K254" s="6">
        <f>H254+I254</f>
        <v/>
      </c>
      <c r="L254" s="5">
        <f>K254/4.7</f>
        <v/>
      </c>
      <c r="M254" s="6" t="n">
        <v>3.35</v>
      </c>
      <c r="N254" s="6" t="n">
        <v>1</v>
      </c>
      <c r="O254" s="6">
        <f>(K254*0.1229+1.05)/4.7</f>
        <v/>
      </c>
      <c r="P254" s="6">
        <f>K254*0.0749/4.7</f>
        <v/>
      </c>
      <c r="Q254" s="5">
        <f>M254+N254+O254+P254</f>
        <v/>
      </c>
      <c r="R254" s="5">
        <f>L254-Q254</f>
        <v/>
      </c>
      <c r="S254" s="6">
        <f>R254*4.7</f>
        <v/>
      </c>
      <c r="T254" s="7">
        <f>IF(L254&gt;0,R254/L254,0)</f>
        <v/>
      </c>
      <c r="U254" s="3" t="inlineStr">
        <is>
          <t>24/05/2026 19:48:18</t>
        </is>
      </c>
    </row>
    <row r="255">
      <c r="A255" s="3" t="inlineStr">
        <is>
          <t>584180652901762824</t>
        </is>
      </c>
      <c r="B255" s="3" t="inlineStr">
        <is>
          <t>已发货</t>
        </is>
      </c>
      <c r="C255" s="3" t="inlineStr">
        <is>
          <t>B1</t>
        </is>
      </c>
      <c r="D255" s="3" t="inlineStr">
        <is>
          <t>魔芋笋1大袋</t>
        </is>
      </c>
      <c r="E255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55" s="3" t="inlineStr">
        <is>
          <t>รสเปรี้ยวเผ็ด​, 1pcs   200g</t>
        </is>
      </c>
      <c r="G255" s="6" t="n">
        <v>1</v>
      </c>
      <c r="H255" s="6" t="n">
        <v>60</v>
      </c>
      <c r="I255" s="6" t="n">
        <v>0</v>
      </c>
      <c r="J255" s="6" t="n">
        <v>38</v>
      </c>
      <c r="K255" s="6">
        <f>H255+I255</f>
        <v/>
      </c>
      <c r="L255" s="5">
        <f>K255/4.7</f>
        <v/>
      </c>
      <c r="M255" s="6" t="n">
        <v>6.699999999999999</v>
      </c>
      <c r="N255" s="6" t="n">
        <v>1</v>
      </c>
      <c r="O255" s="6">
        <f>(K255*0.1229+1.05)/4.7</f>
        <v/>
      </c>
      <c r="P255" s="6">
        <f>K255*0.0749/4.7</f>
        <v/>
      </c>
      <c r="Q255" s="5">
        <f>M255+N255+O255+P255</f>
        <v/>
      </c>
      <c r="R255" s="5">
        <f>L255-Q255</f>
        <v/>
      </c>
      <c r="S255" s="6">
        <f>R255*4.7</f>
        <v/>
      </c>
      <c r="T255" s="7">
        <f>IF(L255&gt;0,R255/L255,0)</f>
        <v/>
      </c>
      <c r="U255" s="3" t="inlineStr">
        <is>
          <t>24/05/2026 19:45:41</t>
        </is>
      </c>
    </row>
    <row r="256">
      <c r="A256" s="3" t="inlineStr">
        <is>
          <t>584179146785588787</t>
        </is>
      </c>
      <c r="B256" s="3" t="inlineStr">
        <is>
          <t>已发货</t>
        </is>
      </c>
      <c r="C256" s="3" t="inlineStr">
        <is>
          <t>C1</t>
        </is>
      </c>
      <c r="D256" s="3" t="inlineStr">
        <is>
          <t>魔芋笋1大袋</t>
        </is>
      </c>
      <c r="E2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6" s="3" t="inlineStr">
        <is>
          <t>รสเผ็ดหอม​, 10 ซอง 200g</t>
        </is>
      </c>
      <c r="G256" s="6" t="n">
        <v>1</v>
      </c>
      <c r="H256" s="6" t="n">
        <v>69</v>
      </c>
      <c r="I256" s="6" t="n">
        <v>0</v>
      </c>
      <c r="J256" s="6" t="n">
        <v>38</v>
      </c>
      <c r="K256" s="6">
        <f>H256+I256</f>
        <v/>
      </c>
      <c r="L256" s="5">
        <f>K256/4.7</f>
        <v/>
      </c>
      <c r="M256" s="6" t="n">
        <v>6.699999999999999</v>
      </c>
      <c r="N256" s="6" t="n">
        <v>1</v>
      </c>
      <c r="O256" s="6">
        <f>(K256*0.1229+1.05)/4.7</f>
        <v/>
      </c>
      <c r="P256" s="6">
        <f>K256*0.0749/4.7</f>
        <v/>
      </c>
      <c r="Q256" s="5">
        <f>M256+N256+O256+P256</f>
        <v/>
      </c>
      <c r="R256" s="5">
        <f>L256-Q256</f>
        <v/>
      </c>
      <c r="S256" s="6">
        <f>R256*4.7</f>
        <v/>
      </c>
      <c r="T256" s="7">
        <f>IF(L256&gt;0,R256/L256,0)</f>
        <v/>
      </c>
      <c r="U256" s="3" t="inlineStr">
        <is>
          <t>24/05/2026 17:59:09</t>
        </is>
      </c>
    </row>
    <row r="257">
      <c r="A257" s="3" t="inlineStr">
        <is>
          <t>584178881822426477</t>
        </is>
      </c>
      <c r="B257" s="3" t="inlineStr">
        <is>
          <t>已发货</t>
        </is>
      </c>
      <c r="C257" s="3" t="inlineStr">
        <is>
          <t>C5s</t>
        </is>
      </c>
      <c r="D257" s="3" t="inlineStr">
        <is>
          <t>香辣味魔芋笋5小袋</t>
        </is>
      </c>
      <c r="E2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7" s="3" t="inlineStr">
        <is>
          <t>รสเผ็ดหอม​, *ชุดเล็ก 5 ซอง 100g</t>
        </is>
      </c>
      <c r="G257" s="6" t="n">
        <v>1</v>
      </c>
      <c r="H257" s="6" t="n">
        <v>47</v>
      </c>
      <c r="I257" s="6" t="n">
        <v>0</v>
      </c>
      <c r="J257" s="6" t="n">
        <v>38</v>
      </c>
      <c r="K257" s="6">
        <f>H257+I257</f>
        <v/>
      </c>
      <c r="L257" s="5">
        <f>K257/4.7</f>
        <v/>
      </c>
      <c r="M257" s="6" t="n">
        <v>3.35</v>
      </c>
      <c r="N257" s="6" t="n">
        <v>1</v>
      </c>
      <c r="O257" s="6">
        <f>(K257*0.1229+1.05)/4.7</f>
        <v/>
      </c>
      <c r="P257" s="6">
        <f>K257*0.0749/4.7</f>
        <v/>
      </c>
      <c r="Q257" s="5">
        <f>M257+N257+O257+P257</f>
        <v/>
      </c>
      <c r="R257" s="5">
        <f>L257-Q257</f>
        <v/>
      </c>
      <c r="S257" s="6">
        <f>R257*4.7</f>
        <v/>
      </c>
      <c r="T257" s="7">
        <f>IF(L257&gt;0,R257/L257,0)</f>
        <v/>
      </c>
      <c r="U257" s="3" t="inlineStr">
        <is>
          <t>24/05/2026 17:37:48</t>
        </is>
      </c>
    </row>
    <row r="258">
      <c r="A258" s="3" t="inlineStr">
        <is>
          <t>584177674664576206</t>
        </is>
      </c>
      <c r="B258" s="3" t="inlineStr">
        <is>
          <t>已发货</t>
        </is>
      </c>
      <c r="C258" s="3" t="inlineStr">
        <is>
          <t>C2</t>
        </is>
      </c>
      <c r="D258" s="3" t="inlineStr">
        <is>
          <t>魔芋笋2大袋</t>
        </is>
      </c>
      <c r="E2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8" s="3" t="inlineStr">
        <is>
          <t>รสเผ็ดหอม​, 20 ซอง 400g</t>
        </is>
      </c>
      <c r="G258" s="6" t="n">
        <v>1</v>
      </c>
      <c r="H258" s="6" t="n">
        <v>120</v>
      </c>
      <c r="I258" s="6" t="n">
        <v>0</v>
      </c>
      <c r="J258" s="6" t="n">
        <v>38</v>
      </c>
      <c r="K258" s="6">
        <f>H258+I258</f>
        <v/>
      </c>
      <c r="L258" s="5">
        <f>K258/4.7</f>
        <v/>
      </c>
      <c r="M258" s="6" t="n">
        <v>13.4</v>
      </c>
      <c r="N258" s="6" t="n">
        <v>1</v>
      </c>
      <c r="O258" s="6">
        <f>(K258*0.1229+1.05)/4.7</f>
        <v/>
      </c>
      <c r="P258" s="6">
        <f>K258*0.0749/4.7</f>
        <v/>
      </c>
      <c r="Q258" s="5">
        <f>M258+N258+O258+P258</f>
        <v/>
      </c>
      <c r="R258" s="5">
        <f>L258-Q258</f>
        <v/>
      </c>
      <c r="S258" s="6">
        <f>R258*4.7</f>
        <v/>
      </c>
      <c r="T258" s="7">
        <f>IF(L258&gt;0,R258/L258,0)</f>
        <v/>
      </c>
      <c r="U258" s="3" t="inlineStr">
        <is>
          <t>24/05/2026 16:10:30</t>
        </is>
      </c>
    </row>
    <row r="259">
      <c r="A259" s="3" t="inlineStr">
        <is>
          <t>584177458833884366</t>
        </is>
      </c>
      <c r="B259" s="3" t="inlineStr">
        <is>
          <t>已取消</t>
        </is>
      </c>
      <c r="C259" s="3" t="inlineStr">
        <is>
          <t>C2</t>
        </is>
      </c>
      <c r="D259" s="3" t="inlineStr">
        <is>
          <t>魔芋笋2大袋</t>
        </is>
      </c>
      <c r="E259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59" s="3" t="inlineStr">
        <is>
          <t>รสเผ็ดหอม​, 2pcs  400g</t>
        </is>
      </c>
      <c r="G259" s="6" t="n">
        <v>1</v>
      </c>
      <c r="H259" s="6" t="n">
        <v>118</v>
      </c>
      <c r="I259" s="6" t="n">
        <v>0</v>
      </c>
      <c r="J259" s="6" t="n">
        <v>38</v>
      </c>
      <c r="K259" s="6">
        <f>H259+I259</f>
        <v/>
      </c>
      <c r="L259" s="5">
        <f>K259/4.7</f>
        <v/>
      </c>
      <c r="M259" s="6" t="n">
        <v>13.4</v>
      </c>
      <c r="N259" s="6" t="n">
        <v>1</v>
      </c>
      <c r="O259" s="6">
        <f>(K259*0.1229+1.05)/4.7</f>
        <v/>
      </c>
      <c r="P259" s="6">
        <f>K259*0.0749/4.7</f>
        <v/>
      </c>
      <c r="Q259" s="5">
        <f>M259+N259+O259+P259</f>
        <v/>
      </c>
      <c r="R259" s="5">
        <f>L259-Q259</f>
        <v/>
      </c>
      <c r="S259" s="6">
        <f>R259*4.7</f>
        <v/>
      </c>
      <c r="T259" s="7">
        <f>IF(L259&gt;0,R259/L259,0)</f>
        <v/>
      </c>
      <c r="U259" s="3" t="inlineStr">
        <is>
          <t>24/05/2026 15:54:45</t>
        </is>
      </c>
    </row>
    <row r="260">
      <c r="A260" s="3" t="inlineStr">
        <is>
          <t>584177394191206226</t>
        </is>
      </c>
      <c r="B260" s="3" t="inlineStr">
        <is>
          <t>已发货</t>
        </is>
      </c>
      <c r="C260" s="3" t="inlineStr">
        <is>
          <t>C1</t>
        </is>
      </c>
      <c r="D260" s="3" t="inlineStr">
        <is>
          <t>魔芋笋1大袋</t>
        </is>
      </c>
      <c r="E260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60" s="3" t="inlineStr">
        <is>
          <t>รสเผ็ดหอม​, 1pcs   200g</t>
        </is>
      </c>
      <c r="G260" s="6" t="n">
        <v>1</v>
      </c>
      <c r="H260" s="6" t="n">
        <v>60</v>
      </c>
      <c r="I260" s="6" t="n">
        <v>0</v>
      </c>
      <c r="J260" s="6" t="n">
        <v>35</v>
      </c>
      <c r="K260" s="6">
        <f>H260+I260</f>
        <v/>
      </c>
      <c r="L260" s="5">
        <f>K260/4.7</f>
        <v/>
      </c>
      <c r="M260" s="6" t="n">
        <v>6.699999999999999</v>
      </c>
      <c r="N260" s="6" t="n">
        <v>1</v>
      </c>
      <c r="O260" s="6">
        <f>(K260*0.1229+1.05)/4.7</f>
        <v/>
      </c>
      <c r="P260" s="6">
        <f>K260*0.0749/4.7</f>
        <v/>
      </c>
      <c r="Q260" s="5">
        <f>M260+N260+O260+P260</f>
        <v/>
      </c>
      <c r="R260" s="5">
        <f>L260-Q260</f>
        <v/>
      </c>
      <c r="S260" s="6">
        <f>R260*4.7</f>
        <v/>
      </c>
      <c r="T260" s="7">
        <f>IF(L260&gt;0,R260/L260,0)</f>
        <v/>
      </c>
      <c r="U260" s="3" t="inlineStr">
        <is>
          <t>24/05/2026 15:50:56</t>
        </is>
      </c>
    </row>
    <row r="261">
      <c r="A261" s="3" t="inlineStr">
        <is>
          <t>584177137277831064</t>
        </is>
      </c>
      <c r="B261" s="3" t="inlineStr">
        <is>
          <t>已发货</t>
        </is>
      </c>
      <c r="C261" s="3" t="inlineStr">
        <is>
          <t>CK</t>
        </is>
      </c>
      <c r="D261" s="3" t="inlineStr">
        <is>
          <t>黑松露黑麦苏打饼干</t>
        </is>
      </c>
      <c r="E26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61" s="3" t="inlineStr">
        <is>
          <t>ค่าเริ่มต้น</t>
        </is>
      </c>
      <c r="G261" s="6" t="n">
        <v>1</v>
      </c>
      <c r="H261" s="6" t="n">
        <v>85</v>
      </c>
      <c r="I261" s="6" t="n">
        <v>15</v>
      </c>
      <c r="J261" s="6" t="n">
        <v>38</v>
      </c>
      <c r="K261" s="6">
        <f>H261+I261</f>
        <v/>
      </c>
      <c r="L261" s="5">
        <f>K261/4.7</f>
        <v/>
      </c>
      <c r="M261" s="6" t="n">
        <v>10.72665050209467</v>
      </c>
      <c r="N261" s="6" t="n">
        <v>1</v>
      </c>
      <c r="O261" s="6">
        <f>(K261*0.1229+1.05)/4.7</f>
        <v/>
      </c>
      <c r="P261" s="6">
        <f>K261*0.0749/4.7</f>
        <v/>
      </c>
      <c r="Q261" s="5">
        <f>M261+N261+O261+P261</f>
        <v/>
      </c>
      <c r="R261" s="5">
        <f>L261-Q261</f>
        <v/>
      </c>
      <c r="S261" s="6">
        <f>R261*4.7</f>
        <v/>
      </c>
      <c r="T261" s="7">
        <f>IF(L261&gt;0,R261/L261,0)</f>
        <v/>
      </c>
      <c r="U261" s="3" t="inlineStr">
        <is>
          <t>24/05/2026 15:29:52</t>
        </is>
      </c>
    </row>
    <row r="262">
      <c r="A262" s="3" t="inlineStr">
        <is>
          <t>584177018781795372</t>
        </is>
      </c>
      <c r="B262" s="3" t="inlineStr">
        <is>
          <t>已发货</t>
        </is>
      </c>
      <c r="C262" s="3" t="inlineStr">
        <is>
          <t>C3</t>
        </is>
      </c>
      <c r="D262" s="3" t="inlineStr">
        <is>
          <t>魔芋笋3大袋</t>
        </is>
      </c>
      <c r="E2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2" s="3" t="inlineStr">
        <is>
          <t>รสเผ็ดหอม​, 30 ซอง 600g</t>
        </is>
      </c>
      <c r="G262" s="6" t="n">
        <v>1</v>
      </c>
      <c r="H262" s="6" t="n">
        <v>142</v>
      </c>
      <c r="I262" s="6" t="n">
        <v>30</v>
      </c>
      <c r="J262" s="6" t="n">
        <v>38</v>
      </c>
      <c r="K262" s="6">
        <f>H262+I262</f>
        <v/>
      </c>
      <c r="L262" s="5">
        <f>K262/4.7</f>
        <v/>
      </c>
      <c r="M262" s="6" t="n">
        <v>20.1</v>
      </c>
      <c r="N262" s="6" t="n">
        <v>1</v>
      </c>
      <c r="O262" s="6">
        <f>(K262*0.1229+1.05)/4.7</f>
        <v/>
      </c>
      <c r="P262" s="6">
        <f>K262*0.0749/4.7</f>
        <v/>
      </c>
      <c r="Q262" s="5">
        <f>M262+N262+O262+P262</f>
        <v/>
      </c>
      <c r="R262" s="5">
        <f>L262-Q262</f>
        <v/>
      </c>
      <c r="S262" s="6">
        <f>R262*4.7</f>
        <v/>
      </c>
      <c r="T262" s="7">
        <f>IF(L262&gt;0,R262/L262,0)</f>
        <v/>
      </c>
      <c r="U262" s="3" t="inlineStr">
        <is>
          <t>24/05/2026 15:21:30</t>
        </is>
      </c>
    </row>
    <row r="263">
      <c r="A263" s="3" t="inlineStr">
        <is>
          <t>584175916581685228</t>
        </is>
      </c>
      <c r="B263" s="3" t="inlineStr">
        <is>
          <t>已发货</t>
        </is>
      </c>
      <c r="C263" s="3" t="inlineStr">
        <is>
          <t>B2</t>
        </is>
      </c>
      <c r="D263" s="3" t="inlineStr">
        <is>
          <t>魔芋笋2大袋</t>
        </is>
      </c>
      <c r="E2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3" s="3" t="inlineStr">
        <is>
          <t>รสเปรี้ยวเผ็ด​, 20 ซอง 400g</t>
        </is>
      </c>
      <c r="G263" s="6" t="n">
        <v>1</v>
      </c>
      <c r="H263" s="6" t="n">
        <v>125</v>
      </c>
      <c r="I263" s="6" t="n">
        <v>0</v>
      </c>
      <c r="J263" s="6" t="n">
        <v>38</v>
      </c>
      <c r="K263" s="6">
        <f>H263+I263</f>
        <v/>
      </c>
      <c r="L263" s="5">
        <f>K263/4.7</f>
        <v/>
      </c>
      <c r="M263" s="6" t="n">
        <v>13.4</v>
      </c>
      <c r="N263" s="6" t="n">
        <v>1</v>
      </c>
      <c r="O263" s="6">
        <f>(K263*0.1229+1.05)/4.7</f>
        <v/>
      </c>
      <c r="P263" s="6">
        <f>K263*0.0749/4.7</f>
        <v/>
      </c>
      <c r="Q263" s="5">
        <f>M263+N263+O263+P263</f>
        <v/>
      </c>
      <c r="R263" s="5">
        <f>L263-Q263</f>
        <v/>
      </c>
      <c r="S263" s="6">
        <f>R263*4.7</f>
        <v/>
      </c>
      <c r="T263" s="7">
        <f>IF(L263&gt;0,R263/L263,0)</f>
        <v/>
      </c>
      <c r="U263" s="3" t="inlineStr">
        <is>
          <t>24/05/2026 14:05:37</t>
        </is>
      </c>
    </row>
    <row r="264">
      <c r="A264" s="3" t="inlineStr">
        <is>
          <t>584174972278244369</t>
        </is>
      </c>
      <c r="B264" s="3" t="inlineStr">
        <is>
          <t>已发货</t>
        </is>
      </c>
      <c r="C264" s="3" t="inlineStr">
        <is>
          <t>B2</t>
        </is>
      </c>
      <c r="D264" s="3" t="inlineStr">
        <is>
          <t>魔芋笋2大袋</t>
        </is>
      </c>
      <c r="E264" s="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F264" s="3" t="inlineStr">
        <is>
          <t>รสเปรี้ยวเผ็ด 2pcs</t>
        </is>
      </c>
      <c r="G264" s="6" t="n">
        <v>1</v>
      </c>
      <c r="H264" s="6" t="n">
        <v>419.2</v>
      </c>
      <c r="I264" s="6" t="n">
        <v>6.67</v>
      </c>
      <c r="J264" s="6" t="n">
        <v>48</v>
      </c>
      <c r="K264" s="6">
        <f>H264+I264</f>
        <v/>
      </c>
      <c r="L264" s="5">
        <f>K264/4.7</f>
        <v/>
      </c>
      <c r="M264" s="6" t="n">
        <v>13.4</v>
      </c>
      <c r="N264" s="6" t="n">
        <v>1</v>
      </c>
      <c r="O264" s="6">
        <f>(K264*0.1229+1.05)/4.7</f>
        <v/>
      </c>
      <c r="P264" s="6">
        <f>K264*0.0749/4.7</f>
        <v/>
      </c>
      <c r="Q264" s="5">
        <f>M264+N264+O264+P264</f>
        <v/>
      </c>
      <c r="R264" s="5">
        <f>L264-Q264</f>
        <v/>
      </c>
      <c r="S264" s="6">
        <f>R264*4.7</f>
        <v/>
      </c>
      <c r="T264" s="7">
        <f>IF(L264&gt;0,R264/L264,0)</f>
        <v/>
      </c>
      <c r="U264" s="3" t="inlineStr">
        <is>
          <t>24/05/2026 12:57:21</t>
        </is>
      </c>
    </row>
    <row r="265">
      <c r="A265" s="3" t="inlineStr">
        <is>
          <t>584174972278244369</t>
        </is>
      </c>
      <c r="B265" s="3" t="inlineStr">
        <is>
          <t>已发货</t>
        </is>
      </c>
      <c r="C265" s="3" t="inlineStr">
        <is>
          <t>C2</t>
        </is>
      </c>
      <c r="D265" s="3" t="inlineStr">
        <is>
          <t>魔芋笋2大袋</t>
        </is>
      </c>
      <c r="E265" s="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F265" s="3" t="inlineStr">
        <is>
          <t>เผ็ดหอม 2pcs</t>
        </is>
      </c>
      <c r="G265" s="6" t="n">
        <v>1</v>
      </c>
      <c r="H265" s="6" t="n">
        <v>419.2</v>
      </c>
      <c r="I265" s="6" t="n">
        <v>6.66</v>
      </c>
      <c r="J265" s="6" t="n">
        <v>48</v>
      </c>
      <c r="K265" s="6">
        <f>H265+I265</f>
        <v/>
      </c>
      <c r="L265" s="5">
        <f>K265/4.7</f>
        <v/>
      </c>
      <c r="M265" s="6" t="n">
        <v>13.4</v>
      </c>
      <c r="N265" s="6" t="n">
        <v>1</v>
      </c>
      <c r="O265" s="6">
        <f>(K265*0.1229+1.05)/4.7</f>
        <v/>
      </c>
      <c r="P265" s="6">
        <f>K265*0.0749/4.7</f>
        <v/>
      </c>
      <c r="Q265" s="5">
        <f>M265+N265+O265+P265</f>
        <v/>
      </c>
      <c r="R265" s="5">
        <f>L265-Q265</f>
        <v/>
      </c>
      <c r="S265" s="6">
        <f>R265*4.7</f>
        <v/>
      </c>
      <c r="T265" s="7">
        <f>IF(L265&gt;0,R265/L265,0)</f>
        <v/>
      </c>
      <c r="U265" s="3" t="inlineStr">
        <is>
          <t>24/05/2026 12:57:21</t>
        </is>
      </c>
    </row>
    <row r="266">
      <c r="A266" s="3" t="inlineStr">
        <is>
          <t>584174972278244369</t>
        </is>
      </c>
      <c r="B266" s="3" t="inlineStr">
        <is>
          <t>已发货</t>
        </is>
      </c>
      <c r="C266" s="3" t="inlineStr">
        <is>
          <t>B1C1</t>
        </is>
      </c>
      <c r="D266" s="3" t="inlineStr">
        <is>
          <t>酸辣香辣魔芋笋各1大袋</t>
        </is>
      </c>
      <c r="E266" s="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F266" s="3" t="inlineStr">
        <is>
          <t>เผ็ดหอม+รสเปรี้ยวเผ็ด</t>
        </is>
      </c>
      <c r="G266" s="6" t="n">
        <v>1</v>
      </c>
      <c r="H266" s="6" t="n">
        <v>419.2</v>
      </c>
      <c r="I266" s="6" t="n">
        <v>6.67</v>
      </c>
      <c r="J266" s="6" t="n">
        <v>48</v>
      </c>
      <c r="K266" s="6">
        <f>H266+I266</f>
        <v/>
      </c>
      <c r="L266" s="5">
        <f>K266/4.7</f>
        <v/>
      </c>
      <c r="M266" s="6" t="n">
        <v>13.4</v>
      </c>
      <c r="N266" s="6" t="n">
        <v>1</v>
      </c>
      <c r="O266" s="6">
        <f>(K266*0.1229+1.05)/4.7</f>
        <v/>
      </c>
      <c r="P266" s="6">
        <f>K266*0.0749/4.7</f>
        <v/>
      </c>
      <c r="Q266" s="5">
        <f>M266+N266+O266+P266</f>
        <v/>
      </c>
      <c r="R266" s="5">
        <f>L266-Q266</f>
        <v/>
      </c>
      <c r="S266" s="6">
        <f>R266*4.7</f>
        <v/>
      </c>
      <c r="T266" s="7">
        <f>IF(L266&gt;0,R266/L266,0)</f>
        <v/>
      </c>
      <c r="U266" s="3" t="inlineStr">
        <is>
          <t>24/05/2026 12:57:21</t>
        </is>
      </c>
    </row>
    <row r="267">
      <c r="A267" s="3" t="inlineStr">
        <is>
          <t>584174578659198216</t>
        </is>
      </c>
      <c r="B267" s="3" t="inlineStr">
        <is>
          <t>已发货</t>
        </is>
      </c>
      <c r="C267" s="3" t="inlineStr">
        <is>
          <t>B5s</t>
        </is>
      </c>
      <c r="D267" s="3" t="inlineStr">
        <is>
          <t>酸辣味5小袋</t>
        </is>
      </c>
      <c r="E2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7" s="3" t="inlineStr">
        <is>
          <t>รสเปรี้ยวเผ็ด​, *ชุดเล็ก 5 ซอง 100g</t>
        </is>
      </c>
      <c r="G267" s="6" t="n">
        <v>2</v>
      </c>
      <c r="H267" s="6" t="n">
        <v>188</v>
      </c>
      <c r="I267" s="6" t="n">
        <v>0</v>
      </c>
      <c r="J267" s="6" t="n">
        <v>54</v>
      </c>
      <c r="K267" s="6">
        <f>H267+I267</f>
        <v/>
      </c>
      <c r="L267" s="5">
        <f>K267/4.7</f>
        <v/>
      </c>
      <c r="M267" s="6" t="n">
        <v>6.699999999999999</v>
      </c>
      <c r="N267" s="6" t="n">
        <v>1</v>
      </c>
      <c r="O267" s="6">
        <f>(K267*0.1229+1.05)/4.7</f>
        <v/>
      </c>
      <c r="P267" s="6">
        <f>K267*0.0749/4.7</f>
        <v/>
      </c>
      <c r="Q267" s="5">
        <f>M267+N267+O267+P267</f>
        <v/>
      </c>
      <c r="R267" s="5">
        <f>L267-Q267</f>
        <v/>
      </c>
      <c r="S267" s="6">
        <f>R267*4.7</f>
        <v/>
      </c>
      <c r="T267" s="7">
        <f>IF(L267&gt;0,R267/L267,0)</f>
        <v/>
      </c>
      <c r="U267" s="3" t="inlineStr">
        <is>
          <t>24/05/2026 12:32:46</t>
        </is>
      </c>
    </row>
    <row r="268">
      <c r="A268" s="3" t="inlineStr">
        <is>
          <t>584174578659198216</t>
        </is>
      </c>
      <c r="B268" s="3" t="inlineStr">
        <is>
          <t>已发货</t>
        </is>
      </c>
      <c r="C268" s="3" t="inlineStr">
        <is>
          <t>C5s</t>
        </is>
      </c>
      <c r="D268" s="3" t="inlineStr">
        <is>
          <t>香辣味魔芋笋5小袋</t>
        </is>
      </c>
      <c r="E2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8" s="3" t="inlineStr">
        <is>
          <t>รสเผ็ดหอม​, *ชุดเล็ก 5 ซอง 100g</t>
        </is>
      </c>
      <c r="G268" s="6" t="n">
        <v>2</v>
      </c>
      <c r="H268" s="6" t="n">
        <v>188</v>
      </c>
      <c r="I268" s="6" t="n">
        <v>0</v>
      </c>
      <c r="J268" s="6" t="n">
        <v>54</v>
      </c>
      <c r="K268" s="6">
        <f>H268+I268</f>
        <v/>
      </c>
      <c r="L268" s="5">
        <f>K268/4.7</f>
        <v/>
      </c>
      <c r="M268" s="6" t="n">
        <v>6.699999999999999</v>
      </c>
      <c r="N268" s="6" t="n">
        <v>1</v>
      </c>
      <c r="O268" s="6">
        <f>(K268*0.1229+1.05)/4.7</f>
        <v/>
      </c>
      <c r="P268" s="6">
        <f>K268*0.0749/4.7</f>
        <v/>
      </c>
      <c r="Q268" s="5">
        <f>M268+N268+O268+P268</f>
        <v/>
      </c>
      <c r="R268" s="5">
        <f>L268-Q268</f>
        <v/>
      </c>
      <c r="S268" s="6">
        <f>R268*4.7</f>
        <v/>
      </c>
      <c r="T268" s="7">
        <f>IF(L268&gt;0,R268/L268,0)</f>
        <v/>
      </c>
      <c r="U268" s="3" t="inlineStr">
        <is>
          <t>24/05/2026 12:32:46</t>
        </is>
      </c>
    </row>
    <row r="269">
      <c r="A269" s="3" t="inlineStr">
        <is>
          <t>584174214914082277</t>
        </is>
      </c>
      <c r="B269" s="3" t="inlineStr">
        <is>
          <t>已发货</t>
        </is>
      </c>
      <c r="C269" s="3" t="inlineStr">
        <is>
          <t>C1</t>
        </is>
      </c>
      <c r="D269" s="3" t="inlineStr">
        <is>
          <t>魔芋笋1大袋</t>
        </is>
      </c>
      <c r="E269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69" s="3" t="inlineStr">
        <is>
          <t>รสเผ็ดหอม​, 1pcs   200g</t>
        </is>
      </c>
      <c r="G269" s="6" t="n">
        <v>1</v>
      </c>
      <c r="H269" s="6" t="n">
        <v>60</v>
      </c>
      <c r="I269" s="6" t="n">
        <v>0</v>
      </c>
      <c r="J269" s="6" t="n">
        <v>29</v>
      </c>
      <c r="K269" s="6">
        <f>H269+I269</f>
        <v/>
      </c>
      <c r="L269" s="5">
        <f>K269/4.7</f>
        <v/>
      </c>
      <c r="M269" s="6" t="n">
        <v>6.699999999999999</v>
      </c>
      <c r="N269" s="6" t="n">
        <v>1</v>
      </c>
      <c r="O269" s="6">
        <f>(K269*0.1229+1.05)/4.7</f>
        <v/>
      </c>
      <c r="P269" s="6">
        <f>K269*0.0749/4.7</f>
        <v/>
      </c>
      <c r="Q269" s="5">
        <f>M269+N269+O269+P269</f>
        <v/>
      </c>
      <c r="R269" s="5">
        <f>L269-Q269</f>
        <v/>
      </c>
      <c r="S269" s="6">
        <f>R269*4.7</f>
        <v/>
      </c>
      <c r="T269" s="7">
        <f>IF(L269&gt;0,R269/L269,0)</f>
        <v/>
      </c>
      <c r="U269" s="3" t="inlineStr">
        <is>
          <t>24/05/2026 12:05:12</t>
        </is>
      </c>
    </row>
    <row r="270">
      <c r="A270" s="3" t="inlineStr">
        <is>
          <t>584174082345305927</t>
        </is>
      </c>
      <c r="B270" s="3" t="inlineStr">
        <is>
          <t>已发货</t>
        </is>
      </c>
      <c r="C270" s="3" t="inlineStr">
        <is>
          <t>B1</t>
        </is>
      </c>
      <c r="D270" s="3" t="inlineStr">
        <is>
          <t>魔芋笋1大袋</t>
        </is>
      </c>
      <c r="E2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0" s="3" t="inlineStr">
        <is>
          <t>รสเปรี้ยวเผ็ด​, 10 ซอง 200g</t>
        </is>
      </c>
      <c r="G270" s="6" t="n">
        <v>1</v>
      </c>
      <c r="H270" s="6" t="n">
        <v>133</v>
      </c>
      <c r="I270" s="6" t="n">
        <v>0</v>
      </c>
      <c r="J270" s="6" t="n">
        <v>48</v>
      </c>
      <c r="K270" s="6">
        <f>H270+I270</f>
        <v/>
      </c>
      <c r="L270" s="5">
        <f>K270/4.7</f>
        <v/>
      </c>
      <c r="M270" s="6" t="n">
        <v>6.699999999999999</v>
      </c>
      <c r="N270" s="6" t="n">
        <v>1</v>
      </c>
      <c r="O270" s="6">
        <f>(K270*0.1229+1.05)/4.7</f>
        <v/>
      </c>
      <c r="P270" s="6">
        <f>K270*0.0749/4.7</f>
        <v/>
      </c>
      <c r="Q270" s="5">
        <f>M270+N270+O270+P270</f>
        <v/>
      </c>
      <c r="R270" s="5">
        <f>L270-Q270</f>
        <v/>
      </c>
      <c r="S270" s="6">
        <f>R270*4.7</f>
        <v/>
      </c>
      <c r="T270" s="7">
        <f>IF(L270&gt;0,R270/L270,0)</f>
        <v/>
      </c>
      <c r="U270" s="3" t="inlineStr">
        <is>
          <t>24/05/2026 11:57:56</t>
        </is>
      </c>
    </row>
    <row r="271">
      <c r="A271" s="3" t="inlineStr">
        <is>
          <t>584174082345305927</t>
        </is>
      </c>
      <c r="B271" s="3" t="inlineStr">
        <is>
          <t>已发货</t>
        </is>
      </c>
      <c r="C271" s="3" t="inlineStr">
        <is>
          <t>C1</t>
        </is>
      </c>
      <c r="D271" s="3" t="inlineStr">
        <is>
          <t>魔芋笋1大袋</t>
        </is>
      </c>
      <c r="E2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1" s="3" t="inlineStr">
        <is>
          <t>รสเผ็ดหอม​, 10 ซอง 200g</t>
        </is>
      </c>
      <c r="G271" s="6" t="n">
        <v>1</v>
      </c>
      <c r="H271" s="6" t="n">
        <v>133</v>
      </c>
      <c r="I271" s="6" t="n">
        <v>0</v>
      </c>
      <c r="J271" s="6" t="n">
        <v>48</v>
      </c>
      <c r="K271" s="6">
        <f>H271+I271</f>
        <v/>
      </c>
      <c r="L271" s="5">
        <f>K271/4.7</f>
        <v/>
      </c>
      <c r="M271" s="6" t="n">
        <v>6.699999999999999</v>
      </c>
      <c r="N271" s="6" t="n">
        <v>1</v>
      </c>
      <c r="O271" s="6">
        <f>(K271*0.1229+1.05)/4.7</f>
        <v/>
      </c>
      <c r="P271" s="6">
        <f>K271*0.0749/4.7</f>
        <v/>
      </c>
      <c r="Q271" s="5">
        <f>M271+N271+O271+P271</f>
        <v/>
      </c>
      <c r="R271" s="5">
        <f>L271-Q271</f>
        <v/>
      </c>
      <c r="S271" s="6">
        <f>R271*4.7</f>
        <v/>
      </c>
      <c r="T271" s="7">
        <f>IF(L271&gt;0,R271/L271,0)</f>
        <v/>
      </c>
      <c r="U271" s="3" t="inlineStr">
        <is>
          <t>24/05/2026 11:57:56</t>
        </is>
      </c>
    </row>
    <row r="272">
      <c r="A272" s="3" t="inlineStr">
        <is>
          <t>584174040293476070</t>
        </is>
      </c>
      <c r="B272" s="3" t="inlineStr">
        <is>
          <t>已发货</t>
        </is>
      </c>
      <c r="C272" s="3" t="inlineStr">
        <is>
          <t>Js6</t>
        </is>
      </c>
      <c r="D272" s="3" t="inlineStr">
        <is>
          <t>果冻6个</t>
        </is>
      </c>
      <c r="E272" s="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272" s="3" t="inlineStr">
        <is>
          <t>ชุดทดลอง(จำกัด50ชุดแรก!)1ชุด 6ชิ้น คละ3รส</t>
        </is>
      </c>
      <c r="G272" s="6" t="n">
        <v>1</v>
      </c>
      <c r="H272" s="6" t="n">
        <v>40</v>
      </c>
      <c r="I272" s="6" t="n">
        <v>0</v>
      </c>
      <c r="J272" s="6" t="n">
        <v>35</v>
      </c>
      <c r="K272" s="6">
        <f>H272+I272</f>
        <v/>
      </c>
      <c r="L272" s="5">
        <f>K272/4.7</f>
        <v/>
      </c>
      <c r="M272" s="6" t="n">
        <v>4</v>
      </c>
      <c r="N272" s="6" t="n">
        <v>0.5</v>
      </c>
      <c r="O272" s="6">
        <f>(K272*0.1229+1.05)/4.7</f>
        <v/>
      </c>
      <c r="P272" s="6">
        <f>K272*0.0749/4.7</f>
        <v/>
      </c>
      <c r="Q272" s="5">
        <f>M272+N272+O272+P272</f>
        <v/>
      </c>
      <c r="R272" s="5">
        <f>L272-Q272</f>
        <v/>
      </c>
      <c r="S272" s="6">
        <f>R272*4.7</f>
        <v/>
      </c>
      <c r="T272" s="7">
        <f>IF(L272&gt;0,R272/L272,0)</f>
        <v/>
      </c>
      <c r="U272" s="3" t="inlineStr">
        <is>
          <t>24/05/2026 11:56:07</t>
        </is>
      </c>
    </row>
    <row r="273">
      <c r="A273" s="3" t="inlineStr">
        <is>
          <t>584173724923430731</t>
        </is>
      </c>
      <c r="B273" s="3" t="inlineStr">
        <is>
          <t>已发货</t>
        </is>
      </c>
      <c r="C273" s="3" t="inlineStr">
        <is>
          <t>C3</t>
        </is>
      </c>
      <c r="D273" s="3" t="inlineStr">
        <is>
          <t>魔芋笋3大袋</t>
        </is>
      </c>
      <c r="E273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73" s="3" t="inlineStr">
        <is>
          <t>รสเผ็ดหอม​, 3pcs  600g</t>
        </is>
      </c>
      <c r="G273" s="6" t="n">
        <v>2</v>
      </c>
      <c r="H273" s="6" t="n">
        <v>340</v>
      </c>
      <c r="I273" s="6" t="n">
        <v>0</v>
      </c>
      <c r="J273" s="6" t="n">
        <v>48</v>
      </c>
      <c r="K273" s="6">
        <f>H273+I273</f>
        <v/>
      </c>
      <c r="L273" s="5">
        <f>K273/4.7</f>
        <v/>
      </c>
      <c r="M273" s="6" t="n">
        <v>40.2</v>
      </c>
      <c r="N273" s="6" t="n">
        <v>1</v>
      </c>
      <c r="O273" s="6">
        <f>(K273*0.1229+1.05)/4.7</f>
        <v/>
      </c>
      <c r="P273" s="6">
        <f>K273*0.0749/4.7</f>
        <v/>
      </c>
      <c r="Q273" s="5">
        <f>M273+N273+O273+P273</f>
        <v/>
      </c>
      <c r="R273" s="5">
        <f>L273-Q273</f>
        <v/>
      </c>
      <c r="S273" s="6">
        <f>R273*4.7</f>
        <v/>
      </c>
      <c r="T273" s="7">
        <f>IF(L273&gt;0,R273/L273,0)</f>
        <v/>
      </c>
      <c r="U273" s="3" t="inlineStr">
        <is>
          <t>24/05/2026 11:34:08</t>
        </is>
      </c>
    </row>
    <row r="274">
      <c r="A274" s="3" t="inlineStr">
        <is>
          <t>584172901096130529</t>
        </is>
      </c>
      <c r="B274" s="3" t="inlineStr">
        <is>
          <t>已发货</t>
        </is>
      </c>
      <c r="C274" s="3" t="inlineStr">
        <is>
          <t>C3</t>
        </is>
      </c>
      <c r="D274" s="3" t="inlineStr">
        <is>
          <t>魔芋笋3大袋</t>
        </is>
      </c>
      <c r="E2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4" s="3" t="inlineStr">
        <is>
          <t>รสเผ็ดหอม​, 30 ซอง 600g</t>
        </is>
      </c>
      <c r="G274" s="6" t="n">
        <v>1</v>
      </c>
      <c r="H274" s="6" t="n">
        <v>167</v>
      </c>
      <c r="I274" s="6" t="n">
        <v>5</v>
      </c>
      <c r="J274" s="6" t="n">
        <v>29</v>
      </c>
      <c r="K274" s="6">
        <f>H274+I274</f>
        <v/>
      </c>
      <c r="L274" s="5">
        <f>K274/4.7</f>
        <v/>
      </c>
      <c r="M274" s="6" t="n">
        <v>20.1</v>
      </c>
      <c r="N274" s="6" t="n">
        <v>1</v>
      </c>
      <c r="O274" s="6">
        <f>(K274*0.1229+1.05)/4.7</f>
        <v/>
      </c>
      <c r="P274" s="6">
        <f>K274*0.0749/4.7</f>
        <v/>
      </c>
      <c r="Q274" s="5">
        <f>M274+N274+O274+P274</f>
        <v/>
      </c>
      <c r="R274" s="5">
        <f>L274-Q274</f>
        <v/>
      </c>
      <c r="S274" s="6">
        <f>R274*4.7</f>
        <v/>
      </c>
      <c r="T274" s="7">
        <f>IF(L274&gt;0,R274/L274,0)</f>
        <v/>
      </c>
      <c r="U274" s="3" t="inlineStr">
        <is>
          <t>24/05/2026 10:39:07</t>
        </is>
      </c>
    </row>
    <row r="275">
      <c r="A275" s="3" t="inlineStr">
        <is>
          <t>584172958793303944</t>
        </is>
      </c>
      <c r="B275" s="3" t="inlineStr">
        <is>
          <t>已发货</t>
        </is>
      </c>
      <c r="C275" s="3" t="inlineStr">
        <is>
          <t>C3</t>
        </is>
      </c>
      <c r="D275" s="3" t="inlineStr">
        <is>
          <t>魔芋笋3大袋</t>
        </is>
      </c>
      <c r="E2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5" s="3" t="inlineStr">
        <is>
          <t>รสเผ็ดหอม​, 30 ซอง 600g</t>
        </is>
      </c>
      <c r="G275" s="6" t="n">
        <v>1</v>
      </c>
      <c r="H275" s="6" t="n">
        <v>172</v>
      </c>
      <c r="I275" s="6" t="n">
        <v>0</v>
      </c>
      <c r="J275" s="6" t="n">
        <v>35</v>
      </c>
      <c r="K275" s="6">
        <f>H275+I275</f>
        <v/>
      </c>
      <c r="L275" s="5">
        <f>K275/4.7</f>
        <v/>
      </c>
      <c r="M275" s="6" t="n">
        <v>20.1</v>
      </c>
      <c r="N275" s="6" t="n">
        <v>1</v>
      </c>
      <c r="O275" s="6">
        <f>(K275*0.1229+1.05)/4.7</f>
        <v/>
      </c>
      <c r="P275" s="6">
        <f>K275*0.0749/4.7</f>
        <v/>
      </c>
      <c r="Q275" s="5">
        <f>M275+N275+O275+P275</f>
        <v/>
      </c>
      <c r="R275" s="5">
        <f>L275-Q275</f>
        <v/>
      </c>
      <c r="S275" s="6">
        <f>R275*4.7</f>
        <v/>
      </c>
      <c r="T275" s="7">
        <f>IF(L275&gt;0,R275/L275,0)</f>
        <v/>
      </c>
      <c r="U275" s="3" t="inlineStr">
        <is>
          <t>24/05/2026 10:35:08</t>
        </is>
      </c>
    </row>
    <row r="276">
      <c r="A276" s="3" t="inlineStr">
        <is>
          <t>584172584422245760</t>
        </is>
      </c>
      <c r="B276" s="3" t="inlineStr">
        <is>
          <t>已发货</t>
        </is>
      </c>
      <c r="C276" s="3" t="inlineStr">
        <is>
          <t>C2</t>
        </is>
      </c>
      <c r="D276" s="3" t="inlineStr">
        <is>
          <t>魔芋笋2大袋</t>
        </is>
      </c>
      <c r="E2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6" s="3" t="inlineStr">
        <is>
          <t>รสเผ็ดหอม​, 20 ซอง 400g</t>
        </is>
      </c>
      <c r="G276" s="6" t="n">
        <v>1</v>
      </c>
      <c r="H276" s="6" t="n">
        <v>120</v>
      </c>
      <c r="I276" s="6" t="n">
        <v>0</v>
      </c>
      <c r="J276" s="6" t="n">
        <v>38</v>
      </c>
      <c r="K276" s="6">
        <f>H276+I276</f>
        <v/>
      </c>
      <c r="L276" s="5">
        <f>K276/4.7</f>
        <v/>
      </c>
      <c r="M276" s="6" t="n">
        <v>13.4</v>
      </c>
      <c r="N276" s="6" t="n">
        <v>1</v>
      </c>
      <c r="O276" s="6">
        <f>(K276*0.1229+1.05)/4.7</f>
        <v/>
      </c>
      <c r="P276" s="6">
        <f>K276*0.0749/4.7</f>
        <v/>
      </c>
      <c r="Q276" s="5">
        <f>M276+N276+O276+P276</f>
        <v/>
      </c>
      <c r="R276" s="5">
        <f>L276-Q276</f>
        <v/>
      </c>
      <c r="S276" s="6">
        <f>R276*4.7</f>
        <v/>
      </c>
      <c r="T276" s="7">
        <f>IF(L276&gt;0,R276/L276,0)</f>
        <v/>
      </c>
      <c r="U276" s="3" t="inlineStr">
        <is>
          <t>24/05/2026 10:13:45</t>
        </is>
      </c>
    </row>
    <row r="277">
      <c r="A277" s="3" t="inlineStr">
        <is>
          <t>584170521048745823</t>
        </is>
      </c>
      <c r="B277" s="3" t="inlineStr">
        <is>
          <t>已发货</t>
        </is>
      </c>
      <c r="C277" s="3" t="inlineStr">
        <is>
          <t>CK</t>
        </is>
      </c>
      <c r="D277" s="3" t="inlineStr">
        <is>
          <t>黑松露黑麦苏打饼干</t>
        </is>
      </c>
      <c r="E27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77" s="3" t="inlineStr">
        <is>
          <t>ค่าเริ่มต้น</t>
        </is>
      </c>
      <c r="G277" s="6" t="n">
        <v>1</v>
      </c>
      <c r="H277" s="6" t="n">
        <v>85</v>
      </c>
      <c r="I277" s="6" t="n">
        <v>15</v>
      </c>
      <c r="J277" s="6" t="n">
        <v>38</v>
      </c>
      <c r="K277" s="6">
        <f>H277+I277</f>
        <v/>
      </c>
      <c r="L277" s="5">
        <f>K277/4.7</f>
        <v/>
      </c>
      <c r="M277" s="6" t="n">
        <v>10.72665050209467</v>
      </c>
      <c r="N277" s="6" t="n">
        <v>1</v>
      </c>
      <c r="O277" s="6">
        <f>(K277*0.1229+1.05)/4.7</f>
        <v/>
      </c>
      <c r="P277" s="6">
        <f>K277*0.0749/4.7</f>
        <v/>
      </c>
      <c r="Q277" s="5">
        <f>M277+N277+O277+P277</f>
        <v/>
      </c>
      <c r="R277" s="5">
        <f>L277-Q277</f>
        <v/>
      </c>
      <c r="S277" s="6">
        <f>R277*4.7</f>
        <v/>
      </c>
      <c r="T277" s="7">
        <f>IF(L277&gt;0,R277/L277,0)</f>
        <v/>
      </c>
      <c r="U277" s="3" t="inlineStr">
        <is>
          <t>24/05/2026 07:18:33</t>
        </is>
      </c>
    </row>
    <row r="278">
      <c r="A278" s="3" t="inlineStr">
        <is>
          <t>584169615528985758</t>
        </is>
      </c>
      <c r="B278" s="3" t="inlineStr">
        <is>
          <t>已发货</t>
        </is>
      </c>
      <c r="C278" s="3" t="inlineStr">
        <is>
          <t>C3</t>
        </is>
      </c>
      <c r="D278" s="3" t="inlineStr">
        <is>
          <t>魔芋笋3大袋</t>
        </is>
      </c>
      <c r="E2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8" s="3" t="inlineStr">
        <is>
          <t>รสเผ็ดหอม​, 30 ซอง 600g</t>
        </is>
      </c>
      <c r="G278" s="6" t="n">
        <v>1</v>
      </c>
      <c r="H278" s="6" t="n">
        <v>172</v>
      </c>
      <c r="I278" s="6" t="n">
        <v>0</v>
      </c>
      <c r="J278" s="6" t="n">
        <v>35</v>
      </c>
      <c r="K278" s="6">
        <f>H278+I278</f>
        <v/>
      </c>
      <c r="L278" s="5">
        <f>K278/4.7</f>
        <v/>
      </c>
      <c r="M278" s="6" t="n">
        <v>20.1</v>
      </c>
      <c r="N278" s="6" t="n">
        <v>1</v>
      </c>
      <c r="O278" s="6">
        <f>(K278*0.1229+1.05)/4.7</f>
        <v/>
      </c>
      <c r="P278" s="6">
        <f>K278*0.0749/4.7</f>
        <v/>
      </c>
      <c r="Q278" s="5">
        <f>M278+N278+O278+P278</f>
        <v/>
      </c>
      <c r="R278" s="5">
        <f>L278-Q278</f>
        <v/>
      </c>
      <c r="S278" s="6">
        <f>R278*4.7</f>
        <v/>
      </c>
      <c r="T278" s="7">
        <f>IF(L278&gt;0,R278/L278,0)</f>
        <v/>
      </c>
      <c r="U278" s="3" t="inlineStr">
        <is>
          <t>24/05/2026 04:57:02</t>
        </is>
      </c>
    </row>
    <row r="279">
      <c r="A279" s="3" t="inlineStr">
        <is>
          <t>584169356904859565</t>
        </is>
      </c>
      <c r="B279" s="3" t="inlineStr">
        <is>
          <t>已发货</t>
        </is>
      </c>
      <c r="C279" s="3" t="inlineStr">
        <is>
          <t>C1</t>
        </is>
      </c>
      <c r="D279" s="3" t="inlineStr">
        <is>
          <t>魔芋笋1大袋</t>
        </is>
      </c>
      <c r="E2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9" s="3" t="inlineStr">
        <is>
          <t>รสเผ็ดหอม​, 10 ซอง 200g</t>
        </is>
      </c>
      <c r="G279" s="6" t="n">
        <v>1</v>
      </c>
      <c r="H279" s="6" t="n">
        <v>69</v>
      </c>
      <c r="I279" s="6" t="n">
        <v>0</v>
      </c>
      <c r="J279" s="6" t="n">
        <v>38</v>
      </c>
      <c r="K279" s="6">
        <f>H279+I279</f>
        <v/>
      </c>
      <c r="L279" s="5">
        <f>K279/4.7</f>
        <v/>
      </c>
      <c r="M279" s="6" t="n">
        <v>6.699999999999999</v>
      </c>
      <c r="N279" s="6" t="n">
        <v>1</v>
      </c>
      <c r="O279" s="6">
        <f>(K279*0.1229+1.05)/4.7</f>
        <v/>
      </c>
      <c r="P279" s="6">
        <f>K279*0.0749/4.7</f>
        <v/>
      </c>
      <c r="Q279" s="5">
        <f>M279+N279+O279+P279</f>
        <v/>
      </c>
      <c r="R279" s="5">
        <f>L279-Q279</f>
        <v/>
      </c>
      <c r="S279" s="6">
        <f>R279*4.7</f>
        <v/>
      </c>
      <c r="T279" s="7">
        <f>IF(L279&gt;0,R279/L279,0)</f>
        <v/>
      </c>
      <c r="U279" s="3" t="inlineStr">
        <is>
          <t>24/05/2026 03:35:29</t>
        </is>
      </c>
    </row>
    <row r="280">
      <c r="A280" s="3" t="inlineStr">
        <is>
          <t>584169260202690548</t>
        </is>
      </c>
      <c r="B280" s="3" t="inlineStr">
        <is>
          <t>已发货</t>
        </is>
      </c>
      <c r="C280" s="3" t="inlineStr">
        <is>
          <t>CK</t>
        </is>
      </c>
      <c r="D280" s="3" t="inlineStr">
        <is>
          <t>黑松露黑麦苏打饼干</t>
        </is>
      </c>
      <c r="E28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80" s="3" t="inlineStr">
        <is>
          <t>ค่าเริ่มต้น</t>
        </is>
      </c>
      <c r="G280" s="6" t="n">
        <v>1</v>
      </c>
      <c r="H280" s="6" t="n">
        <v>100</v>
      </c>
      <c r="I280" s="6" t="n">
        <v>0</v>
      </c>
      <c r="J280" s="6" t="n">
        <v>35</v>
      </c>
      <c r="K280" s="6">
        <f>H280+I280</f>
        <v/>
      </c>
      <c r="L280" s="5">
        <f>K280/4.7</f>
        <v/>
      </c>
      <c r="M280" s="6" t="n">
        <v>10.72665050209467</v>
      </c>
      <c r="N280" s="6" t="n">
        <v>1</v>
      </c>
      <c r="O280" s="6">
        <f>(K280*0.1229+1.05)/4.7</f>
        <v/>
      </c>
      <c r="P280" s="6">
        <f>K280*0.0749/4.7</f>
        <v/>
      </c>
      <c r="Q280" s="5">
        <f>M280+N280+O280+P280</f>
        <v/>
      </c>
      <c r="R280" s="5">
        <f>L280-Q280</f>
        <v/>
      </c>
      <c r="S280" s="6">
        <f>R280*4.7</f>
        <v/>
      </c>
      <c r="T280" s="7">
        <f>IF(L280&gt;0,R280/L280,0)</f>
        <v/>
      </c>
      <c r="U280" s="3" t="inlineStr">
        <is>
          <t>24/05/2026 03:06:49</t>
        </is>
      </c>
    </row>
    <row r="281">
      <c r="A281" s="3" t="inlineStr">
        <is>
          <t>584169161559148252</t>
        </is>
      </c>
      <c r="B281" s="3" t="inlineStr">
        <is>
          <t>已取消</t>
        </is>
      </c>
      <c r="C281" s="3" t="inlineStr">
        <is>
          <t>C2</t>
        </is>
      </c>
      <c r="D281" s="3" t="inlineStr">
        <is>
          <t>魔芋笋2大袋</t>
        </is>
      </c>
      <c r="E2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1" s="3" t="inlineStr">
        <is>
          <t>รสเผ็ดหอม​, 20 ซอง 400g</t>
        </is>
      </c>
      <c r="G281" s="6" t="n">
        <v>1</v>
      </c>
      <c r="H281" s="6" t="n">
        <v>106.25</v>
      </c>
      <c r="I281" s="6" t="n">
        <v>18.75</v>
      </c>
      <c r="J281" s="6" t="n">
        <v>38</v>
      </c>
      <c r="K281" s="6">
        <f>H281+I281</f>
        <v/>
      </c>
      <c r="L281" s="5">
        <f>K281/4.7</f>
        <v/>
      </c>
      <c r="M281" s="6" t="n">
        <v>13.4</v>
      </c>
      <c r="N281" s="6" t="n">
        <v>1</v>
      </c>
      <c r="O281" s="6">
        <f>(K281*0.1229+1.05)/4.7</f>
        <v/>
      </c>
      <c r="P281" s="6">
        <f>K281*0.0749/4.7</f>
        <v/>
      </c>
      <c r="Q281" s="5">
        <f>M281+N281+O281+P281</f>
        <v/>
      </c>
      <c r="R281" s="5">
        <f>L281-Q281</f>
        <v/>
      </c>
      <c r="S281" s="6">
        <f>R281*4.7</f>
        <v/>
      </c>
      <c r="T281" s="7">
        <f>IF(L281&gt;0,R281/L281,0)</f>
        <v/>
      </c>
      <c r="U281" s="3" t="inlineStr">
        <is>
          <t>24/05/2026 02:36:51</t>
        </is>
      </c>
    </row>
    <row r="282">
      <c r="A282" s="3" t="inlineStr">
        <is>
          <t>584168963632760540</t>
        </is>
      </c>
      <c r="B282" s="3" t="inlineStr">
        <is>
          <t>已取消</t>
        </is>
      </c>
      <c r="C282" s="3" t="inlineStr">
        <is>
          <t>C2</t>
        </is>
      </c>
      <c r="D282" s="3" t="inlineStr">
        <is>
          <t>魔芋笋2大袋</t>
        </is>
      </c>
      <c r="E2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2" s="3" t="inlineStr">
        <is>
          <t>รสเผ็ดหอม​, 20 ซอง 400g</t>
        </is>
      </c>
      <c r="G282" s="6" t="n">
        <v>1</v>
      </c>
      <c r="H282" s="6" t="n">
        <v>120</v>
      </c>
      <c r="I282" s="6" t="n">
        <v>0</v>
      </c>
      <c r="J282" s="6" t="n">
        <v>38</v>
      </c>
      <c r="K282" s="6">
        <f>H282+I282</f>
        <v/>
      </c>
      <c r="L282" s="5">
        <f>K282/4.7</f>
        <v/>
      </c>
      <c r="M282" s="6" t="n">
        <v>13.4</v>
      </c>
      <c r="N282" s="6" t="n">
        <v>1</v>
      </c>
      <c r="O282" s="6">
        <f>(K282*0.1229+1.05)/4.7</f>
        <v/>
      </c>
      <c r="P282" s="6">
        <f>K282*0.0749/4.7</f>
        <v/>
      </c>
      <c r="Q282" s="5">
        <f>M282+N282+O282+P282</f>
        <v/>
      </c>
      <c r="R282" s="5">
        <f>L282-Q282</f>
        <v/>
      </c>
      <c r="S282" s="6">
        <f>R282*4.7</f>
        <v/>
      </c>
      <c r="T282" s="7">
        <f>IF(L282&gt;0,R282/L282,0)</f>
        <v/>
      </c>
      <c r="U282" s="3" t="inlineStr">
        <is>
          <t>24/05/2026 01:49:09</t>
        </is>
      </c>
    </row>
    <row r="283">
      <c r="A283" s="3" t="inlineStr">
        <is>
          <t>584168593013638416</t>
        </is>
      </c>
      <c r="B283" s="3" t="inlineStr">
        <is>
          <t>已发货</t>
        </is>
      </c>
      <c r="C283" s="3" t="inlineStr">
        <is>
          <t>C2</t>
        </is>
      </c>
      <c r="D283" s="3" t="inlineStr">
        <is>
          <t>魔芋笋2大袋</t>
        </is>
      </c>
      <c r="E2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3" s="3" t="inlineStr">
        <is>
          <t>รสเผ็ดหอม​, 20 ซอง 400g</t>
        </is>
      </c>
      <c r="G283" s="6" t="n">
        <v>1</v>
      </c>
      <c r="H283" s="6" t="n">
        <v>126</v>
      </c>
      <c r="I283" s="6" t="n">
        <v>0</v>
      </c>
      <c r="J283" s="6" t="n">
        <v>38</v>
      </c>
      <c r="K283" s="6">
        <f>H283+I283</f>
        <v/>
      </c>
      <c r="L283" s="5">
        <f>K283/4.7</f>
        <v/>
      </c>
      <c r="M283" s="6" t="n">
        <v>13.4</v>
      </c>
      <c r="N283" s="6" t="n">
        <v>1</v>
      </c>
      <c r="O283" s="6">
        <f>(K283*0.1229+1.05)/4.7</f>
        <v/>
      </c>
      <c r="P283" s="6">
        <f>K283*0.0749/4.7</f>
        <v/>
      </c>
      <c r="Q283" s="5">
        <f>M283+N283+O283+P283</f>
        <v/>
      </c>
      <c r="R283" s="5">
        <f>L283-Q283</f>
        <v/>
      </c>
      <c r="S283" s="6">
        <f>R283*4.7</f>
        <v/>
      </c>
      <c r="T283" s="7">
        <f>IF(L283&gt;0,R283/L283,0)</f>
        <v/>
      </c>
      <c r="U283" s="3" t="inlineStr">
        <is>
          <t>24/05/2026 00:38:11</t>
        </is>
      </c>
    </row>
    <row r="284">
      <c r="A284" s="3" t="inlineStr">
        <is>
          <t>584168501300856142</t>
        </is>
      </c>
      <c r="B284" s="3" t="inlineStr">
        <is>
          <t>已发货</t>
        </is>
      </c>
      <c r="C284" s="3" t="inlineStr">
        <is>
          <t>B2</t>
        </is>
      </c>
      <c r="D284" s="3" t="inlineStr">
        <is>
          <t>魔芋笋2大袋</t>
        </is>
      </c>
      <c r="E2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4" s="3" t="inlineStr">
        <is>
          <t>รสเปรี้ยวเผ็ด​, 20 ซอง 400g</t>
        </is>
      </c>
      <c r="G284" s="6" t="n">
        <v>1</v>
      </c>
      <c r="H284" s="6" t="n">
        <v>125</v>
      </c>
      <c r="I284" s="6" t="n">
        <v>0</v>
      </c>
      <c r="J284" s="6" t="n">
        <v>35</v>
      </c>
      <c r="K284" s="6">
        <f>H284+I284</f>
        <v/>
      </c>
      <c r="L284" s="5">
        <f>K284/4.7</f>
        <v/>
      </c>
      <c r="M284" s="6" t="n">
        <v>13.4</v>
      </c>
      <c r="N284" s="6" t="n">
        <v>1</v>
      </c>
      <c r="O284" s="6">
        <f>(K284*0.1229+1.05)/4.7</f>
        <v/>
      </c>
      <c r="P284" s="6">
        <f>K284*0.0749/4.7</f>
        <v/>
      </c>
      <c r="Q284" s="5">
        <f>M284+N284+O284+P284</f>
        <v/>
      </c>
      <c r="R284" s="5">
        <f>L284-Q284</f>
        <v/>
      </c>
      <c r="S284" s="6">
        <f>R284*4.7</f>
        <v/>
      </c>
      <c r="T284" s="7">
        <f>IF(L284&gt;0,R284/L284,0)</f>
        <v/>
      </c>
      <c r="U284" s="3" t="inlineStr">
        <is>
          <t>24/05/2026 00:25:36</t>
        </is>
      </c>
    </row>
    <row r="285">
      <c r="A285" s="3" t="inlineStr">
        <is>
          <t>584168485349524814</t>
        </is>
      </c>
      <c r="B285" s="3" t="inlineStr">
        <is>
          <t>已发货</t>
        </is>
      </c>
      <c r="C285" s="3" t="inlineStr">
        <is>
          <t>C3</t>
        </is>
      </c>
      <c r="D285" s="3" t="inlineStr">
        <is>
          <t>魔芋笋3大袋</t>
        </is>
      </c>
      <c r="E2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5" s="3" t="inlineStr">
        <is>
          <t>รสเผ็ดหอม​, 30 ซอง 600g</t>
        </is>
      </c>
      <c r="G285" s="6" t="n">
        <v>1</v>
      </c>
      <c r="H285" s="6" t="n">
        <v>167</v>
      </c>
      <c r="I285" s="6" t="n">
        <v>0</v>
      </c>
      <c r="J285" s="6" t="n">
        <v>35</v>
      </c>
      <c r="K285" s="6">
        <f>H285+I285</f>
        <v/>
      </c>
      <c r="L285" s="5">
        <f>K285/4.7</f>
        <v/>
      </c>
      <c r="M285" s="6" t="n">
        <v>20.1</v>
      </c>
      <c r="N285" s="6" t="n">
        <v>1</v>
      </c>
      <c r="O285" s="6">
        <f>(K285*0.1229+1.05)/4.7</f>
        <v/>
      </c>
      <c r="P285" s="6">
        <f>K285*0.0749/4.7</f>
        <v/>
      </c>
      <c r="Q285" s="5">
        <f>M285+N285+O285+P285</f>
        <v/>
      </c>
      <c r="R285" s="5">
        <f>L285-Q285</f>
        <v/>
      </c>
      <c r="S285" s="6">
        <f>R285*4.7</f>
        <v/>
      </c>
      <c r="T285" s="7">
        <f>IF(L285&gt;0,R285/L285,0)</f>
        <v/>
      </c>
      <c r="U285" s="3" t="inlineStr">
        <is>
          <t>24/05/2026 00:24:30</t>
        </is>
      </c>
    </row>
    <row r="286">
      <c r="A286" s="3" t="inlineStr">
        <is>
          <t>584168399672804831</t>
        </is>
      </c>
      <c r="B286" s="3" t="inlineStr">
        <is>
          <t>已发货</t>
        </is>
      </c>
      <c r="C286" s="3" t="inlineStr">
        <is>
          <t>C5s</t>
        </is>
      </c>
      <c r="D286" s="3" t="inlineStr">
        <is>
          <t>香辣味魔芋笋5小袋</t>
        </is>
      </c>
      <c r="E2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6" s="3" t="inlineStr">
        <is>
          <t>รสเผ็ดหอม​, *ชุดเล็ก 5 ซอง 100g</t>
        </is>
      </c>
      <c r="G286" s="6" t="n">
        <v>1</v>
      </c>
      <c r="H286" s="6" t="n">
        <v>85</v>
      </c>
      <c r="I286" s="6" t="n">
        <v>0</v>
      </c>
      <c r="J286" s="6" t="n">
        <v>0</v>
      </c>
      <c r="K286" s="6">
        <f>H286+I286</f>
        <v/>
      </c>
      <c r="L286" s="5">
        <f>K286/4.7</f>
        <v/>
      </c>
      <c r="M286" s="6" t="n">
        <v>3.35</v>
      </c>
      <c r="N286" s="6" t="n">
        <v>1</v>
      </c>
      <c r="O286" s="6">
        <f>(K286*0.1229+1.05)/4.7</f>
        <v/>
      </c>
      <c r="P286" s="6">
        <f>K286*0.0749/4.7</f>
        <v/>
      </c>
      <c r="Q286" s="5">
        <f>M286+N286+O286+P286</f>
        <v/>
      </c>
      <c r="R286" s="5">
        <f>L286-Q286</f>
        <v/>
      </c>
      <c r="S286" s="6">
        <f>R286*4.7</f>
        <v/>
      </c>
      <c r="T286" s="7">
        <f>IF(L286&gt;0,R286/L286,0)</f>
        <v/>
      </c>
      <c r="U286" s="3" t="inlineStr">
        <is>
          <t>24/05/2026 00:10:49</t>
        </is>
      </c>
    </row>
    <row r="287">
      <c r="A287" s="3" t="inlineStr">
        <is>
          <t>584168375090972090</t>
        </is>
      </c>
      <c r="B287" s="3" t="inlineStr">
        <is>
          <t>已发货</t>
        </is>
      </c>
      <c r="C287" s="3" t="inlineStr">
        <is>
          <t>B1</t>
        </is>
      </c>
      <c r="D287" s="3" t="inlineStr">
        <is>
          <t>魔芋笋1大袋</t>
        </is>
      </c>
      <c r="E2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7" s="3" t="inlineStr">
        <is>
          <t>รสเปรี้ยวเผ็ด​, 10 ซอง 200g</t>
        </is>
      </c>
      <c r="G287" s="6" t="n">
        <v>1</v>
      </c>
      <c r="H287" s="6" t="n">
        <v>187.9</v>
      </c>
      <c r="I287" s="6" t="n">
        <v>17.5</v>
      </c>
      <c r="J287" s="6" t="n">
        <v>35</v>
      </c>
      <c r="K287" s="6">
        <f>H287+I287</f>
        <v/>
      </c>
      <c r="L287" s="5">
        <f>K287/4.7</f>
        <v/>
      </c>
      <c r="M287" s="6" t="n">
        <v>6.699999999999999</v>
      </c>
      <c r="N287" s="6" t="n">
        <v>1</v>
      </c>
      <c r="O287" s="6">
        <f>(K287*0.1229+1.05)/4.7</f>
        <v/>
      </c>
      <c r="P287" s="6">
        <f>K287*0.0749/4.7</f>
        <v/>
      </c>
      <c r="Q287" s="5">
        <f>M287+N287+O287+P287</f>
        <v/>
      </c>
      <c r="R287" s="5">
        <f>L287-Q287</f>
        <v/>
      </c>
      <c r="S287" s="6">
        <f>R287*4.7</f>
        <v/>
      </c>
      <c r="T287" s="7">
        <f>IF(L287&gt;0,R287/L287,0)</f>
        <v/>
      </c>
      <c r="U287" s="3" t="inlineStr">
        <is>
          <t>24/05/2026 00:06:40</t>
        </is>
      </c>
    </row>
    <row r="288">
      <c r="A288" s="3" t="inlineStr">
        <is>
          <t>584168375090972090</t>
        </is>
      </c>
      <c r="B288" s="3" t="inlineStr">
        <is>
          <t>已发货</t>
        </is>
      </c>
      <c r="C288" s="3" t="inlineStr">
        <is>
          <t>C3</t>
        </is>
      </c>
      <c r="D288" s="3" t="inlineStr">
        <is>
          <t>魔芋笋3大袋</t>
        </is>
      </c>
      <c r="E2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8" s="3" t="inlineStr">
        <is>
          <t>รสเผ็ดหอม​, 30 ซอง 600g</t>
        </is>
      </c>
      <c r="G288" s="6" t="n">
        <v>1</v>
      </c>
      <c r="H288" s="6" t="n">
        <v>187.9</v>
      </c>
      <c r="I288" s="6" t="n">
        <v>43.6</v>
      </c>
      <c r="J288" s="6" t="n">
        <v>35</v>
      </c>
      <c r="K288" s="6">
        <f>H288+I288</f>
        <v/>
      </c>
      <c r="L288" s="5">
        <f>K288/4.7</f>
        <v/>
      </c>
      <c r="M288" s="6" t="n">
        <v>20.1</v>
      </c>
      <c r="N288" s="6" t="n">
        <v>1</v>
      </c>
      <c r="O288" s="6">
        <f>(K288*0.1229+1.05)/4.7</f>
        <v/>
      </c>
      <c r="P288" s="6">
        <f>K288*0.0749/4.7</f>
        <v/>
      </c>
      <c r="Q288" s="5">
        <f>M288+N288+O288+P288</f>
        <v/>
      </c>
      <c r="R288" s="5">
        <f>L288-Q288</f>
        <v/>
      </c>
      <c r="S288" s="6">
        <f>R288*4.7</f>
        <v/>
      </c>
      <c r="T288" s="7">
        <f>IF(L288&gt;0,R288/L288,0)</f>
        <v/>
      </c>
      <c r="U288" s="3" t="inlineStr">
        <is>
          <t>24/05/2026 00:06:40</t>
        </is>
      </c>
    </row>
    <row r="289">
      <c r="A289" s="3" t="inlineStr">
        <is>
          <t>584167162998982406</t>
        </is>
      </c>
      <c r="B289" s="3" t="inlineStr">
        <is>
          <t>已发货</t>
        </is>
      </c>
      <c r="C289" s="3" t="inlineStr">
        <is>
          <t>C2</t>
        </is>
      </c>
      <c r="D289" s="3" t="inlineStr">
        <is>
          <t>魔芋笋2大袋</t>
        </is>
      </c>
      <c r="E289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89" s="3" t="inlineStr">
        <is>
          <t>รสเผ็ดหอม​, 2pcs  400g</t>
        </is>
      </c>
      <c r="G289" s="6" t="n">
        <v>1</v>
      </c>
      <c r="H289" s="6" t="n">
        <v>113</v>
      </c>
      <c r="I289" s="6" t="n">
        <v>0</v>
      </c>
      <c r="J289" s="6" t="n">
        <v>35</v>
      </c>
      <c r="K289" s="6">
        <f>H289+I289</f>
        <v/>
      </c>
      <c r="L289" s="5">
        <f>K289/4.7</f>
        <v/>
      </c>
      <c r="M289" s="6" t="n">
        <v>13.4</v>
      </c>
      <c r="N289" s="6" t="n">
        <v>1</v>
      </c>
      <c r="O289" s="6">
        <f>(K289*0.1229+1.05)/4.7</f>
        <v/>
      </c>
      <c r="P289" s="6">
        <f>K289*0.0749/4.7</f>
        <v/>
      </c>
      <c r="Q289" s="5">
        <f>M289+N289+O289+P289</f>
        <v/>
      </c>
      <c r="R289" s="5">
        <f>L289-Q289</f>
        <v/>
      </c>
      <c r="S289" s="6">
        <f>R289*4.7</f>
        <v/>
      </c>
      <c r="T289" s="7">
        <f>IF(L289&gt;0,R289/L289,0)</f>
        <v/>
      </c>
      <c r="U289" s="3" t="inlineStr">
        <is>
          <t>23/05/2026 22:18:29</t>
        </is>
      </c>
    </row>
    <row r="290">
      <c r="A290" s="3" t="inlineStr">
        <is>
          <t>584167082260333806</t>
        </is>
      </c>
      <c r="B290" s="3" t="inlineStr">
        <is>
          <t>已发货</t>
        </is>
      </c>
      <c r="C290" s="3" t="inlineStr">
        <is>
          <t>CK</t>
        </is>
      </c>
      <c r="D290" s="3" t="inlineStr">
        <is>
          <t>黑松露黑麦苏打饼干</t>
        </is>
      </c>
      <c r="E29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90" s="3" t="inlineStr">
        <is>
          <t>ค่าเริ่มต้น</t>
        </is>
      </c>
      <c r="G290" s="6" t="n">
        <v>1</v>
      </c>
      <c r="H290" s="6" t="n">
        <v>75</v>
      </c>
      <c r="I290" s="6" t="n">
        <v>30</v>
      </c>
      <c r="J290" s="6" t="n">
        <v>35</v>
      </c>
      <c r="K290" s="6">
        <f>H290+I290</f>
        <v/>
      </c>
      <c r="L290" s="5">
        <f>K290/4.7</f>
        <v/>
      </c>
      <c r="M290" s="6" t="n">
        <v>10.72665050209467</v>
      </c>
      <c r="N290" s="6" t="n">
        <v>1</v>
      </c>
      <c r="O290" s="6">
        <f>(K290*0.1229+1.05)/4.7</f>
        <v/>
      </c>
      <c r="P290" s="6">
        <f>K290*0.0749/4.7</f>
        <v/>
      </c>
      <c r="Q290" s="5">
        <f>M290+N290+O290+P290</f>
        <v/>
      </c>
      <c r="R290" s="5">
        <f>L290-Q290</f>
        <v/>
      </c>
      <c r="S290" s="6">
        <f>R290*4.7</f>
        <v/>
      </c>
      <c r="T290" s="7">
        <f>IF(L290&gt;0,R290/L290,0)</f>
        <v/>
      </c>
      <c r="U290" s="3" t="inlineStr">
        <is>
          <t>23/05/2026 22:12:41</t>
        </is>
      </c>
    </row>
    <row r="291">
      <c r="A291" s="3" t="inlineStr">
        <is>
          <t>584166827395614227</t>
        </is>
      </c>
      <c r="B291" s="3" t="inlineStr">
        <is>
          <t>已发货</t>
        </is>
      </c>
      <c r="C291" s="3" t="inlineStr">
        <is>
          <t>CK</t>
        </is>
      </c>
      <c r="D291" s="3" t="inlineStr">
        <is>
          <t>黑松露黑麦苏打饼干</t>
        </is>
      </c>
      <c r="E29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91" s="3" t="inlineStr">
        <is>
          <t>ค่าเริ่มต้น</t>
        </is>
      </c>
      <c r="G291" s="6" t="n">
        <v>1</v>
      </c>
      <c r="H291" s="6" t="n">
        <v>75</v>
      </c>
      <c r="I291" s="6" t="n">
        <v>30</v>
      </c>
      <c r="J291" s="6" t="n">
        <v>38</v>
      </c>
      <c r="K291" s="6">
        <f>H291+I291</f>
        <v/>
      </c>
      <c r="L291" s="5">
        <f>K291/4.7</f>
        <v/>
      </c>
      <c r="M291" s="6" t="n">
        <v>10.72665050209467</v>
      </c>
      <c r="N291" s="6" t="n">
        <v>1</v>
      </c>
      <c r="O291" s="6">
        <f>(K291*0.1229+1.05)/4.7</f>
        <v/>
      </c>
      <c r="P291" s="6">
        <f>K291*0.0749/4.7</f>
        <v/>
      </c>
      <c r="Q291" s="5">
        <f>M291+N291+O291+P291</f>
        <v/>
      </c>
      <c r="R291" s="5">
        <f>L291-Q291</f>
        <v/>
      </c>
      <c r="S291" s="6">
        <f>R291*4.7</f>
        <v/>
      </c>
      <c r="T291" s="7">
        <f>IF(L291&gt;0,R291/L291,0)</f>
        <v/>
      </c>
      <c r="U291" s="3" t="inlineStr">
        <is>
          <t>23/05/2026 21:53:28</t>
        </is>
      </c>
    </row>
    <row r="292">
      <c r="A292" s="3" t="inlineStr">
        <is>
          <t>584166564941498057</t>
        </is>
      </c>
      <c r="B292" s="3" t="inlineStr">
        <is>
          <t>已发货</t>
        </is>
      </c>
      <c r="C292" s="3" t="inlineStr">
        <is>
          <t>B1</t>
        </is>
      </c>
      <c r="D292" s="3" t="inlineStr">
        <is>
          <t>魔芋笋1大袋</t>
        </is>
      </c>
      <c r="E2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2" s="3" t="inlineStr">
        <is>
          <t>รสเปรี้ยวเผ็ด​, 10 ซอง 200g</t>
        </is>
      </c>
      <c r="G292" s="6" t="n">
        <v>1</v>
      </c>
      <c r="H292" s="6" t="n">
        <v>69</v>
      </c>
      <c r="I292" s="6" t="n">
        <v>0</v>
      </c>
      <c r="J292" s="6" t="n">
        <v>38</v>
      </c>
      <c r="K292" s="6">
        <f>H292+I292</f>
        <v/>
      </c>
      <c r="L292" s="5">
        <f>K292/4.7</f>
        <v/>
      </c>
      <c r="M292" s="6" t="n">
        <v>6.699999999999999</v>
      </c>
      <c r="N292" s="6" t="n">
        <v>1</v>
      </c>
      <c r="O292" s="6">
        <f>(K292*0.1229+1.05)/4.7</f>
        <v/>
      </c>
      <c r="P292" s="6">
        <f>K292*0.0749/4.7</f>
        <v/>
      </c>
      <c r="Q292" s="5">
        <f>M292+N292+O292+P292</f>
        <v/>
      </c>
      <c r="R292" s="5">
        <f>L292-Q292</f>
        <v/>
      </c>
      <c r="S292" s="6">
        <f>R292*4.7</f>
        <v/>
      </c>
      <c r="T292" s="7">
        <f>IF(L292&gt;0,R292/L292,0)</f>
        <v/>
      </c>
      <c r="U292" s="3" t="inlineStr">
        <is>
          <t>23/05/2026 21:37:20</t>
        </is>
      </c>
    </row>
    <row r="293">
      <c r="A293" s="3" t="inlineStr">
        <is>
          <t>584166540105647799</t>
        </is>
      </c>
      <c r="B293" s="3" t="inlineStr">
        <is>
          <t>已发货</t>
        </is>
      </c>
      <c r="C293" s="3" t="inlineStr">
        <is>
          <t>B1</t>
        </is>
      </c>
      <c r="D293" s="3" t="inlineStr">
        <is>
          <t>魔芋笋1大袋</t>
        </is>
      </c>
      <c r="E2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3" s="3" t="inlineStr">
        <is>
          <t>รสเปรี้ยวเผ็ด​, 10 ซอง 200g</t>
        </is>
      </c>
      <c r="G293" s="6" t="n">
        <v>1</v>
      </c>
      <c r="H293" s="6" t="n">
        <v>69</v>
      </c>
      <c r="I293" s="6" t="n">
        <v>0</v>
      </c>
      <c r="J293" s="6" t="n">
        <v>38</v>
      </c>
      <c r="K293" s="6">
        <f>H293+I293</f>
        <v/>
      </c>
      <c r="L293" s="5">
        <f>K293/4.7</f>
        <v/>
      </c>
      <c r="M293" s="6" t="n">
        <v>6.699999999999999</v>
      </c>
      <c r="N293" s="6" t="n">
        <v>1</v>
      </c>
      <c r="O293" s="6">
        <f>(K293*0.1229+1.05)/4.7</f>
        <v/>
      </c>
      <c r="P293" s="6">
        <f>K293*0.0749/4.7</f>
        <v/>
      </c>
      <c r="Q293" s="5">
        <f>M293+N293+O293+P293</f>
        <v/>
      </c>
      <c r="R293" s="5">
        <f>L293-Q293</f>
        <v/>
      </c>
      <c r="S293" s="6">
        <f>R293*4.7</f>
        <v/>
      </c>
      <c r="T293" s="7">
        <f>IF(L293&gt;0,R293/L293,0)</f>
        <v/>
      </c>
      <c r="U293" s="3" t="inlineStr">
        <is>
          <t>23/05/2026 21:36:08</t>
        </is>
      </c>
    </row>
    <row r="294">
      <c r="A294" s="3" t="inlineStr">
        <is>
          <t>584166347619993458</t>
        </is>
      </c>
      <c r="B294" s="3" t="inlineStr">
        <is>
          <t>已发货</t>
        </is>
      </c>
      <c r="C294" s="3" t="inlineStr">
        <is>
          <t>Js6</t>
        </is>
      </c>
      <c r="D294" s="3" t="inlineStr">
        <is>
          <t>果冻6个</t>
        </is>
      </c>
      <c r="E294" s="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294" s="3" t="inlineStr">
        <is>
          <t>ชุดทดลอง(จำกัด50ชุดแรก!)1ชุด 6ชิ้น คละ3รส</t>
        </is>
      </c>
      <c r="G294" s="6" t="n">
        <v>2</v>
      </c>
      <c r="H294" s="6" t="n">
        <v>185</v>
      </c>
      <c r="I294" s="6" t="n">
        <v>0</v>
      </c>
      <c r="J294" s="6" t="n">
        <v>38</v>
      </c>
      <c r="K294" s="6">
        <f>H294+I294</f>
        <v/>
      </c>
      <c r="L294" s="5">
        <f>K294/4.7</f>
        <v/>
      </c>
      <c r="M294" s="6" t="n">
        <v>8</v>
      </c>
      <c r="N294" s="6" t="n">
        <v>0.5</v>
      </c>
      <c r="O294" s="6">
        <f>(K294*0.1229+1.05)/4.7</f>
        <v/>
      </c>
      <c r="P294" s="6">
        <f>K294*0.0749/4.7</f>
        <v/>
      </c>
      <c r="Q294" s="5">
        <f>M294+N294+O294+P294</f>
        <v/>
      </c>
      <c r="R294" s="5">
        <f>L294-Q294</f>
        <v/>
      </c>
      <c r="S294" s="6">
        <f>R294*4.7</f>
        <v/>
      </c>
      <c r="T294" s="7">
        <f>IF(L294&gt;0,R294/L294,0)</f>
        <v/>
      </c>
      <c r="U294" s="3" t="inlineStr">
        <is>
          <t>23/05/2026 21:20:17</t>
        </is>
      </c>
    </row>
    <row r="295">
      <c r="A295" s="3" t="inlineStr">
        <is>
          <t>584166347619993458</t>
        </is>
      </c>
      <c r="B295" s="3" t="inlineStr">
        <is>
          <t>已发货</t>
        </is>
      </c>
      <c r="C295" s="3" t="inlineStr">
        <is>
          <t>CK</t>
        </is>
      </c>
      <c r="D295" s="3" t="inlineStr">
        <is>
          <t>黑松露黑麦苏打饼干</t>
        </is>
      </c>
      <c r="E29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95" s="3" t="inlineStr">
        <is>
          <t>ค่าเริ่มต้น</t>
        </is>
      </c>
      <c r="G295" s="6" t="n">
        <v>1</v>
      </c>
      <c r="H295" s="6" t="n">
        <v>185</v>
      </c>
      <c r="I295" s="6" t="n">
        <v>0</v>
      </c>
      <c r="J295" s="6" t="n">
        <v>38</v>
      </c>
      <c r="K295" s="6">
        <f>H295+I295</f>
        <v/>
      </c>
      <c r="L295" s="5">
        <f>K295/4.7</f>
        <v/>
      </c>
      <c r="M295" s="6" t="n">
        <v>10.72665050209467</v>
      </c>
      <c r="N295" s="6" t="n">
        <v>1</v>
      </c>
      <c r="O295" s="6">
        <f>(K295*0.1229+1.05)/4.7</f>
        <v/>
      </c>
      <c r="P295" s="6">
        <f>K295*0.0749/4.7</f>
        <v/>
      </c>
      <c r="Q295" s="5">
        <f>M295+N295+O295+P295</f>
        <v/>
      </c>
      <c r="R295" s="5">
        <f>L295-Q295</f>
        <v/>
      </c>
      <c r="S295" s="6">
        <f>R295*4.7</f>
        <v/>
      </c>
      <c r="T295" s="7">
        <f>IF(L295&gt;0,R295/L295,0)</f>
        <v/>
      </c>
      <c r="U295" s="3" t="inlineStr">
        <is>
          <t>23/05/2026 21:20:17</t>
        </is>
      </c>
    </row>
    <row r="296">
      <c r="A296" s="3" t="inlineStr">
        <is>
          <t>584166165467071947</t>
        </is>
      </c>
      <c r="B296" s="3" t="inlineStr">
        <is>
          <t>已发货</t>
        </is>
      </c>
      <c r="C296" s="3" t="inlineStr">
        <is>
          <t>C3</t>
        </is>
      </c>
      <c r="D296" s="3" t="inlineStr">
        <is>
          <t>魔芋笋3大袋</t>
        </is>
      </c>
      <c r="E2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6" s="3" t="inlineStr">
        <is>
          <t>รสเผ็ดหอม​, 30 ซอง 600g</t>
        </is>
      </c>
      <c r="G296" s="6" t="n">
        <v>1</v>
      </c>
      <c r="H296" s="6" t="n">
        <v>167.16</v>
      </c>
      <c r="I296" s="6" t="n">
        <v>0</v>
      </c>
      <c r="J296" s="6" t="n">
        <v>32</v>
      </c>
      <c r="K296" s="6">
        <f>H296+I296</f>
        <v/>
      </c>
      <c r="L296" s="5">
        <f>K296/4.7</f>
        <v/>
      </c>
      <c r="M296" s="6" t="n">
        <v>20.1</v>
      </c>
      <c r="N296" s="6" t="n">
        <v>1</v>
      </c>
      <c r="O296" s="6">
        <f>(K296*0.1229+1.05)/4.7</f>
        <v/>
      </c>
      <c r="P296" s="6">
        <f>K296*0.0749/4.7</f>
        <v/>
      </c>
      <c r="Q296" s="5">
        <f>M296+N296+O296+P296</f>
        <v/>
      </c>
      <c r="R296" s="5">
        <f>L296-Q296</f>
        <v/>
      </c>
      <c r="S296" s="6">
        <f>R296*4.7</f>
        <v/>
      </c>
      <c r="T296" s="7">
        <f>IF(L296&gt;0,R296/L296,0)</f>
        <v/>
      </c>
      <c r="U296" s="3" t="inlineStr">
        <is>
          <t>23/05/2026 21:10:01</t>
        </is>
      </c>
    </row>
    <row r="297">
      <c r="A297" s="3" t="inlineStr">
        <is>
          <t>584166087762020197</t>
        </is>
      </c>
      <c r="B297" s="3" t="inlineStr">
        <is>
          <t>已发货</t>
        </is>
      </c>
      <c r="C297" s="3" t="inlineStr">
        <is>
          <t>ER-B</t>
        </is>
      </c>
      <c r="D297" s="3" t="inlineStr">
        <is>
          <t>广州酒家黄油鸡蛋卷480g</t>
        </is>
      </c>
      <c r="E297" s="3" t="inlineStr">
        <is>
          <t>Egg Roll 2สูตร ทองม้วนไข่กล่องเหล็กพรีเมี่ยม!! GuangZhou Restaurant 454g/480g กล่องล่ะ 24 แท่ง</t>
        </is>
      </c>
      <c r="F297" s="3" t="inlineStr">
        <is>
          <t>Butter สูตรเนยสด พรีเมี่ยม</t>
        </is>
      </c>
      <c r="G297" s="6" t="n">
        <v>1</v>
      </c>
      <c r="H297" s="6" t="n">
        <v>360</v>
      </c>
      <c r="I297" s="6" t="n">
        <v>0</v>
      </c>
      <c r="J297" s="6" t="n">
        <v>35</v>
      </c>
      <c r="K297" s="6">
        <f>H297+I297</f>
        <v/>
      </c>
      <c r="L297" s="5">
        <f>K297/4.7</f>
        <v/>
      </c>
      <c r="M297" s="6" t="n">
        <v>45.49882436351998</v>
      </c>
      <c r="N297" s="6" t="n">
        <v>2</v>
      </c>
      <c r="O297" s="6">
        <f>(K297*0.1229+1.05)/4.7</f>
        <v/>
      </c>
      <c r="P297" s="6">
        <f>K297*0.0749/4.7</f>
        <v/>
      </c>
      <c r="Q297" s="5">
        <f>M297+N297+O297+P297</f>
        <v/>
      </c>
      <c r="R297" s="5">
        <f>L297-Q297</f>
        <v/>
      </c>
      <c r="S297" s="6">
        <f>R297*4.7</f>
        <v/>
      </c>
      <c r="T297" s="7">
        <f>IF(L297&gt;0,R297/L297,0)</f>
        <v/>
      </c>
      <c r="U297" s="3" t="inlineStr">
        <is>
          <t>23/05/2026 21:03:04</t>
        </is>
      </c>
    </row>
    <row r="298">
      <c r="A298" s="3" t="inlineStr">
        <is>
          <t>584165573277680707</t>
        </is>
      </c>
      <c r="B298" s="3" t="inlineStr">
        <is>
          <t>已发货</t>
        </is>
      </c>
      <c r="C298" s="3" t="inlineStr">
        <is>
          <t>C5s</t>
        </is>
      </c>
      <c r="D298" s="3" t="inlineStr">
        <is>
          <t>香辣味魔芋笋5小袋</t>
        </is>
      </c>
      <c r="E2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8" s="3" t="inlineStr">
        <is>
          <t>รสเผ็ดหอม​, *ชุดเล็ก 5 ซอง 100g</t>
        </is>
      </c>
      <c r="G298" s="6" t="n">
        <v>1</v>
      </c>
      <c r="H298" s="6" t="n">
        <v>47</v>
      </c>
      <c r="I298" s="6" t="n">
        <v>0</v>
      </c>
      <c r="J298" s="6" t="n">
        <v>35</v>
      </c>
      <c r="K298" s="6">
        <f>H298+I298</f>
        <v/>
      </c>
      <c r="L298" s="5">
        <f>K298/4.7</f>
        <v/>
      </c>
      <c r="M298" s="6" t="n">
        <v>3.35</v>
      </c>
      <c r="N298" s="6" t="n">
        <v>1</v>
      </c>
      <c r="O298" s="6">
        <f>(K298*0.1229+1.05)/4.7</f>
        <v/>
      </c>
      <c r="P298" s="6">
        <f>K298*0.0749/4.7</f>
        <v/>
      </c>
      <c r="Q298" s="5">
        <f>M298+N298+O298+P298</f>
        <v/>
      </c>
      <c r="R298" s="5">
        <f>L298-Q298</f>
        <v/>
      </c>
      <c r="S298" s="6">
        <f>R298*4.7</f>
        <v/>
      </c>
      <c r="T298" s="7">
        <f>IF(L298&gt;0,R298/L298,0)</f>
        <v/>
      </c>
      <c r="U298" s="3" t="inlineStr">
        <is>
          <t>23/05/2026 20:29:29</t>
        </is>
      </c>
    </row>
    <row r="299">
      <c r="A299" s="3" t="inlineStr">
        <is>
          <t>584165397768472218</t>
        </is>
      </c>
      <c r="B299" s="3" t="inlineStr">
        <is>
          <t>已取消</t>
        </is>
      </c>
      <c r="C299" s="3" t="inlineStr">
        <is>
          <t>C2</t>
        </is>
      </c>
      <c r="D299" s="3" t="inlineStr">
        <is>
          <t>魔芋笋2大袋</t>
        </is>
      </c>
      <c r="E299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99" s="3" t="inlineStr">
        <is>
          <t>รสเผ็ดหอม​, 2pcs  400g</t>
        </is>
      </c>
      <c r="G299" s="6" t="n">
        <v>1</v>
      </c>
      <c r="H299" s="6" t="n">
        <v>125</v>
      </c>
      <c r="I299" s="6" t="n">
        <v>0</v>
      </c>
      <c r="J299" s="6" t="n">
        <v>28</v>
      </c>
      <c r="K299" s="6">
        <f>H299+I299</f>
        <v/>
      </c>
      <c r="L299" s="5">
        <f>K299/4.7</f>
        <v/>
      </c>
      <c r="M299" s="6" t="n">
        <v>13.4</v>
      </c>
      <c r="N299" s="6" t="n">
        <v>1</v>
      </c>
      <c r="O299" s="6">
        <f>(K299*0.1229+1.05)/4.7</f>
        <v/>
      </c>
      <c r="P299" s="6">
        <f>K299*0.0749/4.7</f>
        <v/>
      </c>
      <c r="Q299" s="5">
        <f>M299+N299+O299+P299</f>
        <v/>
      </c>
      <c r="R299" s="5">
        <f>L299-Q299</f>
        <v/>
      </c>
      <c r="S299" s="6">
        <f>R299*4.7</f>
        <v/>
      </c>
      <c r="T299" s="7">
        <f>IF(L299&gt;0,R299/L299,0)</f>
        <v/>
      </c>
      <c r="U299" s="3" t="inlineStr">
        <is>
          <t>23/05/2026 20:18:54</t>
        </is>
      </c>
    </row>
    <row r="300">
      <c r="A300" s="3" t="inlineStr">
        <is>
          <t>584164971467670950</t>
        </is>
      </c>
      <c r="B300" s="3" t="inlineStr">
        <is>
          <t>已取消</t>
        </is>
      </c>
      <c r="C300" s="3" t="inlineStr">
        <is>
          <t>B1</t>
        </is>
      </c>
      <c r="D300" s="3" t="inlineStr">
        <is>
          <t>魔芋笋1大袋</t>
        </is>
      </c>
      <c r="E30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0" s="3" t="inlineStr">
        <is>
          <t>รสเปรี้ยวเผ็ด​, 10 ซอง 200g</t>
        </is>
      </c>
      <c r="G300" s="6" t="n">
        <v>1</v>
      </c>
      <c r="H300" s="6" t="n">
        <v>69</v>
      </c>
      <c r="I300" s="6" t="n">
        <v>0</v>
      </c>
      <c r="J300" s="6" t="n">
        <v>35</v>
      </c>
      <c r="K300" s="6">
        <f>H300+I300</f>
        <v/>
      </c>
      <c r="L300" s="5">
        <f>K300/4.7</f>
        <v/>
      </c>
      <c r="M300" s="6" t="n">
        <v>6.699999999999999</v>
      </c>
      <c r="N300" s="6" t="n">
        <v>1</v>
      </c>
      <c r="O300" s="6">
        <f>(K300*0.1229+1.05)/4.7</f>
        <v/>
      </c>
      <c r="P300" s="6">
        <f>K300*0.0749/4.7</f>
        <v/>
      </c>
      <c r="Q300" s="5">
        <f>M300+N300+O300+P300</f>
        <v/>
      </c>
      <c r="R300" s="5">
        <f>L300-Q300</f>
        <v/>
      </c>
      <c r="S300" s="6">
        <f>R300*4.7</f>
        <v/>
      </c>
      <c r="T300" s="7">
        <f>IF(L300&gt;0,R300/L300,0)</f>
        <v/>
      </c>
      <c r="U300" s="3" t="inlineStr">
        <is>
          <t>23/05/2026 19:50:28</t>
        </is>
      </c>
    </row>
    <row r="301">
      <c r="A301" s="3" t="inlineStr">
        <is>
          <t>584164914071045610</t>
        </is>
      </c>
      <c r="B301" s="3" t="inlineStr">
        <is>
          <t>已发货</t>
        </is>
      </c>
      <c r="C301" s="3" t="inlineStr">
        <is>
          <t>C1</t>
        </is>
      </c>
      <c r="D301" s="3" t="inlineStr">
        <is>
          <t>魔芋笋1大袋</t>
        </is>
      </c>
      <c r="E301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01" s="3" t="inlineStr">
        <is>
          <t>รสเผ็ดหอม​, 1pcs   200g</t>
        </is>
      </c>
      <c r="G301" s="6" t="n">
        <v>1</v>
      </c>
      <c r="H301" s="6" t="n">
        <v>59.9</v>
      </c>
      <c r="I301" s="6" t="n">
        <v>0.1</v>
      </c>
      <c r="J301" s="6" t="n">
        <v>38</v>
      </c>
      <c r="K301" s="6">
        <f>H301+I301</f>
        <v/>
      </c>
      <c r="L301" s="5">
        <f>K301/4.7</f>
        <v/>
      </c>
      <c r="M301" s="6" t="n">
        <v>6.699999999999999</v>
      </c>
      <c r="N301" s="6" t="n">
        <v>1</v>
      </c>
      <c r="O301" s="6">
        <f>(K301*0.1229+1.05)/4.7</f>
        <v/>
      </c>
      <c r="P301" s="6">
        <f>K301*0.0749/4.7</f>
        <v/>
      </c>
      <c r="Q301" s="5">
        <f>M301+N301+O301+P301</f>
        <v/>
      </c>
      <c r="R301" s="5">
        <f>L301-Q301</f>
        <v/>
      </c>
      <c r="S301" s="6">
        <f>R301*4.7</f>
        <v/>
      </c>
      <c r="T301" s="7">
        <f>IF(L301&gt;0,R301/L301,0)</f>
        <v/>
      </c>
      <c r="U301" s="3" t="inlineStr">
        <is>
          <t>23/05/2026 19:47:40</t>
        </is>
      </c>
    </row>
    <row r="302">
      <c r="A302" s="3" t="inlineStr">
        <is>
          <t>584164154673497846</t>
        </is>
      </c>
      <c r="B302" s="3" t="inlineStr">
        <is>
          <t>已发货</t>
        </is>
      </c>
      <c r="C302" s="3" t="inlineStr">
        <is>
          <t>C2</t>
        </is>
      </c>
      <c r="D302" s="3" t="inlineStr">
        <is>
          <t>魔芋笋2大袋</t>
        </is>
      </c>
      <c r="E3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2" s="3" t="inlineStr">
        <is>
          <t>รสเผ็ดหอม​, 20 ซอง 400g</t>
        </is>
      </c>
      <c r="G302" s="6" t="n">
        <v>1</v>
      </c>
      <c r="H302" s="6" t="n">
        <v>122</v>
      </c>
      <c r="I302" s="6" t="n">
        <v>3</v>
      </c>
      <c r="J302" s="6" t="n">
        <v>38</v>
      </c>
      <c r="K302" s="6">
        <f>H302+I302</f>
        <v/>
      </c>
      <c r="L302" s="5">
        <f>K302/4.7</f>
        <v/>
      </c>
      <c r="M302" s="6" t="n">
        <v>13.4</v>
      </c>
      <c r="N302" s="6" t="n">
        <v>1</v>
      </c>
      <c r="O302" s="6">
        <f>(K302*0.1229+1.05)/4.7</f>
        <v/>
      </c>
      <c r="P302" s="6">
        <f>K302*0.0749/4.7</f>
        <v/>
      </c>
      <c r="Q302" s="5">
        <f>M302+N302+O302+P302</f>
        <v/>
      </c>
      <c r="R302" s="5">
        <f>L302-Q302</f>
        <v/>
      </c>
      <c r="S302" s="6">
        <f>R302*4.7</f>
        <v/>
      </c>
      <c r="T302" s="7">
        <f>IF(L302&gt;0,R302/L302,0)</f>
        <v/>
      </c>
      <c r="U302" s="3" t="inlineStr">
        <is>
          <t>23/05/2026 18:50:57</t>
        </is>
      </c>
    </row>
    <row r="303">
      <c r="A303" s="3" t="inlineStr">
        <is>
          <t>584163946735174878</t>
        </is>
      </c>
      <c r="B303" s="3" t="inlineStr">
        <is>
          <t>已发货</t>
        </is>
      </c>
      <c r="C303" s="3" t="inlineStr">
        <is>
          <t>C1</t>
        </is>
      </c>
      <c r="D303" s="3" t="inlineStr">
        <is>
          <t>魔芋笋1大袋</t>
        </is>
      </c>
      <c r="E3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3" s="3" t="inlineStr">
        <is>
          <t>รสเผ็ดหอม​, 10 ซอง 200g</t>
        </is>
      </c>
      <c r="G303" s="6" t="n">
        <v>1</v>
      </c>
      <c r="H303" s="6" t="n">
        <v>69</v>
      </c>
      <c r="I303" s="6" t="n">
        <v>0</v>
      </c>
      <c r="J303" s="6" t="n">
        <v>38</v>
      </c>
      <c r="K303" s="6">
        <f>H303+I303</f>
        <v/>
      </c>
      <c r="L303" s="5">
        <f>K303/4.7</f>
        <v/>
      </c>
      <c r="M303" s="6" t="n">
        <v>6.699999999999999</v>
      </c>
      <c r="N303" s="6" t="n">
        <v>1</v>
      </c>
      <c r="O303" s="6">
        <f>(K303*0.1229+1.05)/4.7</f>
        <v/>
      </c>
      <c r="P303" s="6">
        <f>K303*0.0749/4.7</f>
        <v/>
      </c>
      <c r="Q303" s="5">
        <f>M303+N303+O303+P303</f>
        <v/>
      </c>
      <c r="R303" s="5">
        <f>L303-Q303</f>
        <v/>
      </c>
      <c r="S303" s="6">
        <f>R303*4.7</f>
        <v/>
      </c>
      <c r="T303" s="7">
        <f>IF(L303&gt;0,R303/L303,0)</f>
        <v/>
      </c>
      <c r="U303" s="3" t="inlineStr">
        <is>
          <t>23/05/2026 18:38:09</t>
        </is>
      </c>
    </row>
    <row r="304">
      <c r="A304" s="3" t="inlineStr">
        <is>
          <t>584163917798540445</t>
        </is>
      </c>
      <c r="B304" s="3" t="inlineStr">
        <is>
          <t>已发货</t>
        </is>
      </c>
      <c r="C304" s="3" t="inlineStr">
        <is>
          <t>C1</t>
        </is>
      </c>
      <c r="D304" s="3" t="inlineStr">
        <is>
          <t>魔芋笋1大袋</t>
        </is>
      </c>
      <c r="E3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4" s="3" t="inlineStr">
        <is>
          <t>รสเผ็ดหอม​, 10 ซอง 200g</t>
        </is>
      </c>
      <c r="G304" s="6" t="n">
        <v>1</v>
      </c>
      <c r="H304" s="6" t="n">
        <v>69</v>
      </c>
      <c r="I304" s="6" t="n">
        <v>0</v>
      </c>
      <c r="J304" s="6" t="n">
        <v>29</v>
      </c>
      <c r="K304" s="6">
        <f>H304+I304</f>
        <v/>
      </c>
      <c r="L304" s="5">
        <f>K304/4.7</f>
        <v/>
      </c>
      <c r="M304" s="6" t="n">
        <v>6.699999999999999</v>
      </c>
      <c r="N304" s="6" t="n">
        <v>1</v>
      </c>
      <c r="O304" s="6">
        <f>(K304*0.1229+1.05)/4.7</f>
        <v/>
      </c>
      <c r="P304" s="6">
        <f>K304*0.0749/4.7</f>
        <v/>
      </c>
      <c r="Q304" s="5">
        <f>M304+N304+O304+P304</f>
        <v/>
      </c>
      <c r="R304" s="5">
        <f>L304-Q304</f>
        <v/>
      </c>
      <c r="S304" s="6">
        <f>R304*4.7</f>
        <v/>
      </c>
      <c r="T304" s="7">
        <f>IF(L304&gt;0,R304/L304,0)</f>
        <v/>
      </c>
      <c r="U304" s="3" t="inlineStr">
        <is>
          <t>23/05/2026 18:34:54</t>
        </is>
      </c>
    </row>
    <row r="305">
      <c r="A305" s="3" t="inlineStr">
        <is>
          <t>584163729793517442</t>
        </is>
      </c>
      <c r="B305" s="3" t="inlineStr">
        <is>
          <t>已发货</t>
        </is>
      </c>
      <c r="C305" s="3" t="inlineStr">
        <is>
          <t>CK</t>
        </is>
      </c>
      <c r="D305" s="3" t="inlineStr">
        <is>
          <t>黑松露黑麦苏打饼干</t>
        </is>
      </c>
      <c r="E30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5" s="3" t="inlineStr">
        <is>
          <t>ค่าเริ่มต้น</t>
        </is>
      </c>
      <c r="G305" s="6" t="n">
        <v>1</v>
      </c>
      <c r="H305" s="6" t="n">
        <v>65</v>
      </c>
      <c r="I305" s="6" t="n">
        <v>40</v>
      </c>
      <c r="J305" s="6" t="n">
        <v>35</v>
      </c>
      <c r="K305" s="6">
        <f>H305+I305</f>
        <v/>
      </c>
      <c r="L305" s="5">
        <f>K305/4.7</f>
        <v/>
      </c>
      <c r="M305" s="6" t="n">
        <v>10.72665050209467</v>
      </c>
      <c r="N305" s="6" t="n">
        <v>1</v>
      </c>
      <c r="O305" s="6">
        <f>(K305*0.1229+1.05)/4.7</f>
        <v/>
      </c>
      <c r="P305" s="6">
        <f>K305*0.0749/4.7</f>
        <v/>
      </c>
      <c r="Q305" s="5">
        <f>M305+N305+O305+P305</f>
        <v/>
      </c>
      <c r="R305" s="5">
        <f>L305-Q305</f>
        <v/>
      </c>
      <c r="S305" s="6">
        <f>R305*4.7</f>
        <v/>
      </c>
      <c r="T305" s="7">
        <f>IF(L305&gt;0,R305/L305,0)</f>
        <v/>
      </c>
      <c r="U305" s="3" t="inlineStr">
        <is>
          <t>23/05/2026 18:19:04</t>
        </is>
      </c>
    </row>
    <row r="306">
      <c r="A306" s="3" t="inlineStr">
        <is>
          <t>584163472083616866</t>
        </is>
      </c>
      <c r="B306" s="3" t="inlineStr">
        <is>
          <t>已发货</t>
        </is>
      </c>
      <c r="C306" s="3" t="inlineStr">
        <is>
          <t>C3</t>
        </is>
      </c>
      <c r="D306" s="3" t="inlineStr">
        <is>
          <t>魔芋笋3大袋</t>
        </is>
      </c>
      <c r="E3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6" s="3" t="inlineStr">
        <is>
          <t>รสเผ็ดหอม​, 30 ซอง 600g</t>
        </is>
      </c>
      <c r="G306" s="6" t="n">
        <v>1</v>
      </c>
      <c r="H306" s="6" t="n">
        <v>100.2</v>
      </c>
      <c r="I306" s="6" t="n">
        <v>66.8</v>
      </c>
      <c r="J306" s="6" t="n">
        <v>38</v>
      </c>
      <c r="K306" s="6">
        <f>H306+I306</f>
        <v/>
      </c>
      <c r="L306" s="5">
        <f>K306/4.7</f>
        <v/>
      </c>
      <c r="M306" s="6" t="n">
        <v>20.1</v>
      </c>
      <c r="N306" s="6" t="n">
        <v>1</v>
      </c>
      <c r="O306" s="6">
        <f>(K306*0.1229+1.05)/4.7</f>
        <v/>
      </c>
      <c r="P306" s="6">
        <f>K306*0.0749/4.7</f>
        <v/>
      </c>
      <c r="Q306" s="5">
        <f>M306+N306+O306+P306</f>
        <v/>
      </c>
      <c r="R306" s="5">
        <f>L306-Q306</f>
        <v/>
      </c>
      <c r="S306" s="6">
        <f>R306*4.7</f>
        <v/>
      </c>
      <c r="T306" s="7">
        <f>IF(L306&gt;0,R306/L306,0)</f>
        <v/>
      </c>
      <c r="U306" s="3" t="inlineStr">
        <is>
          <t>23/05/2026 18:04:03</t>
        </is>
      </c>
    </row>
    <row r="307">
      <c r="A307" s="3" t="inlineStr">
        <is>
          <t>584163354048169078</t>
        </is>
      </c>
      <c r="B307" s="3" t="inlineStr">
        <is>
          <t>已发货</t>
        </is>
      </c>
      <c r="C307" s="3" t="inlineStr">
        <is>
          <t>B5s</t>
        </is>
      </c>
      <c r="D307" s="3" t="inlineStr">
        <is>
          <t>酸辣味5小袋</t>
        </is>
      </c>
      <c r="E3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7" s="3" t="inlineStr">
        <is>
          <t>รสเปรี้ยวเผ็ด​, *ชุดเล็ก 5 ซอง 100g</t>
        </is>
      </c>
      <c r="G307" s="6" t="n">
        <v>1</v>
      </c>
      <c r="H307" s="6" t="n">
        <v>47</v>
      </c>
      <c r="I307" s="6" t="n">
        <v>0</v>
      </c>
      <c r="J307" s="6" t="n">
        <v>24</v>
      </c>
      <c r="K307" s="6">
        <f>H307+I307</f>
        <v/>
      </c>
      <c r="L307" s="5">
        <f>K307/4.7</f>
        <v/>
      </c>
      <c r="M307" s="6" t="n">
        <v>3.35</v>
      </c>
      <c r="N307" s="6" t="n">
        <v>1</v>
      </c>
      <c r="O307" s="6">
        <f>(K307*0.1229+1.05)/4.7</f>
        <v/>
      </c>
      <c r="P307" s="6">
        <f>K307*0.0749/4.7</f>
        <v/>
      </c>
      <c r="Q307" s="5">
        <f>M307+N307+O307+P307</f>
        <v/>
      </c>
      <c r="R307" s="5">
        <f>L307-Q307</f>
        <v/>
      </c>
      <c r="S307" s="6">
        <f>R307*4.7</f>
        <v/>
      </c>
      <c r="T307" s="7">
        <f>IF(L307&gt;0,R307/L307,0)</f>
        <v/>
      </c>
      <c r="U307" s="3" t="inlineStr">
        <is>
          <t>23/05/2026 17:54:57</t>
        </is>
      </c>
    </row>
    <row r="308">
      <c r="A308" s="3" t="inlineStr">
        <is>
          <t>584162579563578795</t>
        </is>
      </c>
      <c r="B308" s="3" t="inlineStr">
        <is>
          <t>已发货</t>
        </is>
      </c>
      <c r="C308" s="3" t="inlineStr">
        <is>
          <t>C1</t>
        </is>
      </c>
      <c r="D308" s="3" t="inlineStr">
        <is>
          <t>魔芋笋1大袋</t>
        </is>
      </c>
      <c r="E3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8" s="3" t="inlineStr">
        <is>
          <t>รสเผ็ดหอม​, 10 ซอง 200g</t>
        </is>
      </c>
      <c r="G308" s="6" t="n">
        <v>1</v>
      </c>
      <c r="H308" s="6" t="n">
        <v>69</v>
      </c>
      <c r="I308" s="6" t="n">
        <v>0</v>
      </c>
      <c r="J308" s="6" t="n">
        <v>29</v>
      </c>
      <c r="K308" s="6">
        <f>H308+I308</f>
        <v/>
      </c>
      <c r="L308" s="5">
        <f>K308/4.7</f>
        <v/>
      </c>
      <c r="M308" s="6" t="n">
        <v>6.699999999999999</v>
      </c>
      <c r="N308" s="6" t="n">
        <v>1</v>
      </c>
      <c r="O308" s="6">
        <f>(K308*0.1229+1.05)/4.7</f>
        <v/>
      </c>
      <c r="P308" s="6">
        <f>K308*0.0749/4.7</f>
        <v/>
      </c>
      <c r="Q308" s="5">
        <f>M308+N308+O308+P308</f>
        <v/>
      </c>
      <c r="R308" s="5">
        <f>L308-Q308</f>
        <v/>
      </c>
      <c r="S308" s="6">
        <f>R308*4.7</f>
        <v/>
      </c>
      <c r="T308" s="7">
        <f>IF(L308&gt;0,R308/L308,0)</f>
        <v/>
      </c>
      <c r="U308" s="3" t="inlineStr">
        <is>
          <t>23/05/2026 16:51:15</t>
        </is>
      </c>
    </row>
    <row r="309">
      <c r="A309" s="3" t="inlineStr">
        <is>
          <t>584162476531287610</t>
        </is>
      </c>
      <c r="B309" s="3" t="inlineStr">
        <is>
          <t>已发货</t>
        </is>
      </c>
      <c r="C309" s="3" t="inlineStr">
        <is>
          <t>C2</t>
        </is>
      </c>
      <c r="D309" s="3" t="inlineStr">
        <is>
          <t>魔芋笋2大袋</t>
        </is>
      </c>
      <c r="E3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9" s="3" t="inlineStr">
        <is>
          <t>รสเผ็ดหอม​, 20 ซอง 400g</t>
        </is>
      </c>
      <c r="G309" s="6" t="n">
        <v>1</v>
      </c>
      <c r="H309" s="6" t="n">
        <v>154.9</v>
      </c>
      <c r="I309" s="6" t="n">
        <v>0.1</v>
      </c>
      <c r="J309" s="6" t="n">
        <v>0</v>
      </c>
      <c r="K309" s="6">
        <f>H309+I309</f>
        <v/>
      </c>
      <c r="L309" s="5">
        <f>K309/4.7</f>
        <v/>
      </c>
      <c r="M309" s="6" t="n">
        <v>13.4</v>
      </c>
      <c r="N309" s="6" t="n">
        <v>1</v>
      </c>
      <c r="O309" s="6">
        <f>(K309*0.1229+1.05)/4.7</f>
        <v/>
      </c>
      <c r="P309" s="6">
        <f>K309*0.0749/4.7</f>
        <v/>
      </c>
      <c r="Q309" s="5">
        <f>M309+N309+O309+P309</f>
        <v/>
      </c>
      <c r="R309" s="5">
        <f>L309-Q309</f>
        <v/>
      </c>
      <c r="S309" s="6">
        <f>R309*4.7</f>
        <v/>
      </c>
      <c r="T309" s="7">
        <f>IF(L309&gt;0,R309/L309,0)</f>
        <v/>
      </c>
      <c r="U309" s="3" t="inlineStr">
        <is>
          <t>23/05/2026 16:45:22</t>
        </is>
      </c>
    </row>
    <row r="310">
      <c r="A310" s="3" t="inlineStr">
        <is>
          <t>584162509725468652</t>
        </is>
      </c>
      <c r="B310" s="3" t="inlineStr">
        <is>
          <t>已发货</t>
        </is>
      </c>
      <c r="C310" s="3" t="inlineStr">
        <is>
          <t>C5s</t>
        </is>
      </c>
      <c r="D310" s="3" t="inlineStr">
        <is>
          <t>香辣味魔芋笋5小袋</t>
        </is>
      </c>
      <c r="E3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0" s="3" t="inlineStr">
        <is>
          <t>รสเผ็ดหอม​, *ชุดเล็ก 5 ซอง 100g</t>
        </is>
      </c>
      <c r="G310" s="6" t="n">
        <v>1</v>
      </c>
      <c r="H310" s="6" t="n">
        <v>82</v>
      </c>
      <c r="I310" s="6" t="n">
        <v>0</v>
      </c>
      <c r="J310" s="6" t="n">
        <v>0</v>
      </c>
      <c r="K310" s="6">
        <f>H310+I310</f>
        <v/>
      </c>
      <c r="L310" s="5">
        <f>K310/4.7</f>
        <v/>
      </c>
      <c r="M310" s="6" t="n">
        <v>3.35</v>
      </c>
      <c r="N310" s="6" t="n">
        <v>1</v>
      </c>
      <c r="O310" s="6">
        <f>(K310*0.1229+1.05)/4.7</f>
        <v/>
      </c>
      <c r="P310" s="6">
        <f>K310*0.0749/4.7</f>
        <v/>
      </c>
      <c r="Q310" s="5">
        <f>M310+N310+O310+P310</f>
        <v/>
      </c>
      <c r="R310" s="5">
        <f>L310-Q310</f>
        <v/>
      </c>
      <c r="S310" s="6">
        <f>R310*4.7</f>
        <v/>
      </c>
      <c r="T310" s="7">
        <f>IF(L310&gt;0,R310/L310,0)</f>
        <v/>
      </c>
      <c r="U310" s="3" t="inlineStr">
        <is>
          <t>23/05/2026 16:44:59</t>
        </is>
      </c>
    </row>
    <row r="311">
      <c r="A311" s="3" t="inlineStr">
        <is>
          <t>584162429813688054</t>
        </is>
      </c>
      <c r="B311" s="3" t="inlineStr">
        <is>
          <t>已发货</t>
        </is>
      </c>
      <c r="C311" s="3" t="inlineStr">
        <is>
          <t>C1</t>
        </is>
      </c>
      <c r="D311" s="3" t="inlineStr">
        <is>
          <t>魔芋笋1大袋</t>
        </is>
      </c>
      <c r="E3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1" s="3" t="inlineStr">
        <is>
          <t>รสเผ็ดหอม​, 10 ซอง 200g</t>
        </is>
      </c>
      <c r="G311" s="6" t="n">
        <v>1</v>
      </c>
      <c r="H311" s="6" t="n">
        <v>69</v>
      </c>
      <c r="I311" s="6" t="n">
        <v>0</v>
      </c>
      <c r="J311" s="6" t="n">
        <v>38</v>
      </c>
      <c r="K311" s="6">
        <f>H311+I311</f>
        <v/>
      </c>
      <c r="L311" s="5">
        <f>K311/4.7</f>
        <v/>
      </c>
      <c r="M311" s="6" t="n">
        <v>6.699999999999999</v>
      </c>
      <c r="N311" s="6" t="n">
        <v>1</v>
      </c>
      <c r="O311" s="6">
        <f>(K311*0.1229+1.05)/4.7</f>
        <v/>
      </c>
      <c r="P311" s="6">
        <f>K311*0.0749/4.7</f>
        <v/>
      </c>
      <c r="Q311" s="5">
        <f>M311+N311+O311+P311</f>
        <v/>
      </c>
      <c r="R311" s="5">
        <f>L311-Q311</f>
        <v/>
      </c>
      <c r="S311" s="6">
        <f>R311*4.7</f>
        <v/>
      </c>
      <c r="T311" s="7">
        <f>IF(L311&gt;0,R311/L311,0)</f>
        <v/>
      </c>
      <c r="U311" s="3" t="inlineStr">
        <is>
          <t>23/05/2026 16:39:38</t>
        </is>
      </c>
    </row>
    <row r="312">
      <c r="A312" s="3" t="inlineStr">
        <is>
          <t>584162392932648108</t>
        </is>
      </c>
      <c r="B312" s="3" t="inlineStr">
        <is>
          <t>已发货</t>
        </is>
      </c>
      <c r="C312" s="3" t="inlineStr">
        <is>
          <t>C1</t>
        </is>
      </c>
      <c r="D312" s="3" t="inlineStr">
        <is>
          <t>魔芋笋1大袋</t>
        </is>
      </c>
      <c r="E3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2" s="3" t="inlineStr">
        <is>
          <t>รสเผ็ดหอม​, 10 ซอง 200g</t>
        </is>
      </c>
      <c r="G312" s="6" t="n">
        <v>1</v>
      </c>
      <c r="H312" s="6" t="n">
        <v>133</v>
      </c>
      <c r="I312" s="6" t="n">
        <v>0</v>
      </c>
      <c r="J312" s="6" t="n">
        <v>48</v>
      </c>
      <c r="K312" s="6">
        <f>H312+I312</f>
        <v/>
      </c>
      <c r="L312" s="5">
        <f>K312/4.7</f>
        <v/>
      </c>
      <c r="M312" s="6" t="n">
        <v>6.699999999999999</v>
      </c>
      <c r="N312" s="6" t="n">
        <v>1</v>
      </c>
      <c r="O312" s="6">
        <f>(K312*0.1229+1.05)/4.7</f>
        <v/>
      </c>
      <c r="P312" s="6">
        <f>K312*0.0749/4.7</f>
        <v/>
      </c>
      <c r="Q312" s="5">
        <f>M312+N312+O312+P312</f>
        <v/>
      </c>
      <c r="R312" s="5">
        <f>L312-Q312</f>
        <v/>
      </c>
      <c r="S312" s="6">
        <f>R312*4.7</f>
        <v/>
      </c>
      <c r="T312" s="7">
        <f>IF(L312&gt;0,R312/L312,0)</f>
        <v/>
      </c>
      <c r="U312" s="3" t="inlineStr">
        <is>
          <t>23/05/2026 16:37:20</t>
        </is>
      </c>
    </row>
    <row r="313">
      <c r="A313" s="3" t="inlineStr">
        <is>
          <t>584162392932648108</t>
        </is>
      </c>
      <c r="B313" s="3" t="inlineStr">
        <is>
          <t>已发货</t>
        </is>
      </c>
      <c r="C313" s="3" t="inlineStr">
        <is>
          <t>B1</t>
        </is>
      </c>
      <c r="D313" s="3" t="inlineStr">
        <is>
          <t>魔芋笋1大袋</t>
        </is>
      </c>
      <c r="E3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3" s="3" t="inlineStr">
        <is>
          <t>รสเปรี้ยวเผ็ด​, 10 ซอง 200g</t>
        </is>
      </c>
      <c r="G313" s="6" t="n">
        <v>1</v>
      </c>
      <c r="H313" s="6" t="n">
        <v>133</v>
      </c>
      <c r="I313" s="6" t="n">
        <v>0</v>
      </c>
      <c r="J313" s="6" t="n">
        <v>48</v>
      </c>
      <c r="K313" s="6">
        <f>H313+I313</f>
        <v/>
      </c>
      <c r="L313" s="5">
        <f>K313/4.7</f>
        <v/>
      </c>
      <c r="M313" s="6" t="n">
        <v>6.699999999999999</v>
      </c>
      <c r="N313" s="6" t="n">
        <v>1</v>
      </c>
      <c r="O313" s="6">
        <f>(K313*0.1229+1.05)/4.7</f>
        <v/>
      </c>
      <c r="P313" s="6">
        <f>K313*0.0749/4.7</f>
        <v/>
      </c>
      <c r="Q313" s="5">
        <f>M313+N313+O313+P313</f>
        <v/>
      </c>
      <c r="R313" s="5">
        <f>L313-Q313</f>
        <v/>
      </c>
      <c r="S313" s="6">
        <f>R313*4.7</f>
        <v/>
      </c>
      <c r="T313" s="7">
        <f>IF(L313&gt;0,R313/L313,0)</f>
        <v/>
      </c>
      <c r="U313" s="3" t="inlineStr">
        <is>
          <t>23/05/2026 16:37:20</t>
        </is>
      </c>
    </row>
    <row r="314">
      <c r="A314" s="3" t="inlineStr">
        <is>
          <t>584162146714223699</t>
        </is>
      </c>
      <c r="B314" s="3" t="inlineStr">
        <is>
          <t>已取消</t>
        </is>
      </c>
      <c r="C314" s="3" t="inlineStr">
        <is>
          <t>C5s</t>
        </is>
      </c>
      <c r="D314" s="3" t="inlineStr">
        <is>
          <t>香辣味魔芋笋5小袋</t>
        </is>
      </c>
      <c r="E3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4" s="3" t="inlineStr">
        <is>
          <t>รสเผ็ดหอม​, *ชุดเล็ก 5 ซอง 100g</t>
        </is>
      </c>
      <c r="G314" s="6" t="n">
        <v>1</v>
      </c>
      <c r="H314" s="6" t="n">
        <v>32.9</v>
      </c>
      <c r="I314" s="6" t="n">
        <v>14.1</v>
      </c>
      <c r="J314" s="6" t="n">
        <v>29</v>
      </c>
      <c r="K314" s="6">
        <f>H314+I314</f>
        <v/>
      </c>
      <c r="L314" s="5">
        <f>K314/4.7</f>
        <v/>
      </c>
      <c r="M314" s="6" t="n">
        <v>3.35</v>
      </c>
      <c r="N314" s="6" t="n">
        <v>1</v>
      </c>
      <c r="O314" s="6">
        <f>(K314*0.1229+1.05)/4.7</f>
        <v/>
      </c>
      <c r="P314" s="6">
        <f>K314*0.0749/4.7</f>
        <v/>
      </c>
      <c r="Q314" s="5">
        <f>M314+N314+O314+P314</f>
        <v/>
      </c>
      <c r="R314" s="5">
        <f>L314-Q314</f>
        <v/>
      </c>
      <c r="S314" s="6">
        <f>R314*4.7</f>
        <v/>
      </c>
      <c r="T314" s="7">
        <f>IF(L314&gt;0,R314/L314,0)</f>
        <v/>
      </c>
      <c r="U314" s="3" t="inlineStr">
        <is>
          <t>23/05/2026 16:14:59</t>
        </is>
      </c>
    </row>
    <row r="315">
      <c r="A315" s="3" t="inlineStr">
        <is>
          <t>584161848189552624</t>
        </is>
      </c>
      <c r="B315" s="3" t="inlineStr">
        <is>
          <t>已发货</t>
        </is>
      </c>
      <c r="C315" s="3" t="inlineStr">
        <is>
          <t>C3</t>
        </is>
      </c>
      <c r="D315" s="3" t="inlineStr">
        <is>
          <t>魔芋笋3大袋</t>
        </is>
      </c>
      <c r="E3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5" s="3" t="inlineStr">
        <is>
          <t>รสเผ็ดหอม​, 30 ซอง 600g</t>
        </is>
      </c>
      <c r="G315" s="6" t="n">
        <v>1</v>
      </c>
      <c r="H315" s="6" t="n">
        <v>291.9</v>
      </c>
      <c r="I315" s="6" t="n">
        <v>0.06</v>
      </c>
      <c r="J315" s="6" t="n">
        <v>29</v>
      </c>
      <c r="K315" s="6">
        <f>H315+I315</f>
        <v/>
      </c>
      <c r="L315" s="5">
        <f>K315/4.7</f>
        <v/>
      </c>
      <c r="M315" s="6" t="n">
        <v>20.1</v>
      </c>
      <c r="N315" s="6" t="n">
        <v>1</v>
      </c>
      <c r="O315" s="6">
        <f>(K315*0.1229+1.05)/4.7</f>
        <v/>
      </c>
      <c r="P315" s="6">
        <f>K315*0.0749/4.7</f>
        <v/>
      </c>
      <c r="Q315" s="5">
        <f>M315+N315+O315+P315</f>
        <v/>
      </c>
      <c r="R315" s="5">
        <f>L315-Q315</f>
        <v/>
      </c>
      <c r="S315" s="6">
        <f>R315*4.7</f>
        <v/>
      </c>
      <c r="T315" s="7">
        <f>IF(L315&gt;0,R315/L315,0)</f>
        <v/>
      </c>
      <c r="U315" s="3" t="inlineStr">
        <is>
          <t>23/05/2026 15:54:34</t>
        </is>
      </c>
    </row>
    <row r="316">
      <c r="A316" s="3" t="inlineStr">
        <is>
          <t>584161848189552624</t>
        </is>
      </c>
      <c r="B316" s="3" t="inlineStr">
        <is>
          <t>已发货</t>
        </is>
      </c>
      <c r="C316" s="3" t="inlineStr">
        <is>
          <t>B2</t>
        </is>
      </c>
      <c r="D316" s="3" t="inlineStr">
        <is>
          <t>魔芋笋2大袋</t>
        </is>
      </c>
      <c r="E3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6" s="3" t="inlineStr">
        <is>
          <t>รสเปรี้ยวเผ็ด​, 20 ซอง 400g</t>
        </is>
      </c>
      <c r="G316" s="6" t="n">
        <v>1</v>
      </c>
      <c r="H316" s="6" t="n">
        <v>291.9</v>
      </c>
      <c r="I316" s="6" t="n">
        <v>0.04</v>
      </c>
      <c r="J316" s="6" t="n">
        <v>29</v>
      </c>
      <c r="K316" s="6">
        <f>H316+I316</f>
        <v/>
      </c>
      <c r="L316" s="5">
        <f>K316/4.7</f>
        <v/>
      </c>
      <c r="M316" s="6" t="n">
        <v>13.4</v>
      </c>
      <c r="N316" s="6" t="n">
        <v>1</v>
      </c>
      <c r="O316" s="6">
        <f>(K316*0.1229+1.05)/4.7</f>
        <v/>
      </c>
      <c r="P316" s="6">
        <f>K316*0.0749/4.7</f>
        <v/>
      </c>
      <c r="Q316" s="5">
        <f>M316+N316+O316+P316</f>
        <v/>
      </c>
      <c r="R316" s="5">
        <f>L316-Q316</f>
        <v/>
      </c>
      <c r="S316" s="6">
        <f>R316*4.7</f>
        <v/>
      </c>
      <c r="T316" s="7">
        <f>IF(L316&gt;0,R316/L316,0)</f>
        <v/>
      </c>
      <c r="U316" s="3" t="inlineStr">
        <is>
          <t>23/05/2026 15:54:34</t>
        </is>
      </c>
    </row>
    <row r="317">
      <c r="A317" s="3" t="inlineStr">
        <is>
          <t>584161831958054845</t>
        </is>
      </c>
      <c r="B317" s="3" t="inlineStr">
        <is>
          <t>已发货</t>
        </is>
      </c>
      <c r="C317" s="3" t="inlineStr">
        <is>
          <t>C3</t>
        </is>
      </c>
      <c r="D317" s="3" t="inlineStr">
        <is>
          <t>魔芋笋3大袋</t>
        </is>
      </c>
      <c r="E3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7" s="3" t="inlineStr">
        <is>
          <t>รสเผ็ดหอม​, 30 ซอง 600g</t>
        </is>
      </c>
      <c r="G317" s="6" t="n">
        <v>1</v>
      </c>
      <c r="H317" s="6" t="n">
        <v>167</v>
      </c>
      <c r="I317" s="6" t="n">
        <v>0</v>
      </c>
      <c r="J317" s="6" t="n">
        <v>88</v>
      </c>
      <c r="K317" s="6">
        <f>H317+I317</f>
        <v/>
      </c>
      <c r="L317" s="5">
        <f>K317/4.7</f>
        <v/>
      </c>
      <c r="M317" s="6" t="n">
        <v>20.1</v>
      </c>
      <c r="N317" s="6" t="n">
        <v>1</v>
      </c>
      <c r="O317" s="6">
        <f>(K317*0.1229+1.05)/4.7</f>
        <v/>
      </c>
      <c r="P317" s="6">
        <f>K317*0.0749/4.7</f>
        <v/>
      </c>
      <c r="Q317" s="5">
        <f>M317+N317+O317+P317</f>
        <v/>
      </c>
      <c r="R317" s="5">
        <f>L317-Q317</f>
        <v/>
      </c>
      <c r="S317" s="6">
        <f>R317*4.7</f>
        <v/>
      </c>
      <c r="T317" s="7">
        <f>IF(L317&gt;0,R317/L317,0)</f>
        <v/>
      </c>
      <c r="U317" s="3" t="inlineStr">
        <is>
          <t>23/05/2026 15:49:42</t>
        </is>
      </c>
    </row>
    <row r="318">
      <c r="A318" s="3" t="inlineStr">
        <is>
          <t>584161658650068333</t>
        </is>
      </c>
      <c r="B318" s="3" t="inlineStr">
        <is>
          <t>已发货</t>
        </is>
      </c>
      <c r="C318" s="3" t="inlineStr">
        <is>
          <t>C1</t>
        </is>
      </c>
      <c r="D318" s="3" t="inlineStr">
        <is>
          <t>魔芋笋1大袋</t>
        </is>
      </c>
      <c r="E3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8" s="3" t="inlineStr">
        <is>
          <t>รสเผ็ดหอม​, 10 ซอง 200g</t>
        </is>
      </c>
      <c r="G318" s="6" t="n">
        <v>1</v>
      </c>
      <c r="H318" s="6" t="n">
        <v>69</v>
      </c>
      <c r="I318" s="6" t="n">
        <v>0</v>
      </c>
      <c r="J318" s="6" t="n">
        <v>42</v>
      </c>
      <c r="K318" s="6">
        <f>H318+I318</f>
        <v/>
      </c>
      <c r="L318" s="5">
        <f>K318/4.7</f>
        <v/>
      </c>
      <c r="M318" s="6" t="n">
        <v>6.699999999999999</v>
      </c>
      <c r="N318" s="6" t="n">
        <v>1</v>
      </c>
      <c r="O318" s="6">
        <f>(K318*0.1229+1.05)/4.7</f>
        <v/>
      </c>
      <c r="P318" s="6">
        <f>K318*0.0749/4.7</f>
        <v/>
      </c>
      <c r="Q318" s="5">
        <f>M318+N318+O318+P318</f>
        <v/>
      </c>
      <c r="R318" s="5">
        <f>L318-Q318</f>
        <v/>
      </c>
      <c r="S318" s="6">
        <f>R318*4.7</f>
        <v/>
      </c>
      <c r="T318" s="7">
        <f>IF(L318&gt;0,R318/L318,0)</f>
        <v/>
      </c>
      <c r="U318" s="3" t="inlineStr">
        <is>
          <t>23/05/2026 15:38:19</t>
        </is>
      </c>
    </row>
    <row r="319">
      <c r="A319" s="3" t="inlineStr">
        <is>
          <t>584161338623821663</t>
        </is>
      </c>
      <c r="B319" s="3" t="inlineStr">
        <is>
          <t>已取消</t>
        </is>
      </c>
      <c r="C319" s="3" t="inlineStr">
        <is>
          <t>CK</t>
        </is>
      </c>
      <c r="D319" s="3" t="inlineStr">
        <is>
          <t>黑松露黑麦苏打饼干</t>
        </is>
      </c>
      <c r="E31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19" s="3" t="inlineStr">
        <is>
          <t>ค่าเริ่มต้น</t>
        </is>
      </c>
      <c r="G319" s="6" t="n">
        <v>1</v>
      </c>
      <c r="H319" s="6" t="n">
        <v>100</v>
      </c>
      <c r="I319" s="6" t="n">
        <v>0</v>
      </c>
      <c r="J319" s="6" t="n">
        <v>38</v>
      </c>
      <c r="K319" s="6">
        <f>H319+I319</f>
        <v/>
      </c>
      <c r="L319" s="5">
        <f>K319/4.7</f>
        <v/>
      </c>
      <c r="M319" s="6" t="n">
        <v>10.72665050209467</v>
      </c>
      <c r="N319" s="6" t="n">
        <v>1</v>
      </c>
      <c r="O319" s="6">
        <f>(K319*0.1229+1.05)/4.7</f>
        <v/>
      </c>
      <c r="P319" s="6">
        <f>K319*0.0749/4.7</f>
        <v/>
      </c>
      <c r="Q319" s="5">
        <f>M319+N319+O319+P319</f>
        <v/>
      </c>
      <c r="R319" s="5">
        <f>L319-Q319</f>
        <v/>
      </c>
      <c r="S319" s="6">
        <f>R319*4.7</f>
        <v/>
      </c>
      <c r="T319" s="7">
        <f>IF(L319&gt;0,R319/L319,0)</f>
        <v/>
      </c>
      <c r="U319" s="3" t="inlineStr">
        <is>
          <t>23/05/2026 15:15:29</t>
        </is>
      </c>
    </row>
    <row r="320">
      <c r="A320" s="3" t="inlineStr">
        <is>
          <t>584161285585733471</t>
        </is>
      </c>
      <c r="B320" s="3" t="inlineStr">
        <is>
          <t>已取消</t>
        </is>
      </c>
      <c r="C320" s="3" t="inlineStr">
        <is>
          <t>CK</t>
        </is>
      </c>
      <c r="D320" s="3" t="inlineStr">
        <is>
          <t>黑松露黑麦苏打饼干</t>
        </is>
      </c>
      <c r="E32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20" s="3" t="inlineStr">
        <is>
          <t>ค่าเริ่มต้น</t>
        </is>
      </c>
      <c r="G320" s="6" t="n">
        <v>2</v>
      </c>
      <c r="H320" s="6" t="n">
        <v>194.5</v>
      </c>
      <c r="I320" s="6" t="n">
        <v>0</v>
      </c>
      <c r="J320" s="6" t="n">
        <v>38</v>
      </c>
      <c r="K320" s="6">
        <f>H320+I320</f>
        <v/>
      </c>
      <c r="L320" s="5">
        <f>K320/4.7</f>
        <v/>
      </c>
      <c r="M320" s="6" t="n">
        <v>21.45330100418933</v>
      </c>
      <c r="N320" s="6" t="n">
        <v>1</v>
      </c>
      <c r="O320" s="6">
        <f>(K320*0.1229+1.05)/4.7</f>
        <v/>
      </c>
      <c r="P320" s="6">
        <f>K320*0.0749/4.7</f>
        <v/>
      </c>
      <c r="Q320" s="5">
        <f>M320+N320+O320+P320</f>
        <v/>
      </c>
      <c r="R320" s="5">
        <f>L320-Q320</f>
        <v/>
      </c>
      <c r="S320" s="6">
        <f>R320*4.7</f>
        <v/>
      </c>
      <c r="T320" s="7">
        <f>IF(L320&gt;0,R320/L320,0)</f>
        <v/>
      </c>
      <c r="U320" s="3" t="inlineStr">
        <is>
          <t>23/05/2026 15:12:09</t>
        </is>
      </c>
    </row>
    <row r="321">
      <c r="A321" s="3" t="inlineStr">
        <is>
          <t>584161187942336386</t>
        </is>
      </c>
      <c r="B321" s="3" t="inlineStr">
        <is>
          <t>已发货</t>
        </is>
      </c>
      <c r="C321" s="3" t="inlineStr">
        <is>
          <t>CK</t>
        </is>
      </c>
      <c r="D321" s="3" t="inlineStr">
        <is>
          <t>黑松露黑麦苏打饼干</t>
        </is>
      </c>
      <c r="E32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21" s="3" t="inlineStr">
        <is>
          <t>ค่าเริ่มต้น</t>
        </is>
      </c>
      <c r="G321" s="6" t="n">
        <v>1</v>
      </c>
      <c r="H321" s="6" t="n">
        <v>65</v>
      </c>
      <c r="I321" s="6" t="n">
        <v>40</v>
      </c>
      <c r="J321" s="6" t="n">
        <v>35</v>
      </c>
      <c r="K321" s="6">
        <f>H321+I321</f>
        <v/>
      </c>
      <c r="L321" s="5">
        <f>K321/4.7</f>
        <v/>
      </c>
      <c r="M321" s="6" t="n">
        <v>10.72665050209467</v>
      </c>
      <c r="N321" s="6" t="n">
        <v>1</v>
      </c>
      <c r="O321" s="6">
        <f>(K321*0.1229+1.05)/4.7</f>
        <v/>
      </c>
      <c r="P321" s="6">
        <f>K321*0.0749/4.7</f>
        <v/>
      </c>
      <c r="Q321" s="5">
        <f>M321+N321+O321+P321</f>
        <v/>
      </c>
      <c r="R321" s="5">
        <f>L321-Q321</f>
        <v/>
      </c>
      <c r="S321" s="6">
        <f>R321*4.7</f>
        <v/>
      </c>
      <c r="T321" s="7">
        <f>IF(L321&gt;0,R321/L321,0)</f>
        <v/>
      </c>
      <c r="U321" s="3" t="inlineStr">
        <is>
          <t>23/05/2026 15:01:35</t>
        </is>
      </c>
    </row>
    <row r="322">
      <c r="A322" s="3" t="inlineStr">
        <is>
          <t>584161174905390541</t>
        </is>
      </c>
      <c r="B322" s="3" t="inlineStr">
        <is>
          <t>已发货</t>
        </is>
      </c>
      <c r="C322" s="3" t="inlineStr">
        <is>
          <t>B2</t>
        </is>
      </c>
      <c r="D322" s="3" t="inlineStr">
        <is>
          <t>魔芋笋2大袋</t>
        </is>
      </c>
      <c r="E322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22" s="3" t="inlineStr">
        <is>
          <t>รสเปรี้ยวเผ็ด​, 2pcs  400g</t>
        </is>
      </c>
      <c r="G322" s="6" t="n">
        <v>1</v>
      </c>
      <c r="H322" s="6" t="n">
        <v>226</v>
      </c>
      <c r="I322" s="6" t="n">
        <v>2.5</v>
      </c>
      <c r="J322" s="6" t="n">
        <v>48</v>
      </c>
      <c r="K322" s="6">
        <f>H322+I322</f>
        <v/>
      </c>
      <c r="L322" s="5">
        <f>K322/4.7</f>
        <v/>
      </c>
      <c r="M322" s="6" t="n">
        <v>13.4</v>
      </c>
      <c r="N322" s="6" t="n">
        <v>1</v>
      </c>
      <c r="O322" s="6">
        <f>(K322*0.1229+1.05)/4.7</f>
        <v/>
      </c>
      <c r="P322" s="6">
        <f>K322*0.0749/4.7</f>
        <v/>
      </c>
      <c r="Q322" s="5">
        <f>M322+N322+O322+P322</f>
        <v/>
      </c>
      <c r="R322" s="5">
        <f>L322-Q322</f>
        <v/>
      </c>
      <c r="S322" s="6">
        <f>R322*4.7</f>
        <v/>
      </c>
      <c r="T322" s="7">
        <f>IF(L322&gt;0,R322/L322,0)</f>
        <v/>
      </c>
      <c r="U322" s="3" t="inlineStr">
        <is>
          <t>23/05/2026 14:57:22</t>
        </is>
      </c>
    </row>
    <row r="323">
      <c r="A323" s="3" t="inlineStr">
        <is>
          <t>584161174905390541</t>
        </is>
      </c>
      <c r="B323" s="3" t="inlineStr">
        <is>
          <t>已发货</t>
        </is>
      </c>
      <c r="C323" s="3" t="inlineStr">
        <is>
          <t>C2</t>
        </is>
      </c>
      <c r="D323" s="3" t="inlineStr">
        <is>
          <t>魔芋笋2大袋</t>
        </is>
      </c>
      <c r="E323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23" s="3" t="inlineStr">
        <is>
          <t>รสเผ็ดหอม​, 2pcs  400g</t>
        </is>
      </c>
      <c r="G323" s="6" t="n">
        <v>1</v>
      </c>
      <c r="H323" s="6" t="n">
        <v>226</v>
      </c>
      <c r="I323" s="6" t="n">
        <v>2.5</v>
      </c>
      <c r="J323" s="6" t="n">
        <v>48</v>
      </c>
      <c r="K323" s="6">
        <f>H323+I323</f>
        <v/>
      </c>
      <c r="L323" s="5">
        <f>K323/4.7</f>
        <v/>
      </c>
      <c r="M323" s="6" t="n">
        <v>13.4</v>
      </c>
      <c r="N323" s="6" t="n">
        <v>1</v>
      </c>
      <c r="O323" s="6">
        <f>(K323*0.1229+1.05)/4.7</f>
        <v/>
      </c>
      <c r="P323" s="6">
        <f>K323*0.0749/4.7</f>
        <v/>
      </c>
      <c r="Q323" s="5">
        <f>M323+N323+O323+P323</f>
        <v/>
      </c>
      <c r="R323" s="5">
        <f>L323-Q323</f>
        <v/>
      </c>
      <c r="S323" s="6">
        <f>R323*4.7</f>
        <v/>
      </c>
      <c r="T323" s="7">
        <f>IF(L323&gt;0,R323/L323,0)</f>
        <v/>
      </c>
      <c r="U323" s="3" t="inlineStr">
        <is>
          <t>23/05/2026 14:57:22</t>
        </is>
      </c>
    </row>
    <row r="324">
      <c r="A324" s="3" t="inlineStr">
        <is>
          <t>584161074196350118</t>
        </is>
      </c>
      <c r="B324" s="3" t="inlineStr">
        <is>
          <t>已发货</t>
        </is>
      </c>
      <c r="C324" s="3" t="inlineStr">
        <is>
          <t>C5s</t>
        </is>
      </c>
      <c r="D324" s="3" t="inlineStr">
        <is>
          <t>香辣味魔芋笋5小袋</t>
        </is>
      </c>
      <c r="E3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4" s="3" t="inlineStr">
        <is>
          <t>รสเผ็ดหอม​, *ชุดเล็ก 5 ซอง 100g</t>
        </is>
      </c>
      <c r="G324" s="6" t="n">
        <v>2</v>
      </c>
      <c r="H324" s="6" t="n">
        <v>104</v>
      </c>
      <c r="I324" s="6" t="n">
        <v>0</v>
      </c>
      <c r="J324" s="6" t="n">
        <v>38</v>
      </c>
      <c r="K324" s="6">
        <f>H324+I324</f>
        <v/>
      </c>
      <c r="L324" s="5">
        <f>K324/4.7</f>
        <v/>
      </c>
      <c r="M324" s="6" t="n">
        <v>6.699999999999999</v>
      </c>
      <c r="N324" s="6" t="n">
        <v>1</v>
      </c>
      <c r="O324" s="6">
        <f>(K324*0.1229+1.05)/4.7</f>
        <v/>
      </c>
      <c r="P324" s="6">
        <f>K324*0.0749/4.7</f>
        <v/>
      </c>
      <c r="Q324" s="5">
        <f>M324+N324+O324+P324</f>
        <v/>
      </c>
      <c r="R324" s="5">
        <f>L324-Q324</f>
        <v/>
      </c>
      <c r="S324" s="6">
        <f>R324*4.7</f>
        <v/>
      </c>
      <c r="T324" s="7">
        <f>IF(L324&gt;0,R324/L324,0)</f>
        <v/>
      </c>
      <c r="U324" s="3" t="inlineStr">
        <is>
          <t>23/05/2026 14:55:36</t>
        </is>
      </c>
    </row>
    <row r="325">
      <c r="A325" s="3" t="inlineStr">
        <is>
          <t>584160964145940039</t>
        </is>
      </c>
      <c r="B325" s="3" t="inlineStr">
        <is>
          <t>已发货</t>
        </is>
      </c>
      <c r="C325" s="3" t="inlineStr">
        <is>
          <t>C1</t>
        </is>
      </c>
      <c r="D325" s="3" t="inlineStr">
        <is>
          <t>魔芋笋1大袋</t>
        </is>
      </c>
      <c r="E3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5" s="3" t="inlineStr">
        <is>
          <t>รสเผ็ดหอม​, 10 ซอง 200g</t>
        </is>
      </c>
      <c r="G325" s="6" t="n">
        <v>1</v>
      </c>
      <c r="H325" s="6" t="n">
        <v>133</v>
      </c>
      <c r="I325" s="6" t="n">
        <v>0</v>
      </c>
      <c r="J325" s="6" t="n">
        <v>48</v>
      </c>
      <c r="K325" s="6">
        <f>H325+I325</f>
        <v/>
      </c>
      <c r="L325" s="5">
        <f>K325/4.7</f>
        <v/>
      </c>
      <c r="M325" s="6" t="n">
        <v>6.699999999999999</v>
      </c>
      <c r="N325" s="6" t="n">
        <v>1</v>
      </c>
      <c r="O325" s="6">
        <f>(K325*0.1229+1.05)/4.7</f>
        <v/>
      </c>
      <c r="P325" s="6">
        <f>K325*0.0749/4.7</f>
        <v/>
      </c>
      <c r="Q325" s="5">
        <f>M325+N325+O325+P325</f>
        <v/>
      </c>
      <c r="R325" s="5">
        <f>L325-Q325</f>
        <v/>
      </c>
      <c r="S325" s="6">
        <f>R325*4.7</f>
        <v/>
      </c>
      <c r="T325" s="7">
        <f>IF(L325&gt;0,R325/L325,0)</f>
        <v/>
      </c>
      <c r="U325" s="3" t="inlineStr">
        <is>
          <t>23/05/2026 14:50:23</t>
        </is>
      </c>
    </row>
    <row r="326">
      <c r="A326" s="3" t="inlineStr">
        <is>
          <t>584160964145940039</t>
        </is>
      </c>
      <c r="B326" s="3" t="inlineStr">
        <is>
          <t>已发货</t>
        </is>
      </c>
      <c r="C326" s="3" t="inlineStr">
        <is>
          <t>B1</t>
        </is>
      </c>
      <c r="D326" s="3" t="inlineStr">
        <is>
          <t>魔芋笋1大袋</t>
        </is>
      </c>
      <c r="E3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6" s="3" t="inlineStr">
        <is>
          <t>รสเปรี้ยวเผ็ด​, 10 ซอง 200g</t>
        </is>
      </c>
      <c r="G326" s="6" t="n">
        <v>1</v>
      </c>
      <c r="H326" s="6" t="n">
        <v>133</v>
      </c>
      <c r="I326" s="6" t="n">
        <v>0</v>
      </c>
      <c r="J326" s="6" t="n">
        <v>48</v>
      </c>
      <c r="K326" s="6">
        <f>H326+I326</f>
        <v/>
      </c>
      <c r="L326" s="5">
        <f>K326/4.7</f>
        <v/>
      </c>
      <c r="M326" s="6" t="n">
        <v>6.699999999999999</v>
      </c>
      <c r="N326" s="6" t="n">
        <v>1</v>
      </c>
      <c r="O326" s="6">
        <f>(K326*0.1229+1.05)/4.7</f>
        <v/>
      </c>
      <c r="P326" s="6">
        <f>K326*0.0749/4.7</f>
        <v/>
      </c>
      <c r="Q326" s="5">
        <f>M326+N326+O326+P326</f>
        <v/>
      </c>
      <c r="R326" s="5">
        <f>L326-Q326</f>
        <v/>
      </c>
      <c r="S326" s="6">
        <f>R326*4.7</f>
        <v/>
      </c>
      <c r="T326" s="7">
        <f>IF(L326&gt;0,R326/L326,0)</f>
        <v/>
      </c>
      <c r="U326" s="3" t="inlineStr">
        <is>
          <t>23/05/2026 14:50:23</t>
        </is>
      </c>
    </row>
    <row r="327">
      <c r="A327" s="3" t="inlineStr">
        <is>
          <t>584160760336909823</t>
        </is>
      </c>
      <c r="B327" s="3" t="inlineStr">
        <is>
          <t>已取消</t>
        </is>
      </c>
      <c r="C327" s="3" t="inlineStr">
        <is>
          <t>B5s</t>
        </is>
      </c>
      <c r="D327" s="3" t="inlineStr">
        <is>
          <t>酸辣味5小袋</t>
        </is>
      </c>
      <c r="E3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7" s="3" t="inlineStr">
        <is>
          <t>รสเปรี้ยวเผ็ด​, *ชุดเล็ก 5 ซอง 100g</t>
        </is>
      </c>
      <c r="G327" s="6" t="n">
        <v>1</v>
      </c>
      <c r="H327" s="6" t="n">
        <v>47</v>
      </c>
      <c r="I327" s="6" t="n">
        <v>0</v>
      </c>
      <c r="J327" s="6" t="n">
        <v>38</v>
      </c>
      <c r="K327" s="6">
        <f>H327+I327</f>
        <v/>
      </c>
      <c r="L327" s="5">
        <f>K327/4.7</f>
        <v/>
      </c>
      <c r="M327" s="6" t="n">
        <v>3.35</v>
      </c>
      <c r="N327" s="6" t="n">
        <v>1</v>
      </c>
      <c r="O327" s="6">
        <f>(K327*0.1229+1.05)/4.7</f>
        <v/>
      </c>
      <c r="P327" s="6">
        <f>K327*0.0749/4.7</f>
        <v/>
      </c>
      <c r="Q327" s="5">
        <f>M327+N327+O327+P327</f>
        <v/>
      </c>
      <c r="R327" s="5">
        <f>L327-Q327</f>
        <v/>
      </c>
      <c r="S327" s="6">
        <f>R327*4.7</f>
        <v/>
      </c>
      <c r="T327" s="7">
        <f>IF(L327&gt;0,R327/L327,0)</f>
        <v/>
      </c>
      <c r="U327" s="3" t="inlineStr">
        <is>
          <t>23/05/2026 14:34:35</t>
        </is>
      </c>
    </row>
    <row r="328">
      <c r="A328" s="3" t="inlineStr">
        <is>
          <t>584160831463262055</t>
        </is>
      </c>
      <c r="B328" s="3" t="inlineStr">
        <is>
          <t>已取消</t>
        </is>
      </c>
      <c r="C328" s="3" t="inlineStr">
        <is>
          <t>C5s</t>
        </is>
      </c>
      <c r="D328" s="3" t="inlineStr">
        <is>
          <t>香辣味魔芋笋5小袋</t>
        </is>
      </c>
      <c r="E3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8" s="3" t="inlineStr">
        <is>
          <t>รสเผ็ดหอม​, *ชุดเล็ก 5 ซอง 100g</t>
        </is>
      </c>
      <c r="G328" s="6" t="n">
        <v>1</v>
      </c>
      <c r="H328" s="6" t="n">
        <v>47</v>
      </c>
      <c r="I328" s="6" t="n">
        <v>0</v>
      </c>
      <c r="J328" s="6" t="n">
        <v>38</v>
      </c>
      <c r="K328" s="6">
        <f>H328+I328</f>
        <v/>
      </c>
      <c r="L328" s="5">
        <f>K328/4.7</f>
        <v/>
      </c>
      <c r="M328" s="6" t="n">
        <v>3.35</v>
      </c>
      <c r="N328" s="6" t="n">
        <v>1</v>
      </c>
      <c r="O328" s="6">
        <f>(K328*0.1229+1.05)/4.7</f>
        <v/>
      </c>
      <c r="P328" s="6">
        <f>K328*0.0749/4.7</f>
        <v/>
      </c>
      <c r="Q328" s="5">
        <f>M328+N328+O328+P328</f>
        <v/>
      </c>
      <c r="R328" s="5">
        <f>L328-Q328</f>
        <v/>
      </c>
      <c r="S328" s="6">
        <f>R328*4.7</f>
        <v/>
      </c>
      <c r="T328" s="7">
        <f>IF(L328&gt;0,R328/L328,0)</f>
        <v/>
      </c>
      <c r="U328" s="3" t="inlineStr">
        <is>
          <t>23/05/2026 14:33:18</t>
        </is>
      </c>
    </row>
    <row r="329">
      <c r="A329" s="3" t="inlineStr">
        <is>
          <t>584160726505064382</t>
        </is>
      </c>
      <c r="B329" s="3" t="inlineStr">
        <is>
          <t>已发货</t>
        </is>
      </c>
      <c r="C329" s="3" t="inlineStr">
        <is>
          <t>C1</t>
        </is>
      </c>
      <c r="D329" s="3" t="inlineStr">
        <is>
          <t>魔芋笋1大袋</t>
        </is>
      </c>
      <c r="E3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9" s="3" t="inlineStr">
        <is>
          <t>รสเผ็ดหอม​, 10 ซอง 200g</t>
        </is>
      </c>
      <c r="G329" s="6" t="n">
        <v>1</v>
      </c>
      <c r="H329" s="6" t="n">
        <v>69</v>
      </c>
      <c r="I329" s="6" t="n">
        <v>0</v>
      </c>
      <c r="J329" s="6" t="n">
        <v>38</v>
      </c>
      <c r="K329" s="6">
        <f>H329+I329</f>
        <v/>
      </c>
      <c r="L329" s="5">
        <f>K329/4.7</f>
        <v/>
      </c>
      <c r="M329" s="6" t="n">
        <v>6.699999999999999</v>
      </c>
      <c r="N329" s="6" t="n">
        <v>1</v>
      </c>
      <c r="O329" s="6">
        <f>(K329*0.1229+1.05)/4.7</f>
        <v/>
      </c>
      <c r="P329" s="6">
        <f>K329*0.0749/4.7</f>
        <v/>
      </c>
      <c r="Q329" s="5">
        <f>M329+N329+O329+P329</f>
        <v/>
      </c>
      <c r="R329" s="5">
        <f>L329-Q329</f>
        <v/>
      </c>
      <c r="S329" s="6">
        <f>R329*4.7</f>
        <v/>
      </c>
      <c r="T329" s="7">
        <f>IF(L329&gt;0,R329/L329,0)</f>
        <v/>
      </c>
      <c r="U329" s="3" t="inlineStr">
        <is>
          <t>23/05/2026 14:29:21</t>
        </is>
      </c>
    </row>
    <row r="330">
      <c r="A330" s="3" t="inlineStr">
        <is>
          <t>584160663403202482</t>
        </is>
      </c>
      <c r="B330" s="3" t="inlineStr">
        <is>
          <t>已发货</t>
        </is>
      </c>
      <c r="C330" s="3" t="inlineStr">
        <is>
          <t>A1</t>
        </is>
      </c>
      <c r="D330" s="3" t="inlineStr">
        <is>
          <t>魔芋干1包</t>
        </is>
      </c>
      <c r="E330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30" s="3" t="inlineStr">
        <is>
          <t>10 ซอง 100g</t>
        </is>
      </c>
      <c r="G330" s="6" t="n">
        <v>1</v>
      </c>
      <c r="H330" s="6" t="n">
        <v>217.41</v>
      </c>
      <c r="I330" s="6" t="n">
        <v>2.59</v>
      </c>
      <c r="J330" s="6" t="n">
        <v>23</v>
      </c>
      <c r="K330" s="6">
        <f>H330+I330</f>
        <v/>
      </c>
      <c r="L330" s="5">
        <f>K330/4.7</f>
        <v/>
      </c>
      <c r="M330" s="6" t="n">
        <v>6.1</v>
      </c>
      <c r="N330" s="6" t="n">
        <v>0.5</v>
      </c>
      <c r="O330" s="6">
        <f>(K330*0.1229+1.05)/4.7</f>
        <v/>
      </c>
      <c r="P330" s="6">
        <f>K330*0.0749/4.7</f>
        <v/>
      </c>
      <c r="Q330" s="5">
        <f>M330+N330+O330+P330</f>
        <v/>
      </c>
      <c r="R330" s="5">
        <f>L330-Q330</f>
        <v/>
      </c>
      <c r="S330" s="6">
        <f>R330*4.7</f>
        <v/>
      </c>
      <c r="T330" s="7">
        <f>IF(L330&gt;0,R330/L330,0)</f>
        <v/>
      </c>
      <c r="U330" s="3" t="inlineStr">
        <is>
          <t>23/05/2026 14:27:44</t>
        </is>
      </c>
    </row>
    <row r="331">
      <c r="A331" s="3" t="inlineStr">
        <is>
          <t>584160663403202482</t>
        </is>
      </c>
      <c r="B331" s="3" t="inlineStr">
        <is>
          <t>已发货</t>
        </is>
      </c>
      <c r="C331" s="3" t="inlineStr">
        <is>
          <t>C3</t>
        </is>
      </c>
      <c r="D331" s="3" t="inlineStr">
        <is>
          <t>魔芋笋3大袋</t>
        </is>
      </c>
      <c r="E3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1" s="3" t="inlineStr">
        <is>
          <t>รสเผ็ดหอม​, 30 ซอง 600g</t>
        </is>
      </c>
      <c r="G331" s="6" t="n">
        <v>1</v>
      </c>
      <c r="H331" s="6" t="n">
        <v>217.41</v>
      </c>
      <c r="I331" s="6" t="n">
        <v>0</v>
      </c>
      <c r="J331" s="6" t="n">
        <v>23</v>
      </c>
      <c r="K331" s="6">
        <f>H331+I331</f>
        <v/>
      </c>
      <c r="L331" s="5">
        <f>K331/4.7</f>
        <v/>
      </c>
      <c r="M331" s="6" t="n">
        <v>20.1</v>
      </c>
      <c r="N331" s="6" t="n">
        <v>1</v>
      </c>
      <c r="O331" s="6">
        <f>(K331*0.1229+1.05)/4.7</f>
        <v/>
      </c>
      <c r="P331" s="6">
        <f>K331*0.0749/4.7</f>
        <v/>
      </c>
      <c r="Q331" s="5">
        <f>M331+N331+O331+P331</f>
        <v/>
      </c>
      <c r="R331" s="5">
        <f>L331-Q331</f>
        <v/>
      </c>
      <c r="S331" s="6">
        <f>R331*4.7</f>
        <v/>
      </c>
      <c r="T331" s="7">
        <f>IF(L331&gt;0,R331/L331,0)</f>
        <v/>
      </c>
      <c r="U331" s="3" t="inlineStr">
        <is>
          <t>23/05/2026 14:27:44</t>
        </is>
      </c>
    </row>
    <row r="332">
      <c r="A332" s="3" t="inlineStr">
        <is>
          <t>584160271981971209</t>
        </is>
      </c>
      <c r="B332" s="3" t="inlineStr">
        <is>
          <t>已发货</t>
        </is>
      </c>
      <c r="C332" s="3" t="inlineStr">
        <is>
          <t>B3</t>
        </is>
      </c>
      <c r="D332" s="3" t="inlineStr">
        <is>
          <t>魔芋笋3大袋</t>
        </is>
      </c>
      <c r="E3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2" s="3" t="inlineStr">
        <is>
          <t>รสเปรี้ยวเผ็ด​, 30 ซอง 600g</t>
        </is>
      </c>
      <c r="G332" s="6" t="n">
        <v>1</v>
      </c>
      <c r="H332" s="6" t="n">
        <v>167</v>
      </c>
      <c r="I332" s="6" t="n">
        <v>0</v>
      </c>
      <c r="J332" s="6" t="n">
        <v>38</v>
      </c>
      <c r="K332" s="6">
        <f>H332+I332</f>
        <v/>
      </c>
      <c r="L332" s="5">
        <f>K332/4.7</f>
        <v/>
      </c>
      <c r="M332" s="6" t="n">
        <v>20.1</v>
      </c>
      <c r="N332" s="6" t="n">
        <v>1</v>
      </c>
      <c r="O332" s="6">
        <f>(K332*0.1229+1.05)/4.7</f>
        <v/>
      </c>
      <c r="P332" s="6">
        <f>K332*0.0749/4.7</f>
        <v/>
      </c>
      <c r="Q332" s="5">
        <f>M332+N332+O332+P332</f>
        <v/>
      </c>
      <c r="R332" s="5">
        <f>L332-Q332</f>
        <v/>
      </c>
      <c r="S332" s="6">
        <f>R332*4.7</f>
        <v/>
      </c>
      <c r="T332" s="7">
        <f>IF(L332&gt;0,R332/L332,0)</f>
        <v/>
      </c>
      <c r="U332" s="3" t="inlineStr">
        <is>
          <t>23/05/2026 13:56:48</t>
        </is>
      </c>
    </row>
    <row r="333">
      <c r="A333" s="3" t="inlineStr">
        <is>
          <t>584159812489413758</t>
        </is>
      </c>
      <c r="B333" s="3" t="inlineStr">
        <is>
          <t>已发货</t>
        </is>
      </c>
      <c r="C333" s="3" t="inlineStr">
        <is>
          <t>C1</t>
        </is>
      </c>
      <c r="D333" s="3" t="inlineStr">
        <is>
          <t>魔芋笋1大袋</t>
        </is>
      </c>
      <c r="E333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33" s="3" t="inlineStr">
        <is>
          <t>รสเผ็ดหอม​, 1pcs   200g</t>
        </is>
      </c>
      <c r="G333" s="6" t="n">
        <v>1</v>
      </c>
      <c r="H333" s="6" t="n">
        <v>60</v>
      </c>
      <c r="I333" s="6" t="n">
        <v>0</v>
      </c>
      <c r="J333" s="6" t="n">
        <v>38</v>
      </c>
      <c r="K333" s="6">
        <f>H333+I333</f>
        <v/>
      </c>
      <c r="L333" s="5">
        <f>K333/4.7</f>
        <v/>
      </c>
      <c r="M333" s="6" t="n">
        <v>6.699999999999999</v>
      </c>
      <c r="N333" s="6" t="n">
        <v>1</v>
      </c>
      <c r="O333" s="6">
        <f>(K333*0.1229+1.05)/4.7</f>
        <v/>
      </c>
      <c r="P333" s="6">
        <f>K333*0.0749/4.7</f>
        <v/>
      </c>
      <c r="Q333" s="5">
        <f>M333+N333+O333+P333</f>
        <v/>
      </c>
      <c r="R333" s="5">
        <f>L333-Q333</f>
        <v/>
      </c>
      <c r="S333" s="6">
        <f>R333*4.7</f>
        <v/>
      </c>
      <c r="T333" s="7">
        <f>IF(L333&gt;0,R333/L333,0)</f>
        <v/>
      </c>
      <c r="U333" s="3" t="inlineStr">
        <is>
          <t>23/05/2026 13:27:41</t>
        </is>
      </c>
    </row>
    <row r="334">
      <c r="A334" s="3" t="inlineStr">
        <is>
          <t>584159781305025716</t>
        </is>
      </c>
      <c r="B334" s="3" t="inlineStr">
        <is>
          <t>已发货</t>
        </is>
      </c>
      <c r="C334" s="3" t="inlineStr">
        <is>
          <t>C5s</t>
        </is>
      </c>
      <c r="D334" s="3" t="inlineStr">
        <is>
          <t>香辣味魔芋笋5小袋</t>
        </is>
      </c>
      <c r="E3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4" s="3" t="inlineStr">
        <is>
          <t>รสเผ็ดหอม​, *ชุดเล็ก 5 ซอง 100g</t>
        </is>
      </c>
      <c r="G334" s="6" t="n">
        <v>1</v>
      </c>
      <c r="H334" s="6" t="n">
        <v>47</v>
      </c>
      <c r="I334" s="6" t="n">
        <v>0</v>
      </c>
      <c r="J334" s="6" t="n">
        <v>38</v>
      </c>
      <c r="K334" s="6">
        <f>H334+I334</f>
        <v/>
      </c>
      <c r="L334" s="5">
        <f>K334/4.7</f>
        <v/>
      </c>
      <c r="M334" s="6" t="n">
        <v>3.35</v>
      </c>
      <c r="N334" s="6" t="n">
        <v>1</v>
      </c>
      <c r="O334" s="6">
        <f>(K334*0.1229+1.05)/4.7</f>
        <v/>
      </c>
      <c r="P334" s="6">
        <f>K334*0.0749/4.7</f>
        <v/>
      </c>
      <c r="Q334" s="5">
        <f>M334+N334+O334+P334</f>
        <v/>
      </c>
      <c r="R334" s="5">
        <f>L334-Q334</f>
        <v/>
      </c>
      <c r="S334" s="6">
        <f>R334*4.7</f>
        <v/>
      </c>
      <c r="T334" s="7">
        <f>IF(L334&gt;0,R334/L334,0)</f>
        <v/>
      </c>
      <c r="U334" s="3" t="inlineStr">
        <is>
          <t>23/05/2026 13:23:34</t>
        </is>
      </c>
    </row>
    <row r="335">
      <c r="A335" s="3" t="inlineStr">
        <is>
          <t>584159745022985673</t>
        </is>
      </c>
      <c r="B335" s="3" t="inlineStr">
        <is>
          <t>已发货</t>
        </is>
      </c>
      <c r="C335" s="3" t="inlineStr">
        <is>
          <t>C1</t>
        </is>
      </c>
      <c r="D335" s="3" t="inlineStr">
        <is>
          <t>魔芋笋1大袋</t>
        </is>
      </c>
      <c r="E3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5" s="3" t="inlineStr">
        <is>
          <t>รสเผ็ดหอม​, 10 ซอง 200g</t>
        </is>
      </c>
      <c r="G335" s="6" t="n">
        <v>1</v>
      </c>
      <c r="H335" s="6" t="n">
        <v>69</v>
      </c>
      <c r="I335" s="6" t="n">
        <v>0</v>
      </c>
      <c r="J335" s="6" t="n">
        <v>38</v>
      </c>
      <c r="K335" s="6">
        <f>H335+I335</f>
        <v/>
      </c>
      <c r="L335" s="5">
        <f>K335/4.7</f>
        <v/>
      </c>
      <c r="M335" s="6" t="n">
        <v>6.699999999999999</v>
      </c>
      <c r="N335" s="6" t="n">
        <v>1</v>
      </c>
      <c r="O335" s="6">
        <f>(K335*0.1229+1.05)/4.7</f>
        <v/>
      </c>
      <c r="P335" s="6">
        <f>K335*0.0749/4.7</f>
        <v/>
      </c>
      <c r="Q335" s="5">
        <f>M335+N335+O335+P335</f>
        <v/>
      </c>
      <c r="R335" s="5">
        <f>L335-Q335</f>
        <v/>
      </c>
      <c r="S335" s="6">
        <f>R335*4.7</f>
        <v/>
      </c>
      <c r="T335" s="7">
        <f>IF(L335&gt;0,R335/L335,0)</f>
        <v/>
      </c>
      <c r="U335" s="3" t="inlineStr">
        <is>
          <t>23/05/2026 13:22:39</t>
        </is>
      </c>
    </row>
    <row r="336">
      <c r="A336" s="3" t="inlineStr">
        <is>
          <t>584159498370713569</t>
        </is>
      </c>
      <c r="B336" s="3" t="inlineStr">
        <is>
          <t>已发货</t>
        </is>
      </c>
      <c r="C336" s="3" t="inlineStr">
        <is>
          <t>C1</t>
        </is>
      </c>
      <c r="D336" s="3" t="inlineStr">
        <is>
          <t>魔芋笋1大袋</t>
        </is>
      </c>
      <c r="E3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6" s="3" t="inlineStr">
        <is>
          <t>รสเผ็ดหอม​, 10 ซอง 200g</t>
        </is>
      </c>
      <c r="G336" s="6" t="n">
        <v>1</v>
      </c>
      <c r="H336" s="6" t="n">
        <v>69</v>
      </c>
      <c r="I336" s="6" t="n">
        <v>0</v>
      </c>
      <c r="J336" s="6" t="n">
        <v>38</v>
      </c>
      <c r="K336" s="6">
        <f>H336+I336</f>
        <v/>
      </c>
      <c r="L336" s="5">
        <f>K336/4.7</f>
        <v/>
      </c>
      <c r="M336" s="6" t="n">
        <v>6.699999999999999</v>
      </c>
      <c r="N336" s="6" t="n">
        <v>1</v>
      </c>
      <c r="O336" s="6">
        <f>(K336*0.1229+1.05)/4.7</f>
        <v/>
      </c>
      <c r="P336" s="6">
        <f>K336*0.0749/4.7</f>
        <v/>
      </c>
      <c r="Q336" s="5">
        <f>M336+N336+O336+P336</f>
        <v/>
      </c>
      <c r="R336" s="5">
        <f>L336-Q336</f>
        <v/>
      </c>
      <c r="S336" s="6">
        <f>R336*4.7</f>
        <v/>
      </c>
      <c r="T336" s="7">
        <f>IF(L336&gt;0,R336/L336,0)</f>
        <v/>
      </c>
      <c r="U336" s="3" t="inlineStr">
        <is>
          <t>23/05/2026 13:03:38</t>
        </is>
      </c>
    </row>
    <row r="337">
      <c r="A337" s="3" t="inlineStr">
        <is>
          <t>584158356958643354</t>
        </is>
      </c>
      <c r="B337" s="3" t="inlineStr">
        <is>
          <t>已完成</t>
        </is>
      </c>
      <c r="C337" s="3" t="inlineStr">
        <is>
          <t>B5s</t>
        </is>
      </c>
      <c r="D337" s="3" t="inlineStr">
        <is>
          <t>酸辣味5小袋</t>
        </is>
      </c>
      <c r="E3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7" s="3" t="inlineStr">
        <is>
          <t>รสเปรี้ยวเผ็ด​, *ชุดเล็ก 5 ซอง 100g</t>
        </is>
      </c>
      <c r="G337" s="6" t="n">
        <v>1</v>
      </c>
      <c r="H337" s="6" t="n">
        <v>136</v>
      </c>
      <c r="I337" s="6" t="n">
        <v>0</v>
      </c>
      <c r="J337" s="6" t="n">
        <v>48</v>
      </c>
      <c r="K337" s="6">
        <f>H337+I337</f>
        <v/>
      </c>
      <c r="L337" s="5">
        <f>K337/4.7</f>
        <v/>
      </c>
      <c r="M337" s="6" t="n">
        <v>3.35</v>
      </c>
      <c r="N337" s="6" t="n">
        <v>1</v>
      </c>
      <c r="O337" s="6">
        <f>(K337*0.1229+1.05)/4.7</f>
        <v/>
      </c>
      <c r="P337" s="6">
        <f>K337*0.0749/4.7</f>
        <v/>
      </c>
      <c r="Q337" s="5">
        <f>M337+N337+O337+P337</f>
        <v/>
      </c>
      <c r="R337" s="5">
        <f>L337-Q337</f>
        <v/>
      </c>
      <c r="S337" s="6">
        <f>R337*4.7</f>
        <v/>
      </c>
      <c r="T337" s="7">
        <f>IF(L337&gt;0,R337/L337,0)</f>
        <v/>
      </c>
      <c r="U337" s="3" t="inlineStr">
        <is>
          <t>23/05/2026 11:48:24</t>
        </is>
      </c>
    </row>
    <row r="338">
      <c r="A338" s="3" t="inlineStr">
        <is>
          <t>584158356958643354</t>
        </is>
      </c>
      <c r="B338" s="3" t="inlineStr">
        <is>
          <t>已完成</t>
        </is>
      </c>
      <c r="C338" s="3" t="inlineStr">
        <is>
          <t>C5s</t>
        </is>
      </c>
      <c r="D338" s="3" t="inlineStr">
        <is>
          <t>香辣味魔芋笋5小袋</t>
        </is>
      </c>
      <c r="E3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8" s="3" t="inlineStr">
        <is>
          <t>รสเผ็ดหอม​, *ชุดเล็ก 5 ซอง 100g</t>
        </is>
      </c>
      <c r="G338" s="6" t="n">
        <v>2</v>
      </c>
      <c r="H338" s="6" t="n">
        <v>136</v>
      </c>
      <c r="I338" s="6" t="n">
        <v>0</v>
      </c>
      <c r="J338" s="6" t="n">
        <v>48</v>
      </c>
      <c r="K338" s="6">
        <f>H338+I338</f>
        <v/>
      </c>
      <c r="L338" s="5">
        <f>K338/4.7</f>
        <v/>
      </c>
      <c r="M338" s="6" t="n">
        <v>6.699999999999999</v>
      </c>
      <c r="N338" s="6" t="n">
        <v>1</v>
      </c>
      <c r="O338" s="6">
        <f>(K338*0.1229+1.05)/4.7</f>
        <v/>
      </c>
      <c r="P338" s="6">
        <f>K338*0.0749/4.7</f>
        <v/>
      </c>
      <c r="Q338" s="5">
        <f>M338+N338+O338+P338</f>
        <v/>
      </c>
      <c r="R338" s="5">
        <f>L338-Q338</f>
        <v/>
      </c>
      <c r="S338" s="6">
        <f>R338*4.7</f>
        <v/>
      </c>
      <c r="T338" s="7">
        <f>IF(L338&gt;0,R338/L338,0)</f>
        <v/>
      </c>
      <c r="U338" s="3" t="inlineStr">
        <is>
          <t>23/05/2026 11:48:24</t>
        </is>
      </c>
    </row>
    <row r="339">
      <c r="A339" s="3" t="inlineStr">
        <is>
          <t>584158217717449772</t>
        </is>
      </c>
      <c r="B339" s="3" t="inlineStr">
        <is>
          <t>已发货</t>
        </is>
      </c>
      <c r="C339" s="3" t="inlineStr">
        <is>
          <t>C3</t>
        </is>
      </c>
      <c r="D339" s="3" t="inlineStr">
        <is>
          <t>魔芋笋3大袋</t>
        </is>
      </c>
      <c r="E3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9" s="3" t="inlineStr">
        <is>
          <t>รสเผ็ดหอม​, 30 ซอง 600g</t>
        </is>
      </c>
      <c r="G339" s="6" t="n">
        <v>1</v>
      </c>
      <c r="H339" s="6" t="n">
        <v>172</v>
      </c>
      <c r="I339" s="6" t="n">
        <v>0</v>
      </c>
      <c r="J339" s="6" t="n">
        <v>38</v>
      </c>
      <c r="K339" s="6">
        <f>H339+I339</f>
        <v/>
      </c>
      <c r="L339" s="5">
        <f>K339/4.7</f>
        <v/>
      </c>
      <c r="M339" s="6" t="n">
        <v>20.1</v>
      </c>
      <c r="N339" s="6" t="n">
        <v>1</v>
      </c>
      <c r="O339" s="6">
        <f>(K339*0.1229+1.05)/4.7</f>
        <v/>
      </c>
      <c r="P339" s="6">
        <f>K339*0.0749/4.7</f>
        <v/>
      </c>
      <c r="Q339" s="5">
        <f>M339+N339+O339+P339</f>
        <v/>
      </c>
      <c r="R339" s="5">
        <f>L339-Q339</f>
        <v/>
      </c>
      <c r="S339" s="6">
        <f>R339*4.7</f>
        <v/>
      </c>
      <c r="T339" s="7">
        <f>IF(L339&gt;0,R339/L339,0)</f>
        <v/>
      </c>
      <c r="U339" s="3" t="inlineStr">
        <is>
          <t>23/05/2026 11:35:40</t>
        </is>
      </c>
    </row>
    <row r="340">
      <c r="A340" s="3" t="inlineStr">
        <is>
          <t>584158130923275955</t>
        </is>
      </c>
      <c r="B340" s="3" t="inlineStr">
        <is>
          <t>已发货</t>
        </is>
      </c>
      <c r="C340" s="3" t="inlineStr">
        <is>
          <t>C2</t>
        </is>
      </c>
      <c r="D340" s="3" t="inlineStr">
        <is>
          <t>魔芋笋2大袋</t>
        </is>
      </c>
      <c r="E3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0" s="3" t="inlineStr">
        <is>
          <t>รสเผ็ดหอม​, 20 ซอง 400g</t>
        </is>
      </c>
      <c r="G340" s="6" t="n">
        <v>1</v>
      </c>
      <c r="H340" s="6" t="n">
        <v>250</v>
      </c>
      <c r="I340" s="6" t="n">
        <v>0</v>
      </c>
      <c r="J340" s="6" t="n">
        <v>48</v>
      </c>
      <c r="K340" s="6">
        <f>H340+I340</f>
        <v/>
      </c>
      <c r="L340" s="5">
        <f>K340/4.7</f>
        <v/>
      </c>
      <c r="M340" s="6" t="n">
        <v>13.4</v>
      </c>
      <c r="N340" s="6" t="n">
        <v>1</v>
      </c>
      <c r="O340" s="6">
        <f>(K340*0.1229+1.05)/4.7</f>
        <v/>
      </c>
      <c r="P340" s="6">
        <f>K340*0.0749/4.7</f>
        <v/>
      </c>
      <c r="Q340" s="5">
        <f>M340+N340+O340+P340</f>
        <v/>
      </c>
      <c r="R340" s="5">
        <f>L340-Q340</f>
        <v/>
      </c>
      <c r="S340" s="6">
        <f>R340*4.7</f>
        <v/>
      </c>
      <c r="T340" s="7">
        <f>IF(L340&gt;0,R340/L340,0)</f>
        <v/>
      </c>
      <c r="U340" s="3" t="inlineStr">
        <is>
          <t>23/05/2026 11:28:45</t>
        </is>
      </c>
    </row>
    <row r="341">
      <c r="A341" s="3" t="inlineStr">
        <is>
          <t>584158130923275955</t>
        </is>
      </c>
      <c r="B341" s="3" t="inlineStr">
        <is>
          <t>已发货</t>
        </is>
      </c>
      <c r="C341" s="3" t="inlineStr">
        <is>
          <t>B2</t>
        </is>
      </c>
      <c r="D341" s="3" t="inlineStr">
        <is>
          <t>魔芋笋2大袋</t>
        </is>
      </c>
      <c r="E3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1" s="3" t="inlineStr">
        <is>
          <t>รสเปรี้ยวเผ็ด​, 20 ซอง 400g</t>
        </is>
      </c>
      <c r="G341" s="6" t="n">
        <v>1</v>
      </c>
      <c r="H341" s="6" t="n">
        <v>250</v>
      </c>
      <c r="I341" s="6" t="n">
        <v>0</v>
      </c>
      <c r="J341" s="6" t="n">
        <v>48</v>
      </c>
      <c r="K341" s="6">
        <f>H341+I341</f>
        <v/>
      </c>
      <c r="L341" s="5">
        <f>K341/4.7</f>
        <v/>
      </c>
      <c r="M341" s="6" t="n">
        <v>13.4</v>
      </c>
      <c r="N341" s="6" t="n">
        <v>1</v>
      </c>
      <c r="O341" s="6">
        <f>(K341*0.1229+1.05)/4.7</f>
        <v/>
      </c>
      <c r="P341" s="6">
        <f>K341*0.0749/4.7</f>
        <v/>
      </c>
      <c r="Q341" s="5">
        <f>M341+N341+O341+P341</f>
        <v/>
      </c>
      <c r="R341" s="5">
        <f>L341-Q341</f>
        <v/>
      </c>
      <c r="S341" s="6">
        <f>R341*4.7</f>
        <v/>
      </c>
      <c r="T341" s="7">
        <f>IF(L341&gt;0,R341/L341,0)</f>
        <v/>
      </c>
      <c r="U341" s="3" t="inlineStr">
        <is>
          <t>23/05/2026 11:28:45</t>
        </is>
      </c>
    </row>
    <row r="342">
      <c r="A342" s="3" t="inlineStr">
        <is>
          <t>584157902327023213</t>
        </is>
      </c>
      <c r="B342" s="3" t="inlineStr">
        <is>
          <t>已发货</t>
        </is>
      </c>
      <c r="C342" s="3" t="inlineStr">
        <is>
          <t>C1</t>
        </is>
      </c>
      <c r="D342" s="3" t="inlineStr">
        <is>
          <t>魔芋笋1大袋</t>
        </is>
      </c>
      <c r="E3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2" s="3" t="inlineStr">
        <is>
          <t>รสเผ็ดหอม​, 10 ซอง 200g</t>
        </is>
      </c>
      <c r="G342" s="6" t="n">
        <v>1</v>
      </c>
      <c r="H342" s="6" t="n">
        <v>69</v>
      </c>
      <c r="I342" s="6" t="n">
        <v>0</v>
      </c>
      <c r="J342" s="6" t="n">
        <v>38</v>
      </c>
      <c r="K342" s="6">
        <f>H342+I342</f>
        <v/>
      </c>
      <c r="L342" s="5">
        <f>K342/4.7</f>
        <v/>
      </c>
      <c r="M342" s="6" t="n">
        <v>6.699999999999999</v>
      </c>
      <c r="N342" s="6" t="n">
        <v>1</v>
      </c>
      <c r="O342" s="6">
        <f>(K342*0.1229+1.05)/4.7</f>
        <v/>
      </c>
      <c r="P342" s="6">
        <f>K342*0.0749/4.7</f>
        <v/>
      </c>
      <c r="Q342" s="5">
        <f>M342+N342+O342+P342</f>
        <v/>
      </c>
      <c r="R342" s="5">
        <f>L342-Q342</f>
        <v/>
      </c>
      <c r="S342" s="6">
        <f>R342*4.7</f>
        <v/>
      </c>
      <c r="T342" s="7">
        <f>IF(L342&gt;0,R342/L342,0)</f>
        <v/>
      </c>
      <c r="U342" s="3" t="inlineStr">
        <is>
          <t>23/05/2026 11:17:28</t>
        </is>
      </c>
    </row>
    <row r="343">
      <c r="A343" s="3" t="inlineStr">
        <is>
          <t>584157590185412454</t>
        </is>
      </c>
      <c r="B343" s="3" t="inlineStr">
        <is>
          <t>已发货</t>
        </is>
      </c>
      <c r="C343" s="3" t="inlineStr">
        <is>
          <t>C1</t>
        </is>
      </c>
      <c r="D343" s="3" t="inlineStr">
        <is>
          <t>魔芋笋1大袋</t>
        </is>
      </c>
      <c r="E3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3" s="3" t="inlineStr">
        <is>
          <t>รสเผ็ดหอม​, 10 ซอง 200g</t>
        </is>
      </c>
      <c r="G343" s="6" t="n">
        <v>1</v>
      </c>
      <c r="H343" s="6" t="n">
        <v>69</v>
      </c>
      <c r="I343" s="6" t="n">
        <v>0</v>
      </c>
      <c r="J343" s="6" t="n">
        <v>38</v>
      </c>
      <c r="K343" s="6">
        <f>H343+I343</f>
        <v/>
      </c>
      <c r="L343" s="5">
        <f>K343/4.7</f>
        <v/>
      </c>
      <c r="M343" s="6" t="n">
        <v>6.699999999999999</v>
      </c>
      <c r="N343" s="6" t="n">
        <v>1</v>
      </c>
      <c r="O343" s="6">
        <f>(K343*0.1229+1.05)/4.7</f>
        <v/>
      </c>
      <c r="P343" s="6">
        <f>K343*0.0749/4.7</f>
        <v/>
      </c>
      <c r="Q343" s="5">
        <f>M343+N343+O343+P343</f>
        <v/>
      </c>
      <c r="R343" s="5">
        <f>L343-Q343</f>
        <v/>
      </c>
      <c r="S343" s="6">
        <f>R343*4.7</f>
        <v/>
      </c>
      <c r="T343" s="7">
        <f>IF(L343&gt;0,R343/L343,0)</f>
        <v/>
      </c>
      <c r="U343" s="3" t="inlineStr">
        <is>
          <t>23/05/2026 10:53:12</t>
        </is>
      </c>
    </row>
    <row r="344">
      <c r="A344" s="3" t="inlineStr">
        <is>
          <t>584157360674408379</t>
        </is>
      </c>
      <c r="B344" s="3" t="inlineStr">
        <is>
          <t>已发货</t>
        </is>
      </c>
      <c r="C344" s="3" t="inlineStr">
        <is>
          <t>ER-B</t>
        </is>
      </c>
      <c r="D344" s="3" t="inlineStr">
        <is>
          <t>广州酒家黄油鸡蛋卷480g</t>
        </is>
      </c>
      <c r="E344" s="3" t="inlineStr">
        <is>
          <t>Egg Roll 2สูตร ทองม้วนไข่กล่องเหล็กพรีเมี่ยม!! GuangZhou Restaurant 454g/480g กล่องล่ะ 24 แท่ง</t>
        </is>
      </c>
      <c r="F344" s="3" t="inlineStr">
        <is>
          <t>Butter สูตรเนยสด พรีเมี่ยม</t>
        </is>
      </c>
      <c r="G344" s="6" t="n">
        <v>1</v>
      </c>
      <c r="H344" s="6" t="n">
        <v>360</v>
      </c>
      <c r="I344" s="6" t="n">
        <v>0</v>
      </c>
      <c r="J344" s="6" t="n">
        <v>38</v>
      </c>
      <c r="K344" s="6">
        <f>H344+I344</f>
        <v/>
      </c>
      <c r="L344" s="5">
        <f>K344/4.7</f>
        <v/>
      </c>
      <c r="M344" s="6" t="n">
        <v>45.49882436351998</v>
      </c>
      <c r="N344" s="6" t="n">
        <v>2</v>
      </c>
      <c r="O344" s="6">
        <f>(K344*0.1229+1.05)/4.7</f>
        <v/>
      </c>
      <c r="P344" s="6">
        <f>K344*0.0749/4.7</f>
        <v/>
      </c>
      <c r="Q344" s="5">
        <f>M344+N344+O344+P344</f>
        <v/>
      </c>
      <c r="R344" s="5">
        <f>L344-Q344</f>
        <v/>
      </c>
      <c r="S344" s="6">
        <f>R344*4.7</f>
        <v/>
      </c>
      <c r="T344" s="7">
        <f>IF(L344&gt;0,R344/L344,0)</f>
        <v/>
      </c>
      <c r="U344" s="3" t="inlineStr">
        <is>
          <t>23/05/2026 10:36:10</t>
        </is>
      </c>
    </row>
    <row r="345">
      <c r="A345" s="3" t="inlineStr">
        <is>
          <t>584157240168580621</t>
        </is>
      </c>
      <c r="B345" s="3" t="inlineStr">
        <is>
          <t>已发货</t>
        </is>
      </c>
      <c r="C345" s="3" t="inlineStr">
        <is>
          <t>CK</t>
        </is>
      </c>
      <c r="D345" s="3" t="inlineStr">
        <is>
          <t>黑松露黑麦苏打饼干</t>
        </is>
      </c>
      <c r="E34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45" s="3" t="inlineStr">
        <is>
          <t>ค่าเริ่มต้น</t>
        </is>
      </c>
      <c r="G345" s="6" t="n">
        <v>1</v>
      </c>
      <c r="H345" s="6" t="n">
        <v>105</v>
      </c>
      <c r="I345" s="6" t="n">
        <v>0</v>
      </c>
      <c r="J345" s="6" t="n">
        <v>35</v>
      </c>
      <c r="K345" s="6">
        <f>H345+I345</f>
        <v/>
      </c>
      <c r="L345" s="5">
        <f>K345/4.7</f>
        <v/>
      </c>
      <c r="M345" s="6" t="n">
        <v>10.72665050209467</v>
      </c>
      <c r="N345" s="6" t="n">
        <v>1</v>
      </c>
      <c r="O345" s="6">
        <f>(K345*0.1229+1.05)/4.7</f>
        <v/>
      </c>
      <c r="P345" s="6">
        <f>K345*0.0749/4.7</f>
        <v/>
      </c>
      <c r="Q345" s="5">
        <f>M345+N345+O345+P345</f>
        <v/>
      </c>
      <c r="R345" s="5">
        <f>L345-Q345</f>
        <v/>
      </c>
      <c r="S345" s="6">
        <f>R345*4.7</f>
        <v/>
      </c>
      <c r="T345" s="7">
        <f>IF(L345&gt;0,R345/L345,0)</f>
        <v/>
      </c>
      <c r="U345" s="3" t="inlineStr">
        <is>
          <t>23/05/2026 10:27:31</t>
        </is>
      </c>
    </row>
    <row r="346">
      <c r="A346" s="3" t="inlineStr">
        <is>
          <t>584156529017587448</t>
        </is>
      </c>
      <c r="B346" s="3" t="inlineStr">
        <is>
          <t>已完成</t>
        </is>
      </c>
      <c r="C346" s="3" t="inlineStr">
        <is>
          <t>CK</t>
        </is>
      </c>
      <c r="D346" s="3" t="inlineStr">
        <is>
          <t>黑松露黑麦苏打饼干</t>
        </is>
      </c>
      <c r="E34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46" s="3" t="inlineStr">
        <is>
          <t>ค่าเริ่มต้น</t>
        </is>
      </c>
      <c r="G346" s="6" t="n">
        <v>2</v>
      </c>
      <c r="H346" s="6" t="n">
        <v>199.5</v>
      </c>
      <c r="I346" s="6" t="n">
        <v>0</v>
      </c>
      <c r="J346" s="6" t="n">
        <v>29</v>
      </c>
      <c r="K346" s="6">
        <f>H346+I346</f>
        <v/>
      </c>
      <c r="L346" s="5">
        <f>K346/4.7</f>
        <v/>
      </c>
      <c r="M346" s="6" t="n">
        <v>21.45330100418933</v>
      </c>
      <c r="N346" s="6" t="n">
        <v>1</v>
      </c>
      <c r="O346" s="6">
        <f>(K346*0.1229+1.05)/4.7</f>
        <v/>
      </c>
      <c r="P346" s="6">
        <f>K346*0.0749/4.7</f>
        <v/>
      </c>
      <c r="Q346" s="5">
        <f>M346+N346+O346+P346</f>
        <v/>
      </c>
      <c r="R346" s="5">
        <f>L346-Q346</f>
        <v/>
      </c>
      <c r="S346" s="6">
        <f>R346*4.7</f>
        <v/>
      </c>
      <c r="T346" s="7">
        <f>IF(L346&gt;0,R346/L346,0)</f>
        <v/>
      </c>
      <c r="U346" s="3" t="inlineStr">
        <is>
          <t>23/05/2026 09:35:19</t>
        </is>
      </c>
    </row>
    <row r="347">
      <c r="A347" s="3" t="inlineStr">
        <is>
          <t>584156512859096715</t>
        </is>
      </c>
      <c r="B347" s="3" t="inlineStr">
        <is>
          <t>已发货</t>
        </is>
      </c>
      <c r="C347" s="3" t="inlineStr">
        <is>
          <t>CK</t>
        </is>
      </c>
      <c r="D347" s="3" t="inlineStr">
        <is>
          <t>黑松露黑麦苏打饼干</t>
        </is>
      </c>
      <c r="E34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47" s="3" t="inlineStr">
        <is>
          <t>ค่าเริ่มต้น</t>
        </is>
      </c>
      <c r="G347" s="6" t="n">
        <v>1</v>
      </c>
      <c r="H347" s="6" t="n">
        <v>65</v>
      </c>
      <c r="I347" s="6" t="n">
        <v>40</v>
      </c>
      <c r="J347" s="6" t="n">
        <v>35</v>
      </c>
      <c r="K347" s="6">
        <f>H347+I347</f>
        <v/>
      </c>
      <c r="L347" s="5">
        <f>K347/4.7</f>
        <v/>
      </c>
      <c r="M347" s="6" t="n">
        <v>10.72665050209467</v>
      </c>
      <c r="N347" s="6" t="n">
        <v>1</v>
      </c>
      <c r="O347" s="6">
        <f>(K347*0.1229+1.05)/4.7</f>
        <v/>
      </c>
      <c r="P347" s="6">
        <f>K347*0.0749/4.7</f>
        <v/>
      </c>
      <c r="Q347" s="5">
        <f>M347+N347+O347+P347</f>
        <v/>
      </c>
      <c r="R347" s="5">
        <f>L347-Q347</f>
        <v/>
      </c>
      <c r="S347" s="6">
        <f>R347*4.7</f>
        <v/>
      </c>
      <c r="T347" s="7">
        <f>IF(L347&gt;0,R347/L347,0)</f>
        <v/>
      </c>
      <c r="U347" s="3" t="inlineStr">
        <is>
          <t>23/05/2026 09:32:13</t>
        </is>
      </c>
    </row>
    <row r="348">
      <c r="A348" s="3" t="inlineStr">
        <is>
          <t>584156457838543980</t>
        </is>
      </c>
      <c r="B348" s="3" t="inlineStr">
        <is>
          <t>已发货</t>
        </is>
      </c>
      <c r="C348" s="3" t="inlineStr">
        <is>
          <t>C5s</t>
        </is>
      </c>
      <c r="D348" s="3" t="inlineStr">
        <is>
          <t>香辣味魔芋笋5小袋</t>
        </is>
      </c>
      <c r="E3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8" s="3" t="inlineStr">
        <is>
          <t>รสเผ็ดหอม​, *ชุดเล็ก 5 ซอง 100g</t>
        </is>
      </c>
      <c r="G348" s="6" t="n">
        <v>1</v>
      </c>
      <c r="H348" s="6" t="n">
        <v>47</v>
      </c>
      <c r="I348" s="6" t="n">
        <v>0</v>
      </c>
      <c r="J348" s="6" t="n">
        <v>38</v>
      </c>
      <c r="K348" s="6">
        <f>H348+I348</f>
        <v/>
      </c>
      <c r="L348" s="5">
        <f>K348/4.7</f>
        <v/>
      </c>
      <c r="M348" s="6" t="n">
        <v>3.35</v>
      </c>
      <c r="N348" s="6" t="n">
        <v>1</v>
      </c>
      <c r="O348" s="6">
        <f>(K348*0.1229+1.05)/4.7</f>
        <v/>
      </c>
      <c r="P348" s="6">
        <f>K348*0.0749/4.7</f>
        <v/>
      </c>
      <c r="Q348" s="5">
        <f>M348+N348+O348+P348</f>
        <v/>
      </c>
      <c r="R348" s="5">
        <f>L348-Q348</f>
        <v/>
      </c>
      <c r="S348" s="6">
        <f>R348*4.7</f>
        <v/>
      </c>
      <c r="T348" s="7">
        <f>IF(L348&gt;0,R348/L348,0)</f>
        <v/>
      </c>
      <c r="U348" s="3" t="inlineStr">
        <is>
          <t>23/05/2026 09:30:38</t>
        </is>
      </c>
    </row>
    <row r="349">
      <c r="A349" s="3" t="inlineStr">
        <is>
          <t>584156389141546098</t>
        </is>
      </c>
      <c r="B349" s="3" t="inlineStr">
        <is>
          <t>已完成</t>
        </is>
      </c>
      <c r="C349" s="3" t="inlineStr">
        <is>
          <t>C3</t>
        </is>
      </c>
      <c r="D349" s="3" t="inlineStr">
        <is>
          <t>魔芋笋3大袋</t>
        </is>
      </c>
      <c r="E3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9" s="3" t="inlineStr">
        <is>
          <t>รสเผ็ดหอม​, 30 ซอง 600g</t>
        </is>
      </c>
      <c r="G349" s="6" t="n">
        <v>1</v>
      </c>
      <c r="H349" s="6" t="n">
        <v>339</v>
      </c>
      <c r="I349" s="6" t="n">
        <v>0</v>
      </c>
      <c r="J349" s="6" t="n">
        <v>85</v>
      </c>
      <c r="K349" s="6">
        <f>H349+I349</f>
        <v/>
      </c>
      <c r="L349" s="5">
        <f>K349/4.7</f>
        <v/>
      </c>
      <c r="M349" s="6" t="n">
        <v>20.1</v>
      </c>
      <c r="N349" s="6" t="n">
        <v>1</v>
      </c>
      <c r="O349" s="6">
        <f>(K349*0.1229+1.05)/4.7</f>
        <v/>
      </c>
      <c r="P349" s="6">
        <f>K349*0.0749/4.7</f>
        <v/>
      </c>
      <c r="Q349" s="5">
        <f>M349+N349+O349+P349</f>
        <v/>
      </c>
      <c r="R349" s="5">
        <f>L349-Q349</f>
        <v/>
      </c>
      <c r="S349" s="6">
        <f>R349*4.7</f>
        <v/>
      </c>
      <c r="T349" s="7">
        <f>IF(L349&gt;0,R349/L349,0)</f>
        <v/>
      </c>
      <c r="U349" s="3" t="inlineStr">
        <is>
          <t>23/05/2026 09:26:07</t>
        </is>
      </c>
    </row>
    <row r="350">
      <c r="A350" s="3" t="inlineStr">
        <is>
          <t>584156389141546098</t>
        </is>
      </c>
      <c r="B350" s="3" t="inlineStr">
        <is>
          <t>已完成</t>
        </is>
      </c>
      <c r="C350" s="3" t="inlineStr">
        <is>
          <t>B3</t>
        </is>
      </c>
      <c r="D350" s="3" t="inlineStr">
        <is>
          <t>魔芋笋3大袋</t>
        </is>
      </c>
      <c r="E3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0" s="3" t="inlineStr">
        <is>
          <t>รสเปรี้ยวเผ็ด​, 30 ซอง 600g</t>
        </is>
      </c>
      <c r="G350" s="6" t="n">
        <v>1</v>
      </c>
      <c r="H350" s="6" t="n">
        <v>339</v>
      </c>
      <c r="I350" s="6" t="n">
        <v>0</v>
      </c>
      <c r="J350" s="6" t="n">
        <v>85</v>
      </c>
      <c r="K350" s="6">
        <f>H350+I350</f>
        <v/>
      </c>
      <c r="L350" s="5">
        <f>K350/4.7</f>
        <v/>
      </c>
      <c r="M350" s="6" t="n">
        <v>20.1</v>
      </c>
      <c r="N350" s="6" t="n">
        <v>1</v>
      </c>
      <c r="O350" s="6">
        <f>(K350*0.1229+1.05)/4.7</f>
        <v/>
      </c>
      <c r="P350" s="6">
        <f>K350*0.0749/4.7</f>
        <v/>
      </c>
      <c r="Q350" s="5">
        <f>M350+N350+O350+P350</f>
        <v/>
      </c>
      <c r="R350" s="5">
        <f>L350-Q350</f>
        <v/>
      </c>
      <c r="S350" s="6">
        <f>R350*4.7</f>
        <v/>
      </c>
      <c r="T350" s="7">
        <f>IF(L350&gt;0,R350/L350,0)</f>
        <v/>
      </c>
      <c r="U350" s="3" t="inlineStr">
        <is>
          <t>23/05/2026 09:26:07</t>
        </is>
      </c>
    </row>
    <row r="351">
      <c r="A351" s="3" t="inlineStr">
        <is>
          <t>584156223586469407</t>
        </is>
      </c>
      <c r="B351" s="3" t="inlineStr">
        <is>
          <t>已发货</t>
        </is>
      </c>
      <c r="C351" s="3" t="inlineStr">
        <is>
          <t>C5s</t>
        </is>
      </c>
      <c r="D351" s="3" t="inlineStr">
        <is>
          <t>香辣味魔芋笋5小袋</t>
        </is>
      </c>
      <c r="E3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1" s="3" t="inlineStr">
        <is>
          <t>รสเผ็ดหอม​, *ชุดเล็ก 5 ซอง 100g</t>
        </is>
      </c>
      <c r="G351" s="6" t="n">
        <v>1</v>
      </c>
      <c r="H351" s="6" t="n">
        <v>85</v>
      </c>
      <c r="I351" s="6" t="n">
        <v>0</v>
      </c>
      <c r="J351" s="6" t="n">
        <v>0</v>
      </c>
      <c r="K351" s="6">
        <f>H351+I351</f>
        <v/>
      </c>
      <c r="L351" s="5">
        <f>K351/4.7</f>
        <v/>
      </c>
      <c r="M351" s="6" t="n">
        <v>3.35</v>
      </c>
      <c r="N351" s="6" t="n">
        <v>1</v>
      </c>
      <c r="O351" s="6">
        <f>(K351*0.1229+1.05)/4.7</f>
        <v/>
      </c>
      <c r="P351" s="6">
        <f>K351*0.0749/4.7</f>
        <v/>
      </c>
      <c r="Q351" s="5">
        <f>M351+N351+O351+P351</f>
        <v/>
      </c>
      <c r="R351" s="5">
        <f>L351-Q351</f>
        <v/>
      </c>
      <c r="S351" s="6">
        <f>R351*4.7</f>
        <v/>
      </c>
      <c r="T351" s="7">
        <f>IF(L351&gt;0,R351/L351,0)</f>
        <v/>
      </c>
      <c r="U351" s="3" t="inlineStr">
        <is>
          <t>23/05/2026 09:13:42</t>
        </is>
      </c>
    </row>
    <row r="352">
      <c r="A352" s="3" t="inlineStr">
        <is>
          <t>584154153912797067</t>
        </is>
      </c>
      <c r="B352" s="3" t="inlineStr">
        <is>
          <t>已发货</t>
        </is>
      </c>
      <c r="C352" s="3" t="inlineStr">
        <is>
          <t>CK</t>
        </is>
      </c>
      <c r="D352" s="3" t="inlineStr">
        <is>
          <t>黑松露黑麦苏打饼干</t>
        </is>
      </c>
      <c r="E35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52" s="3" t="inlineStr">
        <is>
          <t>ค่าเริ่มต้น</t>
        </is>
      </c>
      <c r="G352" s="6" t="n">
        <v>1</v>
      </c>
      <c r="H352" s="6" t="n">
        <v>50.6</v>
      </c>
      <c r="I352" s="6" t="n">
        <v>54.4</v>
      </c>
      <c r="J352" s="6" t="n">
        <v>38</v>
      </c>
      <c r="K352" s="6">
        <f>H352+I352</f>
        <v/>
      </c>
      <c r="L352" s="5">
        <f>K352/4.7</f>
        <v/>
      </c>
      <c r="M352" s="6" t="n">
        <v>10.72665050209467</v>
      </c>
      <c r="N352" s="6" t="n">
        <v>1</v>
      </c>
      <c r="O352" s="6">
        <f>(K352*0.1229+1.05)/4.7</f>
        <v/>
      </c>
      <c r="P352" s="6">
        <f>K352*0.0749/4.7</f>
        <v/>
      </c>
      <c r="Q352" s="5">
        <f>M352+N352+O352+P352</f>
        <v/>
      </c>
      <c r="R352" s="5">
        <f>L352-Q352</f>
        <v/>
      </c>
      <c r="S352" s="6">
        <f>R352*4.7</f>
        <v/>
      </c>
      <c r="T352" s="7">
        <f>IF(L352&gt;0,R352/L352,0)</f>
        <v/>
      </c>
      <c r="U352" s="3" t="inlineStr">
        <is>
          <t>23/05/2026 05:22:41</t>
        </is>
      </c>
    </row>
    <row r="353">
      <c r="A353" s="3" t="inlineStr">
        <is>
          <t>584154108595767114</t>
        </is>
      </c>
      <c r="B353" s="3" t="inlineStr">
        <is>
          <t>已发货</t>
        </is>
      </c>
      <c r="C353" s="3" t="inlineStr">
        <is>
          <t>C2</t>
        </is>
      </c>
      <c r="D353" s="3" t="inlineStr">
        <is>
          <t>魔芋笋2大袋</t>
        </is>
      </c>
      <c r="E3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3" s="3" t="inlineStr">
        <is>
          <t>รสเผ็ดหอม​, 20 ซอง 400g</t>
        </is>
      </c>
      <c r="G353" s="6" t="n">
        <v>1</v>
      </c>
      <c r="H353" s="6" t="n">
        <v>120</v>
      </c>
      <c r="I353" s="6" t="n">
        <v>0</v>
      </c>
      <c r="J353" s="6" t="n">
        <v>38</v>
      </c>
      <c r="K353" s="6">
        <f>H353+I353</f>
        <v/>
      </c>
      <c r="L353" s="5">
        <f>K353/4.7</f>
        <v/>
      </c>
      <c r="M353" s="6" t="n">
        <v>13.4</v>
      </c>
      <c r="N353" s="6" t="n">
        <v>1</v>
      </c>
      <c r="O353" s="6">
        <f>(K353*0.1229+1.05)/4.7</f>
        <v/>
      </c>
      <c r="P353" s="6">
        <f>K353*0.0749/4.7</f>
        <v/>
      </c>
      <c r="Q353" s="5">
        <f>M353+N353+O353+P353</f>
        <v/>
      </c>
      <c r="R353" s="5">
        <f>L353-Q353</f>
        <v/>
      </c>
      <c r="S353" s="6">
        <f>R353*4.7</f>
        <v/>
      </c>
      <c r="T353" s="7">
        <f>IF(L353&gt;0,R353/L353,0)</f>
        <v/>
      </c>
      <c r="U353" s="3" t="inlineStr">
        <is>
          <t>23/05/2026 05:16:42</t>
        </is>
      </c>
    </row>
    <row r="354">
      <c r="A354" s="3" t="inlineStr">
        <is>
          <t>584152467480217155</t>
        </is>
      </c>
      <c r="B354" s="3" t="inlineStr">
        <is>
          <t>已发货</t>
        </is>
      </c>
      <c r="C354" s="3" t="inlineStr">
        <is>
          <t>C3</t>
        </is>
      </c>
      <c r="D354" s="3" t="inlineStr">
        <is>
          <t>魔芋笋3大袋</t>
        </is>
      </c>
      <c r="E354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54" s="3" t="inlineStr">
        <is>
          <t>รสเผ็ดหอม​, 3pcs  600g</t>
        </is>
      </c>
      <c r="G354" s="6" t="n">
        <v>1</v>
      </c>
      <c r="H354" s="6" t="n">
        <v>165</v>
      </c>
      <c r="I354" s="6" t="n">
        <v>0</v>
      </c>
      <c r="J354" s="6" t="n">
        <v>38</v>
      </c>
      <c r="K354" s="6">
        <f>H354+I354</f>
        <v/>
      </c>
      <c r="L354" s="5">
        <f>K354/4.7</f>
        <v/>
      </c>
      <c r="M354" s="6" t="n">
        <v>20.1</v>
      </c>
      <c r="N354" s="6" t="n">
        <v>1</v>
      </c>
      <c r="O354" s="6">
        <f>(K354*0.1229+1.05)/4.7</f>
        <v/>
      </c>
      <c r="P354" s="6">
        <f>K354*0.0749/4.7</f>
        <v/>
      </c>
      <c r="Q354" s="5">
        <f>M354+N354+O354+P354</f>
        <v/>
      </c>
      <c r="R354" s="5">
        <f>L354-Q354</f>
        <v/>
      </c>
      <c r="S354" s="6">
        <f>R354*4.7</f>
        <v/>
      </c>
      <c r="T354" s="7">
        <f>IF(L354&gt;0,R354/L354,0)</f>
        <v/>
      </c>
      <c r="U354" s="3" t="inlineStr">
        <is>
          <t>22/05/2026 23:22:26</t>
        </is>
      </c>
    </row>
    <row r="355">
      <c r="A355" s="3" t="inlineStr">
        <is>
          <t>584152452393502546</t>
        </is>
      </c>
      <c r="B355" s="3" t="inlineStr">
        <is>
          <t>已完成</t>
        </is>
      </c>
      <c r="C355" s="3" t="inlineStr">
        <is>
          <t>C1</t>
        </is>
      </c>
      <c r="D355" s="3" t="inlineStr">
        <is>
          <t>魔芋笋1大袋</t>
        </is>
      </c>
      <c r="E355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55" s="3" t="inlineStr">
        <is>
          <t>รสเผ็ดหอม​, 1pcs   200g</t>
        </is>
      </c>
      <c r="G355" s="6" t="n">
        <v>1</v>
      </c>
      <c r="H355" s="6" t="n">
        <v>60</v>
      </c>
      <c r="I355" s="6" t="n">
        <v>0</v>
      </c>
      <c r="J355" s="6" t="n">
        <v>35</v>
      </c>
      <c r="K355" s="6">
        <f>H355+I355</f>
        <v/>
      </c>
      <c r="L355" s="5">
        <f>K355/4.7</f>
        <v/>
      </c>
      <c r="M355" s="6" t="n">
        <v>6.699999999999999</v>
      </c>
      <c r="N355" s="6" t="n">
        <v>1</v>
      </c>
      <c r="O355" s="6">
        <f>(K355*0.1229+1.05)/4.7</f>
        <v/>
      </c>
      <c r="P355" s="6">
        <f>K355*0.0749/4.7</f>
        <v/>
      </c>
      <c r="Q355" s="5">
        <f>M355+N355+O355+P355</f>
        <v/>
      </c>
      <c r="R355" s="5">
        <f>L355-Q355</f>
        <v/>
      </c>
      <c r="S355" s="6">
        <f>R355*4.7</f>
        <v/>
      </c>
      <c r="T355" s="7">
        <f>IF(L355&gt;0,R355/L355,0)</f>
        <v/>
      </c>
      <c r="U355" s="3" t="inlineStr">
        <is>
          <t>22/05/2026 23:22:05</t>
        </is>
      </c>
    </row>
    <row r="356">
      <c r="A356" s="3" t="inlineStr">
        <is>
          <t>584152196590503117</t>
        </is>
      </c>
      <c r="B356" s="3" t="inlineStr">
        <is>
          <t>已发货</t>
        </is>
      </c>
      <c r="C356" s="3" t="inlineStr">
        <is>
          <t>ER-B</t>
        </is>
      </c>
      <c r="D356" s="3" t="inlineStr">
        <is>
          <t>广州酒家黄油鸡蛋卷480g</t>
        </is>
      </c>
      <c r="E356" s="3" t="inlineStr">
        <is>
          <t>Egg Roll 2สูตร ทองม้วนไข่กล่องเหล็กพรีเมี่ยม!! GuangZhou Restaurant 454g/480g กล่องล่ะ 24 แท่ง</t>
        </is>
      </c>
      <c r="F356" s="3" t="inlineStr">
        <is>
          <t>Butter สูตรเนยสด พรีเมี่ยม</t>
        </is>
      </c>
      <c r="G356" s="6" t="n">
        <v>1</v>
      </c>
      <c r="H356" s="6" t="n">
        <v>355</v>
      </c>
      <c r="I356" s="6" t="n">
        <v>0</v>
      </c>
      <c r="J356" s="6" t="n">
        <v>35</v>
      </c>
      <c r="K356" s="6">
        <f>H356+I356</f>
        <v/>
      </c>
      <c r="L356" s="5">
        <f>K356/4.7</f>
        <v/>
      </c>
      <c r="M356" s="6" t="n">
        <v>45.49882436351998</v>
      </c>
      <c r="N356" s="6" t="n">
        <v>2</v>
      </c>
      <c r="O356" s="6">
        <f>(K356*0.1229+1.05)/4.7</f>
        <v/>
      </c>
      <c r="P356" s="6">
        <f>K356*0.0749/4.7</f>
        <v/>
      </c>
      <c r="Q356" s="5">
        <f>M356+N356+O356+P356</f>
        <v/>
      </c>
      <c r="R356" s="5">
        <f>L356-Q356</f>
        <v/>
      </c>
      <c r="S356" s="6">
        <f>R356*4.7</f>
        <v/>
      </c>
      <c r="T356" s="7">
        <f>IF(L356&gt;0,R356/L356,0)</f>
        <v/>
      </c>
      <c r="U356" s="3" t="inlineStr">
        <is>
          <t>22/05/2026 22:55:13</t>
        </is>
      </c>
    </row>
    <row r="357">
      <c r="A357" s="3" t="inlineStr">
        <is>
          <t>584150943718868463</t>
        </is>
      </c>
      <c r="B357" s="3" t="inlineStr">
        <is>
          <t>已完成</t>
        </is>
      </c>
      <c r="C357" s="3" t="inlineStr">
        <is>
          <t>C1</t>
        </is>
      </c>
      <c r="D357" s="3" t="inlineStr">
        <is>
          <t>魔芋笋1大袋</t>
        </is>
      </c>
      <c r="E3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7" s="3" t="inlineStr">
        <is>
          <t>รสเผ็ดหอม​, 10 ซอง 200g</t>
        </is>
      </c>
      <c r="G357" s="6" t="n">
        <v>1</v>
      </c>
      <c r="H357" s="6" t="n">
        <v>68.98</v>
      </c>
      <c r="I357" s="6" t="n">
        <v>0.02</v>
      </c>
      <c r="J357" s="6" t="n">
        <v>35</v>
      </c>
      <c r="K357" s="6">
        <f>H357+I357</f>
        <v/>
      </c>
      <c r="L357" s="5">
        <f>K357/4.7</f>
        <v/>
      </c>
      <c r="M357" s="6" t="n">
        <v>6.699999999999999</v>
      </c>
      <c r="N357" s="6" t="n">
        <v>1</v>
      </c>
      <c r="O357" s="6">
        <f>(K357*0.1229+1.05)/4.7</f>
        <v/>
      </c>
      <c r="P357" s="6">
        <f>K357*0.0749/4.7</f>
        <v/>
      </c>
      <c r="Q357" s="5">
        <f>M357+N357+O357+P357</f>
        <v/>
      </c>
      <c r="R357" s="5">
        <f>L357-Q357</f>
        <v/>
      </c>
      <c r="S357" s="6">
        <f>R357*4.7</f>
        <v/>
      </c>
      <c r="T357" s="7">
        <f>IF(L357&gt;0,R357/L357,0)</f>
        <v/>
      </c>
      <c r="U357" s="3" t="inlineStr">
        <is>
          <t>22/05/2026 21:27:43</t>
        </is>
      </c>
    </row>
    <row r="358">
      <c r="A358" s="3" t="inlineStr">
        <is>
          <t>584150901892416596</t>
        </is>
      </c>
      <c r="B358" s="3" t="inlineStr">
        <is>
          <t>已发货</t>
        </is>
      </c>
      <c r="C358" s="3" t="inlineStr">
        <is>
          <t>CK</t>
        </is>
      </c>
      <c r="D358" s="3" t="inlineStr">
        <is>
          <t>黑松露黑麦苏打饼干</t>
        </is>
      </c>
      <c r="E35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58" s="3" t="inlineStr">
        <is>
          <t>ค่าเริ่มต้น</t>
        </is>
      </c>
      <c r="G358" s="6" t="n">
        <v>1</v>
      </c>
      <c r="H358" s="6" t="n">
        <v>105</v>
      </c>
      <c r="I358" s="6" t="n">
        <v>0</v>
      </c>
      <c r="J358" s="6" t="n">
        <v>38</v>
      </c>
      <c r="K358" s="6">
        <f>H358+I358</f>
        <v/>
      </c>
      <c r="L358" s="5">
        <f>K358/4.7</f>
        <v/>
      </c>
      <c r="M358" s="6" t="n">
        <v>10.72665050209467</v>
      </c>
      <c r="N358" s="6" t="n">
        <v>1</v>
      </c>
      <c r="O358" s="6">
        <f>(K358*0.1229+1.05)/4.7</f>
        <v/>
      </c>
      <c r="P358" s="6">
        <f>K358*0.0749/4.7</f>
        <v/>
      </c>
      <c r="Q358" s="5">
        <f>M358+N358+O358+P358</f>
        <v/>
      </c>
      <c r="R358" s="5">
        <f>L358-Q358</f>
        <v/>
      </c>
      <c r="S358" s="6">
        <f>R358*4.7</f>
        <v/>
      </c>
      <c r="T358" s="7">
        <f>IF(L358&gt;0,R358/L358,0)</f>
        <v/>
      </c>
      <c r="U358" s="3" t="inlineStr">
        <is>
          <t>22/05/2026 21:22:44</t>
        </is>
      </c>
    </row>
    <row r="359">
      <c r="A359" s="3" t="inlineStr">
        <is>
          <t>584147834794706577</t>
        </is>
      </c>
      <c r="B359" s="3" t="inlineStr">
        <is>
          <t>已完成</t>
        </is>
      </c>
      <c r="C359" s="3" t="inlineStr">
        <is>
          <t>A1</t>
        </is>
      </c>
      <c r="D359" s="3" t="inlineStr">
        <is>
          <t>魔芋干1包</t>
        </is>
      </c>
      <c r="E359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59" s="3" t="inlineStr">
        <is>
          <t>10 ซอง 100g</t>
        </is>
      </c>
      <c r="G359" s="6" t="n">
        <v>1</v>
      </c>
      <c r="H359" s="6" t="n">
        <v>44.7</v>
      </c>
      <c r="I359" s="6" t="n">
        <v>8.300000000000001</v>
      </c>
      <c r="J359" s="6" t="n">
        <v>29</v>
      </c>
      <c r="K359" s="6">
        <f>H359+I359</f>
        <v/>
      </c>
      <c r="L359" s="5">
        <f>K359/4.7</f>
        <v/>
      </c>
      <c r="M359" s="6" t="n">
        <v>6.1</v>
      </c>
      <c r="N359" s="6" t="n">
        <v>0.5</v>
      </c>
      <c r="O359" s="6">
        <f>(K359*0.1229+1.05)/4.7</f>
        <v/>
      </c>
      <c r="P359" s="6">
        <f>K359*0.0749/4.7</f>
        <v/>
      </c>
      <c r="Q359" s="5">
        <f>M359+N359+O359+P359</f>
        <v/>
      </c>
      <c r="R359" s="5">
        <f>L359-Q359</f>
        <v/>
      </c>
      <c r="S359" s="6">
        <f>R359*4.7</f>
        <v/>
      </c>
      <c r="T359" s="7">
        <f>IF(L359&gt;0,R359/L359,0)</f>
        <v/>
      </c>
      <c r="U359" s="3" t="inlineStr">
        <is>
          <t>22/05/2026 17:57:01</t>
        </is>
      </c>
    </row>
    <row r="360">
      <c r="A360" s="3" t="inlineStr">
        <is>
          <t>584147785617868111</t>
        </is>
      </c>
      <c r="B360" s="3" t="inlineStr">
        <is>
          <t>已发货</t>
        </is>
      </c>
      <c r="C360" s="3" t="inlineStr">
        <is>
          <t>C1</t>
        </is>
      </c>
      <c r="D360" s="3" t="inlineStr">
        <is>
          <t>魔芋笋1大袋</t>
        </is>
      </c>
      <c r="E3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0" s="3" t="inlineStr">
        <is>
          <t>รสเผ็ดหอม​, 10 ซอง 200g</t>
        </is>
      </c>
      <c r="G360" s="6" t="n">
        <v>1</v>
      </c>
      <c r="H360" s="6" t="n">
        <v>69</v>
      </c>
      <c r="I360" s="6" t="n">
        <v>0</v>
      </c>
      <c r="J360" s="6" t="n">
        <v>38</v>
      </c>
      <c r="K360" s="6">
        <f>H360+I360</f>
        <v/>
      </c>
      <c r="L360" s="5">
        <f>K360/4.7</f>
        <v/>
      </c>
      <c r="M360" s="6" t="n">
        <v>6.699999999999999</v>
      </c>
      <c r="N360" s="6" t="n">
        <v>1</v>
      </c>
      <c r="O360" s="6">
        <f>(K360*0.1229+1.05)/4.7</f>
        <v/>
      </c>
      <c r="P360" s="6">
        <f>K360*0.0749/4.7</f>
        <v/>
      </c>
      <c r="Q360" s="5">
        <f>M360+N360+O360+P360</f>
        <v/>
      </c>
      <c r="R360" s="5">
        <f>L360-Q360</f>
        <v/>
      </c>
      <c r="S360" s="6">
        <f>R360*4.7</f>
        <v/>
      </c>
      <c r="T360" s="7">
        <f>IF(L360&gt;0,R360/L360,0)</f>
        <v/>
      </c>
      <c r="U360" s="3" t="inlineStr">
        <is>
          <t>22/05/2026 17:53:13</t>
        </is>
      </c>
    </row>
    <row r="361">
      <c r="A361" s="3" t="inlineStr">
        <is>
          <t>584147754657154978</t>
        </is>
      </c>
      <c r="B361" s="3" t="inlineStr">
        <is>
          <t>已完成</t>
        </is>
      </c>
      <c r="C361" s="3" t="inlineStr">
        <is>
          <t>B1</t>
        </is>
      </c>
      <c r="D361" s="3" t="inlineStr">
        <is>
          <t>魔芋笋1大袋</t>
        </is>
      </c>
      <c r="E3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1" s="3" t="inlineStr">
        <is>
          <t>รสเปรี้ยวเผ็ด​, 10 ซอง 200g</t>
        </is>
      </c>
      <c r="G361" s="6" t="n">
        <v>1</v>
      </c>
      <c r="H361" s="6" t="n">
        <v>69</v>
      </c>
      <c r="I361" s="6" t="n">
        <v>0</v>
      </c>
      <c r="J361" s="6" t="n">
        <v>38</v>
      </c>
      <c r="K361" s="6">
        <f>H361+I361</f>
        <v/>
      </c>
      <c r="L361" s="5">
        <f>K361/4.7</f>
        <v/>
      </c>
      <c r="M361" s="6" t="n">
        <v>6.699999999999999</v>
      </c>
      <c r="N361" s="6" t="n">
        <v>1</v>
      </c>
      <c r="O361" s="6">
        <f>(K361*0.1229+1.05)/4.7</f>
        <v/>
      </c>
      <c r="P361" s="6">
        <f>K361*0.0749/4.7</f>
        <v/>
      </c>
      <c r="Q361" s="5">
        <f>M361+N361+O361+P361</f>
        <v/>
      </c>
      <c r="R361" s="5">
        <f>L361-Q361</f>
        <v/>
      </c>
      <c r="S361" s="6">
        <f>R361*4.7</f>
        <v/>
      </c>
      <c r="T361" s="7">
        <f>IF(L361&gt;0,R361/L361,0)</f>
        <v/>
      </c>
      <c r="U361" s="3" t="inlineStr">
        <is>
          <t>22/05/2026 17:46:58</t>
        </is>
      </c>
    </row>
    <row r="362">
      <c r="A362" s="3" t="inlineStr">
        <is>
          <t>584147702225799060</t>
        </is>
      </c>
      <c r="B362" s="3" t="inlineStr">
        <is>
          <t>已发货</t>
        </is>
      </c>
      <c r="C362" s="3" t="inlineStr">
        <is>
          <t>A1</t>
        </is>
      </c>
      <c r="D362" s="3" t="inlineStr">
        <is>
          <t>魔芋干1包</t>
        </is>
      </c>
      <c r="E362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62" s="3" t="inlineStr">
        <is>
          <t>10 ซอง 100g</t>
        </is>
      </c>
      <c r="G362" s="6" t="n">
        <v>1</v>
      </c>
      <c r="H362" s="6" t="n">
        <v>53</v>
      </c>
      <c r="I362" s="6" t="n">
        <v>0</v>
      </c>
      <c r="J362" s="6" t="n">
        <v>35</v>
      </c>
      <c r="K362" s="6">
        <f>H362+I362</f>
        <v/>
      </c>
      <c r="L362" s="5">
        <f>K362/4.7</f>
        <v/>
      </c>
      <c r="M362" s="6" t="n">
        <v>6.1</v>
      </c>
      <c r="N362" s="6" t="n">
        <v>0.5</v>
      </c>
      <c r="O362" s="6">
        <f>(K362*0.1229+1.05)/4.7</f>
        <v/>
      </c>
      <c r="P362" s="6">
        <f>K362*0.0749/4.7</f>
        <v/>
      </c>
      <c r="Q362" s="5">
        <f>M362+N362+O362+P362</f>
        <v/>
      </c>
      <c r="R362" s="5">
        <f>L362-Q362</f>
        <v/>
      </c>
      <c r="S362" s="6">
        <f>R362*4.7</f>
        <v/>
      </c>
      <c r="T362" s="7">
        <f>IF(L362&gt;0,R362/L362,0)</f>
        <v/>
      </c>
      <c r="U362" s="3" t="inlineStr">
        <is>
          <t>22/05/2026 17:46:32</t>
        </is>
      </c>
    </row>
    <row r="363">
      <c r="A363" s="3" t="inlineStr">
        <is>
          <t>584147718862047054</t>
        </is>
      </c>
      <c r="B363" s="3" t="inlineStr">
        <is>
          <t>已完成</t>
        </is>
      </c>
      <c r="C363" s="3" t="inlineStr">
        <is>
          <t>C3</t>
        </is>
      </c>
      <c r="D363" s="3" t="inlineStr">
        <is>
          <t>魔芋笋3大袋</t>
        </is>
      </c>
      <c r="E3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3" s="3" t="inlineStr">
        <is>
          <t>รสเผ็ดหอม​, 30 ซอง 600g</t>
        </is>
      </c>
      <c r="G363" s="6" t="n">
        <v>2</v>
      </c>
      <c r="H363" s="6" t="n">
        <v>339</v>
      </c>
      <c r="I363" s="6" t="n">
        <v>0</v>
      </c>
      <c r="J363" s="6" t="n">
        <v>48</v>
      </c>
      <c r="K363" s="6">
        <f>H363+I363</f>
        <v/>
      </c>
      <c r="L363" s="5">
        <f>K363/4.7</f>
        <v/>
      </c>
      <c r="M363" s="6" t="n">
        <v>40.2</v>
      </c>
      <c r="N363" s="6" t="n">
        <v>1</v>
      </c>
      <c r="O363" s="6">
        <f>(K363*0.1229+1.05)/4.7</f>
        <v/>
      </c>
      <c r="P363" s="6">
        <f>K363*0.0749/4.7</f>
        <v/>
      </c>
      <c r="Q363" s="5">
        <f>M363+N363+O363+P363</f>
        <v/>
      </c>
      <c r="R363" s="5">
        <f>L363-Q363</f>
        <v/>
      </c>
      <c r="S363" s="6">
        <f>R363*4.7</f>
        <v/>
      </c>
      <c r="T363" s="7">
        <f>IF(L363&gt;0,R363/L363,0)</f>
        <v/>
      </c>
      <c r="U363" s="3" t="inlineStr">
        <is>
          <t>22/05/2026 17:43:43</t>
        </is>
      </c>
    </row>
    <row r="364">
      <c r="A364" s="3" t="inlineStr">
        <is>
          <t>584147705532220842</t>
        </is>
      </c>
      <c r="B364" s="3" t="inlineStr">
        <is>
          <t>已完成</t>
        </is>
      </c>
      <c r="C364" s="3" t="inlineStr">
        <is>
          <t>C1</t>
        </is>
      </c>
      <c r="D364" s="3" t="inlineStr">
        <is>
          <t>魔芋笋1大袋</t>
        </is>
      </c>
      <c r="E3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4" s="3" t="inlineStr">
        <is>
          <t>รสเผ็ดหอม​, 10 ซอง 200g</t>
        </is>
      </c>
      <c r="G364" s="6" t="n">
        <v>1</v>
      </c>
      <c r="H364" s="6" t="n">
        <v>69</v>
      </c>
      <c r="I364" s="6" t="n">
        <v>0</v>
      </c>
      <c r="J364" s="6" t="n">
        <v>35</v>
      </c>
      <c r="K364" s="6">
        <f>H364+I364</f>
        <v/>
      </c>
      <c r="L364" s="5">
        <f>K364/4.7</f>
        <v/>
      </c>
      <c r="M364" s="6" t="n">
        <v>6.699999999999999</v>
      </c>
      <c r="N364" s="6" t="n">
        <v>1</v>
      </c>
      <c r="O364" s="6">
        <f>(K364*0.1229+1.05)/4.7</f>
        <v/>
      </c>
      <c r="P364" s="6">
        <f>K364*0.0749/4.7</f>
        <v/>
      </c>
      <c r="Q364" s="5">
        <f>M364+N364+O364+P364</f>
        <v/>
      </c>
      <c r="R364" s="5">
        <f>L364-Q364</f>
        <v/>
      </c>
      <c r="S364" s="6">
        <f>R364*4.7</f>
        <v/>
      </c>
      <c r="T364" s="7">
        <f>IF(L364&gt;0,R364/L364,0)</f>
        <v/>
      </c>
      <c r="U364" s="3" t="inlineStr">
        <is>
          <t>22/05/2026 17:42:42</t>
        </is>
      </c>
    </row>
    <row r="365">
      <c r="A365" s="3" t="inlineStr">
        <is>
          <t>584147609638110679</t>
        </is>
      </c>
      <c r="B365" s="3" t="inlineStr">
        <is>
          <t>已取消</t>
        </is>
      </c>
      <c r="C365" s="3" t="inlineStr">
        <is>
          <t>C1</t>
        </is>
      </c>
      <c r="D365" s="3" t="inlineStr">
        <is>
          <t>魔芋笋1大袋</t>
        </is>
      </c>
      <c r="E3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5" s="3" t="inlineStr">
        <is>
          <t>รสเผ็ดหอม​, 10 ซอง 200g</t>
        </is>
      </c>
      <c r="G365" s="6" t="n">
        <v>1</v>
      </c>
      <c r="H365" s="6" t="n">
        <v>69</v>
      </c>
      <c r="I365" s="6" t="n">
        <v>0</v>
      </c>
      <c r="J365" s="6" t="n">
        <v>38</v>
      </c>
      <c r="K365" s="6">
        <f>H365+I365</f>
        <v/>
      </c>
      <c r="L365" s="5">
        <f>K365/4.7</f>
        <v/>
      </c>
      <c r="M365" s="6" t="n">
        <v>6.699999999999999</v>
      </c>
      <c r="N365" s="6" t="n">
        <v>1</v>
      </c>
      <c r="O365" s="6">
        <f>(K365*0.1229+1.05)/4.7</f>
        <v/>
      </c>
      <c r="P365" s="6">
        <f>K365*0.0749/4.7</f>
        <v/>
      </c>
      <c r="Q365" s="5">
        <f>M365+N365+O365+P365</f>
        <v/>
      </c>
      <c r="R365" s="5">
        <f>L365-Q365</f>
        <v/>
      </c>
      <c r="S365" s="6">
        <f>R365*4.7</f>
        <v/>
      </c>
      <c r="T365" s="7">
        <f>IF(L365&gt;0,R365/L365,0)</f>
        <v/>
      </c>
      <c r="U365" s="3" t="inlineStr">
        <is>
          <t>22/05/2026 17:39:16</t>
        </is>
      </c>
    </row>
    <row r="366">
      <c r="A366" s="3" t="inlineStr">
        <is>
          <t>584147640335500791</t>
        </is>
      </c>
      <c r="B366" s="3" t="inlineStr">
        <is>
          <t>已发货</t>
        </is>
      </c>
      <c r="C366" s="3" t="inlineStr">
        <is>
          <t>C5s</t>
        </is>
      </c>
      <c r="D366" s="3" t="inlineStr">
        <is>
          <t>香辣味魔芋笋5小袋</t>
        </is>
      </c>
      <c r="E3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6" s="3" t="inlineStr">
        <is>
          <t>รสเผ็ดหอม​, *ชุดเล็ก 5 ซอง 100g</t>
        </is>
      </c>
      <c r="G366" s="6" t="n">
        <v>1</v>
      </c>
      <c r="H366" s="6" t="n">
        <v>43.24</v>
      </c>
      <c r="I366" s="6" t="n">
        <v>3.76</v>
      </c>
      <c r="J366" s="6" t="n">
        <v>35</v>
      </c>
      <c r="K366" s="6">
        <f>H366+I366</f>
        <v/>
      </c>
      <c r="L366" s="5">
        <f>K366/4.7</f>
        <v/>
      </c>
      <c r="M366" s="6" t="n">
        <v>3.35</v>
      </c>
      <c r="N366" s="6" t="n">
        <v>1</v>
      </c>
      <c r="O366" s="6">
        <f>(K366*0.1229+1.05)/4.7</f>
        <v/>
      </c>
      <c r="P366" s="6">
        <f>K366*0.0749/4.7</f>
        <v/>
      </c>
      <c r="Q366" s="5">
        <f>M366+N366+O366+P366</f>
        <v/>
      </c>
      <c r="R366" s="5">
        <f>L366-Q366</f>
        <v/>
      </c>
      <c r="S366" s="6">
        <f>R366*4.7</f>
        <v/>
      </c>
      <c r="T366" s="7">
        <f>IF(L366&gt;0,R366/L366,0)</f>
        <v/>
      </c>
      <c r="U366" s="3" t="inlineStr">
        <is>
          <t>22/05/2026 17:38:08</t>
        </is>
      </c>
    </row>
    <row r="367">
      <c r="A367" s="3" t="inlineStr">
        <is>
          <t>584147523819177656</t>
        </is>
      </c>
      <c r="B367" s="3" t="inlineStr">
        <is>
          <t>已发货</t>
        </is>
      </c>
      <c r="C367" s="3" t="inlineStr">
        <is>
          <t>C1</t>
        </is>
      </c>
      <c r="D367" s="3" t="inlineStr">
        <is>
          <t>魔芋笋1大袋</t>
        </is>
      </c>
      <c r="E3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7" s="3" t="inlineStr">
        <is>
          <t>รสเผ็ดหอม​, 10 ซอง 200g</t>
        </is>
      </c>
      <c r="G367" s="6" t="n">
        <v>1</v>
      </c>
      <c r="H367" s="6" t="n">
        <v>69</v>
      </c>
      <c r="I367" s="6" t="n">
        <v>0</v>
      </c>
      <c r="J367" s="6" t="n">
        <v>35</v>
      </c>
      <c r="K367" s="6">
        <f>H367+I367</f>
        <v/>
      </c>
      <c r="L367" s="5">
        <f>K367/4.7</f>
        <v/>
      </c>
      <c r="M367" s="6" t="n">
        <v>6.699999999999999</v>
      </c>
      <c r="N367" s="6" t="n">
        <v>1</v>
      </c>
      <c r="O367" s="6">
        <f>(K367*0.1229+1.05)/4.7</f>
        <v/>
      </c>
      <c r="P367" s="6">
        <f>K367*0.0749/4.7</f>
        <v/>
      </c>
      <c r="Q367" s="5">
        <f>M367+N367+O367+P367</f>
        <v/>
      </c>
      <c r="R367" s="5">
        <f>L367-Q367</f>
        <v/>
      </c>
      <c r="S367" s="6">
        <f>R367*4.7</f>
        <v/>
      </c>
      <c r="T367" s="7">
        <f>IF(L367&gt;0,R367/L367,0)</f>
        <v/>
      </c>
      <c r="U367" s="3" t="inlineStr">
        <is>
          <t>22/05/2026 17:31:50</t>
        </is>
      </c>
    </row>
    <row r="368">
      <c r="A368" s="3" t="inlineStr">
        <is>
          <t>584147400498710213</t>
        </is>
      </c>
      <c r="B368" s="3" t="inlineStr">
        <is>
          <t>已发货</t>
        </is>
      </c>
      <c r="C368" s="3" t="inlineStr">
        <is>
          <t>B1</t>
        </is>
      </c>
      <c r="D368" s="3" t="inlineStr">
        <is>
          <t>魔芋笋1大袋</t>
        </is>
      </c>
      <c r="E3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8" s="3" t="inlineStr">
        <is>
          <t>รสเปรี้ยวเผ็ด​, 10 ซอง 200g</t>
        </is>
      </c>
      <c r="G368" s="6" t="n">
        <v>1</v>
      </c>
      <c r="H368" s="6" t="n">
        <v>69</v>
      </c>
      <c r="I368" s="6" t="n">
        <v>0</v>
      </c>
      <c r="J368" s="6" t="n">
        <v>29</v>
      </c>
      <c r="K368" s="6">
        <f>H368+I368</f>
        <v/>
      </c>
      <c r="L368" s="5">
        <f>K368/4.7</f>
        <v/>
      </c>
      <c r="M368" s="6" t="n">
        <v>6.699999999999999</v>
      </c>
      <c r="N368" s="6" t="n">
        <v>1</v>
      </c>
      <c r="O368" s="6">
        <f>(K368*0.1229+1.05)/4.7</f>
        <v/>
      </c>
      <c r="P368" s="6">
        <f>K368*0.0749/4.7</f>
        <v/>
      </c>
      <c r="Q368" s="5">
        <f>M368+N368+O368+P368</f>
        <v/>
      </c>
      <c r="R368" s="5">
        <f>L368-Q368</f>
        <v/>
      </c>
      <c r="S368" s="6">
        <f>R368*4.7</f>
        <v/>
      </c>
      <c r="T368" s="7">
        <f>IF(L368&gt;0,R368/L368,0)</f>
        <v/>
      </c>
      <c r="U368" s="3" t="inlineStr">
        <is>
          <t>22/05/2026 17:19:49</t>
        </is>
      </c>
    </row>
    <row r="369">
      <c r="A369" s="3" t="inlineStr">
        <is>
          <t>584147236112008519</t>
        </is>
      </c>
      <c r="B369" s="3" t="inlineStr">
        <is>
          <t>已发货</t>
        </is>
      </c>
      <c r="C369" s="3" t="inlineStr">
        <is>
          <t>B1</t>
        </is>
      </c>
      <c r="D369" s="3" t="inlineStr">
        <is>
          <t>魔芋笋1大袋</t>
        </is>
      </c>
      <c r="E3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9" s="3" t="inlineStr">
        <is>
          <t>รสเปรี้ยวเผ็ด​, 10 ซอง 200g</t>
        </is>
      </c>
      <c r="G369" s="6" t="n">
        <v>1</v>
      </c>
      <c r="H369" s="6" t="n">
        <v>133</v>
      </c>
      <c r="I369" s="6" t="n">
        <v>0</v>
      </c>
      <c r="J369" s="6" t="n">
        <v>48</v>
      </c>
      <c r="K369" s="6">
        <f>H369+I369</f>
        <v/>
      </c>
      <c r="L369" s="5">
        <f>K369/4.7</f>
        <v/>
      </c>
      <c r="M369" s="6" t="n">
        <v>6.699999999999999</v>
      </c>
      <c r="N369" s="6" t="n">
        <v>1</v>
      </c>
      <c r="O369" s="6">
        <f>(K369*0.1229+1.05)/4.7</f>
        <v/>
      </c>
      <c r="P369" s="6">
        <f>K369*0.0749/4.7</f>
        <v/>
      </c>
      <c r="Q369" s="5">
        <f>M369+N369+O369+P369</f>
        <v/>
      </c>
      <c r="R369" s="5">
        <f>L369-Q369</f>
        <v/>
      </c>
      <c r="S369" s="6">
        <f>R369*4.7</f>
        <v/>
      </c>
      <c r="T369" s="7">
        <f>IF(L369&gt;0,R369/L369,0)</f>
        <v/>
      </c>
      <c r="U369" s="3" t="inlineStr">
        <is>
          <t>22/05/2026 17:09:26</t>
        </is>
      </c>
    </row>
    <row r="370">
      <c r="A370" s="3" t="inlineStr">
        <is>
          <t>584147236112008519</t>
        </is>
      </c>
      <c r="B370" s="3" t="inlineStr">
        <is>
          <t>已发货</t>
        </is>
      </c>
      <c r="C370" s="3" t="inlineStr">
        <is>
          <t>C1</t>
        </is>
      </c>
      <c r="D370" s="3" t="inlineStr">
        <is>
          <t>魔芋笋1大袋</t>
        </is>
      </c>
      <c r="E3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0" s="3" t="inlineStr">
        <is>
          <t>รสเผ็ดหอม​, 10 ซอง 200g</t>
        </is>
      </c>
      <c r="G370" s="6" t="n">
        <v>1</v>
      </c>
      <c r="H370" s="6" t="n">
        <v>133</v>
      </c>
      <c r="I370" s="6" t="n">
        <v>0</v>
      </c>
      <c r="J370" s="6" t="n">
        <v>48</v>
      </c>
      <c r="K370" s="6">
        <f>H370+I370</f>
        <v/>
      </c>
      <c r="L370" s="5">
        <f>K370/4.7</f>
        <v/>
      </c>
      <c r="M370" s="6" t="n">
        <v>6.699999999999999</v>
      </c>
      <c r="N370" s="6" t="n">
        <v>1</v>
      </c>
      <c r="O370" s="6">
        <f>(K370*0.1229+1.05)/4.7</f>
        <v/>
      </c>
      <c r="P370" s="6">
        <f>K370*0.0749/4.7</f>
        <v/>
      </c>
      <c r="Q370" s="5">
        <f>M370+N370+O370+P370</f>
        <v/>
      </c>
      <c r="R370" s="5">
        <f>L370-Q370</f>
        <v/>
      </c>
      <c r="S370" s="6">
        <f>R370*4.7</f>
        <v/>
      </c>
      <c r="T370" s="7">
        <f>IF(L370&gt;0,R370/L370,0)</f>
        <v/>
      </c>
      <c r="U370" s="3" t="inlineStr">
        <is>
          <t>22/05/2026 17:09:26</t>
        </is>
      </c>
    </row>
    <row r="371">
      <c r="A371" s="3" t="inlineStr">
        <is>
          <t>584147225761121445</t>
        </is>
      </c>
      <c r="B371" s="3" t="inlineStr">
        <is>
          <t>已完成</t>
        </is>
      </c>
      <c r="C371" s="3" t="inlineStr">
        <is>
          <t>A2</t>
        </is>
      </c>
      <c r="D371" s="3" t="inlineStr">
        <is>
          <t>魔芋干2包</t>
        </is>
      </c>
      <c r="E371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71" s="3" t="inlineStr">
        <is>
          <t>20 ซอง 200g</t>
        </is>
      </c>
      <c r="G371" s="6" t="n">
        <v>1</v>
      </c>
      <c r="H371" s="6" t="n">
        <v>108</v>
      </c>
      <c r="I371" s="6" t="n">
        <v>1</v>
      </c>
      <c r="J371" s="6" t="n">
        <v>35</v>
      </c>
      <c r="K371" s="6">
        <f>H371+I371</f>
        <v/>
      </c>
      <c r="L371" s="5">
        <f>K371/4.7</f>
        <v/>
      </c>
      <c r="M371" s="6" t="n">
        <v>12.2</v>
      </c>
      <c r="N371" s="6" t="n">
        <v>0.5</v>
      </c>
      <c r="O371" s="6">
        <f>(K371*0.1229+1.05)/4.7</f>
        <v/>
      </c>
      <c r="P371" s="6">
        <f>K371*0.0749/4.7</f>
        <v/>
      </c>
      <c r="Q371" s="5">
        <f>M371+N371+O371+P371</f>
        <v/>
      </c>
      <c r="R371" s="5">
        <f>L371-Q371</f>
        <v/>
      </c>
      <c r="S371" s="6">
        <f>R371*4.7</f>
        <v/>
      </c>
      <c r="T371" s="7">
        <f>IF(L371&gt;0,R371/L371,0)</f>
        <v/>
      </c>
      <c r="U371" s="3" t="inlineStr">
        <is>
          <t>22/05/2026 17:09:04</t>
        </is>
      </c>
    </row>
    <row r="372">
      <c r="A372" s="3" t="inlineStr">
        <is>
          <t>584147187643483301</t>
        </is>
      </c>
      <c r="B372" s="3" t="inlineStr">
        <is>
          <t>已完成</t>
        </is>
      </c>
      <c r="C372" s="3" t="inlineStr">
        <is>
          <t>B2</t>
        </is>
      </c>
      <c r="D372" s="3" t="inlineStr">
        <is>
          <t>魔芋笋2大袋</t>
        </is>
      </c>
      <c r="E3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2" s="3" t="inlineStr">
        <is>
          <t>รสเปรี้ยวเผ็ด​, 20 ซอง 400g</t>
        </is>
      </c>
      <c r="G372" s="6" t="n">
        <v>1</v>
      </c>
      <c r="H372" s="6" t="n">
        <v>120</v>
      </c>
      <c r="I372" s="6" t="n">
        <v>0</v>
      </c>
      <c r="J372" s="6" t="n">
        <v>42</v>
      </c>
      <c r="K372" s="6">
        <f>H372+I372</f>
        <v/>
      </c>
      <c r="L372" s="5">
        <f>K372/4.7</f>
        <v/>
      </c>
      <c r="M372" s="6" t="n">
        <v>13.4</v>
      </c>
      <c r="N372" s="6" t="n">
        <v>1</v>
      </c>
      <c r="O372" s="6">
        <f>(K372*0.1229+1.05)/4.7</f>
        <v/>
      </c>
      <c r="P372" s="6">
        <f>K372*0.0749/4.7</f>
        <v/>
      </c>
      <c r="Q372" s="5">
        <f>M372+N372+O372+P372</f>
        <v/>
      </c>
      <c r="R372" s="5">
        <f>L372-Q372</f>
        <v/>
      </c>
      <c r="S372" s="6">
        <f>R372*4.7</f>
        <v/>
      </c>
      <c r="T372" s="7">
        <f>IF(L372&gt;0,R372/L372,0)</f>
        <v/>
      </c>
      <c r="U372" s="3" t="inlineStr">
        <is>
          <t>22/05/2026 17:05:25</t>
        </is>
      </c>
    </row>
    <row r="373">
      <c r="A373" s="3" t="inlineStr">
        <is>
          <t>584147003309851832</t>
        </is>
      </c>
      <c r="B373" s="3" t="inlineStr">
        <is>
          <t>已完成</t>
        </is>
      </c>
      <c r="C373" s="3" t="inlineStr">
        <is>
          <t>A1</t>
        </is>
      </c>
      <c r="D373" s="3" t="inlineStr">
        <is>
          <t>魔芋干1包</t>
        </is>
      </c>
      <c r="E373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73" s="3" t="inlineStr">
        <is>
          <t>10 ซอง 100g</t>
        </is>
      </c>
      <c r="G373" s="6" t="n">
        <v>1</v>
      </c>
      <c r="H373" s="6" t="n">
        <v>173</v>
      </c>
      <c r="I373" s="6" t="n">
        <v>0</v>
      </c>
      <c r="J373" s="6" t="n">
        <v>35</v>
      </c>
      <c r="K373" s="6">
        <f>H373+I373</f>
        <v/>
      </c>
      <c r="L373" s="5">
        <f>K373/4.7</f>
        <v/>
      </c>
      <c r="M373" s="6" t="n">
        <v>6.1</v>
      </c>
      <c r="N373" s="6" t="n">
        <v>0.5</v>
      </c>
      <c r="O373" s="6">
        <f>(K373*0.1229+1.05)/4.7</f>
        <v/>
      </c>
      <c r="P373" s="6">
        <f>K373*0.0749/4.7</f>
        <v/>
      </c>
      <c r="Q373" s="5">
        <f>M373+N373+O373+P373</f>
        <v/>
      </c>
      <c r="R373" s="5">
        <f>L373-Q373</f>
        <v/>
      </c>
      <c r="S373" s="6">
        <f>R373*4.7</f>
        <v/>
      </c>
      <c r="T373" s="7">
        <f>IF(L373&gt;0,R373/L373,0)</f>
        <v/>
      </c>
      <c r="U373" s="3" t="inlineStr">
        <is>
          <t>22/05/2026 16:48:08</t>
        </is>
      </c>
    </row>
    <row r="374">
      <c r="A374" s="3" t="inlineStr">
        <is>
          <t>584147003309851832</t>
        </is>
      </c>
      <c r="B374" s="3" t="inlineStr">
        <is>
          <t>已完成</t>
        </is>
      </c>
      <c r="C374" s="3" t="inlineStr">
        <is>
          <t>B2</t>
        </is>
      </c>
      <c r="D374" s="3" t="inlineStr">
        <is>
          <t>魔芋笋2大袋</t>
        </is>
      </c>
      <c r="E3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4" s="3" t="inlineStr">
        <is>
          <t>รสเปรี้ยวเผ็ด​, 20 ซอง 400g</t>
        </is>
      </c>
      <c r="G374" s="6" t="n">
        <v>1</v>
      </c>
      <c r="H374" s="6" t="n">
        <v>173</v>
      </c>
      <c r="I374" s="6" t="n">
        <v>0</v>
      </c>
      <c r="J374" s="6" t="n">
        <v>35</v>
      </c>
      <c r="K374" s="6">
        <f>H374+I374</f>
        <v/>
      </c>
      <c r="L374" s="5">
        <f>K374/4.7</f>
        <v/>
      </c>
      <c r="M374" s="6" t="n">
        <v>13.4</v>
      </c>
      <c r="N374" s="6" t="n">
        <v>1</v>
      </c>
      <c r="O374" s="6">
        <f>(K374*0.1229+1.05)/4.7</f>
        <v/>
      </c>
      <c r="P374" s="6">
        <f>K374*0.0749/4.7</f>
        <v/>
      </c>
      <c r="Q374" s="5">
        <f>M374+N374+O374+P374</f>
        <v/>
      </c>
      <c r="R374" s="5">
        <f>L374-Q374</f>
        <v/>
      </c>
      <c r="S374" s="6">
        <f>R374*4.7</f>
        <v/>
      </c>
      <c r="T374" s="7">
        <f>IF(L374&gt;0,R374/L374,0)</f>
        <v/>
      </c>
      <c r="U374" s="3" t="inlineStr">
        <is>
          <t>22/05/2026 16:48:08</t>
        </is>
      </c>
    </row>
    <row r="375">
      <c r="A375" s="3" t="inlineStr">
        <is>
          <t>584146945458930694</t>
        </is>
      </c>
      <c r="B375" s="3" t="inlineStr">
        <is>
          <t>已发货</t>
        </is>
      </c>
      <c r="C375" s="3" t="inlineStr">
        <is>
          <t>C5s</t>
        </is>
      </c>
      <c r="D375" s="3" t="inlineStr">
        <is>
          <t>香辣味魔芋笋5小袋</t>
        </is>
      </c>
      <c r="E3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5" s="3" t="inlineStr">
        <is>
          <t>รสเผ็ดหอม​, *ชุดเล็ก 5 ซอง 100g</t>
        </is>
      </c>
      <c r="G375" s="6" t="n">
        <v>1</v>
      </c>
      <c r="H375" s="6" t="n">
        <v>47</v>
      </c>
      <c r="I375" s="6" t="n">
        <v>0</v>
      </c>
      <c r="J375" s="6" t="n">
        <v>38</v>
      </c>
      <c r="K375" s="6">
        <f>H375+I375</f>
        <v/>
      </c>
      <c r="L375" s="5">
        <f>K375/4.7</f>
        <v/>
      </c>
      <c r="M375" s="6" t="n">
        <v>3.35</v>
      </c>
      <c r="N375" s="6" t="n">
        <v>1</v>
      </c>
      <c r="O375" s="6">
        <f>(K375*0.1229+1.05)/4.7</f>
        <v/>
      </c>
      <c r="P375" s="6">
        <f>K375*0.0749/4.7</f>
        <v/>
      </c>
      <c r="Q375" s="5">
        <f>M375+N375+O375+P375</f>
        <v/>
      </c>
      <c r="R375" s="5">
        <f>L375-Q375</f>
        <v/>
      </c>
      <c r="S375" s="6">
        <f>R375*4.7</f>
        <v/>
      </c>
      <c r="T375" s="7">
        <f>IF(L375&gt;0,R375/L375,0)</f>
        <v/>
      </c>
      <c r="U375" s="3" t="inlineStr">
        <is>
          <t>22/05/2026 16:46:45</t>
        </is>
      </c>
    </row>
    <row r="376">
      <c r="A376" s="3" t="inlineStr">
        <is>
          <t>584146891253122894</t>
        </is>
      </c>
      <c r="B376" s="3" t="inlineStr">
        <is>
          <t>已取消</t>
        </is>
      </c>
      <c r="C376" s="3" t="inlineStr">
        <is>
          <t>C3</t>
        </is>
      </c>
      <c r="D376" s="3" t="inlineStr">
        <is>
          <t>魔芋笋3大袋</t>
        </is>
      </c>
      <c r="E3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6" s="3" t="inlineStr">
        <is>
          <t>รสเผ็ดหอม​, 30 ซอง 600g</t>
        </is>
      </c>
      <c r="G376" s="6" t="n">
        <v>2</v>
      </c>
      <c r="H376" s="6" t="n">
        <v>319</v>
      </c>
      <c r="I376" s="6" t="n">
        <v>20</v>
      </c>
      <c r="J376" s="6" t="n">
        <v>48</v>
      </c>
      <c r="K376" s="6">
        <f>H376+I376</f>
        <v/>
      </c>
      <c r="L376" s="5">
        <f>K376/4.7</f>
        <v/>
      </c>
      <c r="M376" s="6" t="n">
        <v>40.2</v>
      </c>
      <c r="N376" s="6" t="n">
        <v>1</v>
      </c>
      <c r="O376" s="6">
        <f>(K376*0.1229+1.05)/4.7</f>
        <v/>
      </c>
      <c r="P376" s="6">
        <f>K376*0.0749/4.7</f>
        <v/>
      </c>
      <c r="Q376" s="5">
        <f>M376+N376+O376+P376</f>
        <v/>
      </c>
      <c r="R376" s="5">
        <f>L376-Q376</f>
        <v/>
      </c>
      <c r="S376" s="6">
        <f>R376*4.7</f>
        <v/>
      </c>
      <c r="T376" s="7">
        <f>IF(L376&gt;0,R376/L376,0)</f>
        <v/>
      </c>
      <c r="U376" s="3" t="inlineStr">
        <is>
          <t>22/05/2026 16:41:21</t>
        </is>
      </c>
    </row>
    <row r="377">
      <c r="A377" s="3" t="inlineStr">
        <is>
          <t>584146789217698869</t>
        </is>
      </c>
      <c r="B377" s="3" t="inlineStr">
        <is>
          <t>已发货</t>
        </is>
      </c>
      <c r="C377" s="3" t="inlineStr">
        <is>
          <t>ER-B</t>
        </is>
      </c>
      <c r="D377" s="3" t="inlineStr">
        <is>
          <t>广州酒家黄油鸡蛋卷480g</t>
        </is>
      </c>
      <c r="E377" s="3" t="inlineStr">
        <is>
          <t>Egg Roll 2สูตร ทองม้วนไข่กล่องเหล็กพรีเมี่ยม!! GuangZhou Restaurant 454g/480g กล่องล่ะ 24 แท่ง</t>
        </is>
      </c>
      <c r="F377" s="3" t="inlineStr">
        <is>
          <t>Butter สูตรเนยสด พรีเมี่ยม</t>
        </is>
      </c>
      <c r="G377" s="6" t="n">
        <v>1</v>
      </c>
      <c r="H377" s="6" t="n">
        <v>288</v>
      </c>
      <c r="I377" s="6" t="n">
        <v>72</v>
      </c>
      <c r="J377" s="6" t="n">
        <v>35</v>
      </c>
      <c r="K377" s="6">
        <f>H377+I377</f>
        <v/>
      </c>
      <c r="L377" s="5">
        <f>K377/4.7</f>
        <v/>
      </c>
      <c r="M377" s="6" t="n">
        <v>45.49882436351998</v>
      </c>
      <c r="N377" s="6" t="n">
        <v>2</v>
      </c>
      <c r="O377" s="6">
        <f>(K377*0.1229+1.05)/4.7</f>
        <v/>
      </c>
      <c r="P377" s="6">
        <f>K377*0.0749/4.7</f>
        <v/>
      </c>
      <c r="Q377" s="5">
        <f>M377+N377+O377+P377</f>
        <v/>
      </c>
      <c r="R377" s="5">
        <f>L377-Q377</f>
        <v/>
      </c>
      <c r="S377" s="6">
        <f>R377*4.7</f>
        <v/>
      </c>
      <c r="T377" s="7">
        <f>IF(L377&gt;0,R377/L377,0)</f>
        <v/>
      </c>
      <c r="U377" s="3" t="inlineStr">
        <is>
          <t>22/05/2026 16:33:57</t>
        </is>
      </c>
    </row>
    <row r="378">
      <c r="A378" s="3" t="inlineStr">
        <is>
          <t>584146724873537234</t>
        </is>
      </c>
      <c r="B378" s="3" t="inlineStr">
        <is>
          <t>已完成</t>
        </is>
      </c>
      <c r="C378" s="3" t="inlineStr">
        <is>
          <t>C1</t>
        </is>
      </c>
      <c r="D378" s="3" t="inlineStr">
        <is>
          <t>魔芋笋1大袋</t>
        </is>
      </c>
      <c r="E3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8" s="3" t="inlineStr">
        <is>
          <t>รสเผ็ดหอม​, 10 ซอง 200g</t>
        </is>
      </c>
      <c r="G378" s="6" t="n">
        <v>1</v>
      </c>
      <c r="H378" s="6" t="n">
        <v>69</v>
      </c>
      <c r="I378" s="6" t="n">
        <v>0</v>
      </c>
      <c r="J378" s="6" t="n">
        <v>29</v>
      </c>
      <c r="K378" s="6">
        <f>H378+I378</f>
        <v/>
      </c>
      <c r="L378" s="5">
        <f>K378/4.7</f>
        <v/>
      </c>
      <c r="M378" s="6" t="n">
        <v>6.699999999999999</v>
      </c>
      <c r="N378" s="6" t="n">
        <v>1</v>
      </c>
      <c r="O378" s="6">
        <f>(K378*0.1229+1.05)/4.7</f>
        <v/>
      </c>
      <c r="P378" s="6">
        <f>K378*0.0749/4.7</f>
        <v/>
      </c>
      <c r="Q378" s="5">
        <f>M378+N378+O378+P378</f>
        <v/>
      </c>
      <c r="R378" s="5">
        <f>L378-Q378</f>
        <v/>
      </c>
      <c r="S378" s="6">
        <f>R378*4.7</f>
        <v/>
      </c>
      <c r="T378" s="7">
        <f>IF(L378&gt;0,R378/L378,0)</f>
        <v/>
      </c>
      <c r="U378" s="3" t="inlineStr">
        <is>
          <t>22/05/2026 16:29:36</t>
        </is>
      </c>
    </row>
    <row r="379">
      <c r="A379" s="3" t="inlineStr">
        <is>
          <t>584146554755777633</t>
        </is>
      </c>
      <c r="B379" s="3" t="inlineStr">
        <is>
          <t>已完成</t>
        </is>
      </c>
      <c r="C379" s="3" t="inlineStr">
        <is>
          <t>C1</t>
        </is>
      </c>
      <c r="D379" s="3" t="inlineStr">
        <is>
          <t>魔芋笋1大袋</t>
        </is>
      </c>
      <c r="E3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9" s="3" t="inlineStr">
        <is>
          <t>รสเผ็ดหอม​, 10 ซอง 200g</t>
        </is>
      </c>
      <c r="G379" s="6" t="n">
        <v>1</v>
      </c>
      <c r="H379" s="6" t="n">
        <v>69</v>
      </c>
      <c r="I379" s="6" t="n">
        <v>0</v>
      </c>
      <c r="J379" s="6" t="n">
        <v>38</v>
      </c>
      <c r="K379" s="6">
        <f>H379+I379</f>
        <v/>
      </c>
      <c r="L379" s="5">
        <f>K379/4.7</f>
        <v/>
      </c>
      <c r="M379" s="6" t="n">
        <v>6.699999999999999</v>
      </c>
      <c r="N379" s="6" t="n">
        <v>1</v>
      </c>
      <c r="O379" s="6">
        <f>(K379*0.1229+1.05)/4.7</f>
        <v/>
      </c>
      <c r="P379" s="6">
        <f>K379*0.0749/4.7</f>
        <v/>
      </c>
      <c r="Q379" s="5">
        <f>M379+N379+O379+P379</f>
        <v/>
      </c>
      <c r="R379" s="5">
        <f>L379-Q379</f>
        <v/>
      </c>
      <c r="S379" s="6">
        <f>R379*4.7</f>
        <v/>
      </c>
      <c r="T379" s="7">
        <f>IF(L379&gt;0,R379/L379,0)</f>
        <v/>
      </c>
      <c r="U379" s="3" t="inlineStr">
        <is>
          <t>22/05/2026 16:07:50</t>
        </is>
      </c>
    </row>
    <row r="380">
      <c r="A380" s="3" t="inlineStr">
        <is>
          <t>584146344560067802</t>
        </is>
      </c>
      <c r="B380" s="3" t="inlineStr">
        <is>
          <t>已发货</t>
        </is>
      </c>
      <c r="C380" s="3" t="inlineStr">
        <is>
          <t>A2</t>
        </is>
      </c>
      <c r="D380" s="3" t="inlineStr">
        <is>
          <t>魔芋干2包</t>
        </is>
      </c>
      <c r="E380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80" s="3" t="inlineStr">
        <is>
          <t>20 ซอง 200g</t>
        </is>
      </c>
      <c r="G380" s="6" t="n">
        <v>1</v>
      </c>
      <c r="H380" s="6" t="n">
        <v>101</v>
      </c>
      <c r="I380" s="6" t="n">
        <v>1</v>
      </c>
      <c r="J380" s="6" t="n">
        <v>38</v>
      </c>
      <c r="K380" s="6">
        <f>H380+I380</f>
        <v/>
      </c>
      <c r="L380" s="5">
        <f>K380/4.7</f>
        <v/>
      </c>
      <c r="M380" s="6" t="n">
        <v>12.2</v>
      </c>
      <c r="N380" s="6" t="n">
        <v>0.5</v>
      </c>
      <c r="O380" s="6">
        <f>(K380*0.1229+1.05)/4.7</f>
        <v/>
      </c>
      <c r="P380" s="6">
        <f>K380*0.0749/4.7</f>
        <v/>
      </c>
      <c r="Q380" s="5">
        <f>M380+N380+O380+P380</f>
        <v/>
      </c>
      <c r="R380" s="5">
        <f>L380-Q380</f>
        <v/>
      </c>
      <c r="S380" s="6">
        <f>R380*4.7</f>
        <v/>
      </c>
      <c r="T380" s="7">
        <f>IF(L380&gt;0,R380/L380,0)</f>
        <v/>
      </c>
      <c r="U380" s="3" t="inlineStr">
        <is>
          <t>22/05/2026 15:59:20</t>
        </is>
      </c>
    </row>
    <row r="381">
      <c r="A381" s="3" t="inlineStr">
        <is>
          <t>584146287343731824</t>
        </is>
      </c>
      <c r="B381" s="3" t="inlineStr">
        <is>
          <t>已完成</t>
        </is>
      </c>
      <c r="C381" s="3" t="inlineStr">
        <is>
          <t>B1</t>
        </is>
      </c>
      <c r="D381" s="3" t="inlineStr">
        <is>
          <t>魔芋笋1大袋</t>
        </is>
      </c>
      <c r="E3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1" s="3" t="inlineStr">
        <is>
          <t>รสเปรี้ยวเผ็ด​, 10 ซอง 200g</t>
        </is>
      </c>
      <c r="G381" s="6" t="n">
        <v>1</v>
      </c>
      <c r="H381" s="6" t="n">
        <v>69</v>
      </c>
      <c r="I381" s="6" t="n">
        <v>0</v>
      </c>
      <c r="J381" s="6" t="n">
        <v>29</v>
      </c>
      <c r="K381" s="6">
        <f>H381+I381</f>
        <v/>
      </c>
      <c r="L381" s="5">
        <f>K381/4.7</f>
        <v/>
      </c>
      <c r="M381" s="6" t="n">
        <v>6.699999999999999</v>
      </c>
      <c r="N381" s="6" t="n">
        <v>1</v>
      </c>
      <c r="O381" s="6">
        <f>(K381*0.1229+1.05)/4.7</f>
        <v/>
      </c>
      <c r="P381" s="6">
        <f>K381*0.0749/4.7</f>
        <v/>
      </c>
      <c r="Q381" s="5">
        <f>M381+N381+O381+P381</f>
        <v/>
      </c>
      <c r="R381" s="5">
        <f>L381-Q381</f>
        <v/>
      </c>
      <c r="S381" s="6">
        <f>R381*4.7</f>
        <v/>
      </c>
      <c r="T381" s="7">
        <f>IF(L381&gt;0,R381/L381,0)</f>
        <v/>
      </c>
      <c r="U381" s="3" t="inlineStr">
        <is>
          <t>22/05/2026 15:56:32</t>
        </is>
      </c>
    </row>
    <row r="382">
      <c r="A382" s="3" t="inlineStr">
        <is>
          <t>584146207408358618</t>
        </is>
      </c>
      <c r="B382" s="3" t="inlineStr">
        <is>
          <t>已发货</t>
        </is>
      </c>
      <c r="C382" s="3" t="inlineStr">
        <is>
          <t>C1</t>
        </is>
      </c>
      <c r="D382" s="3" t="inlineStr">
        <is>
          <t>魔芋笋1大袋</t>
        </is>
      </c>
      <c r="E3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2" s="3" t="inlineStr">
        <is>
          <t>รสเผ็ดหอม​, 10 ซอง 200g</t>
        </is>
      </c>
      <c r="G382" s="6" t="n">
        <v>1</v>
      </c>
      <c r="H382" s="6" t="n">
        <v>144.28</v>
      </c>
      <c r="I382" s="6" t="n">
        <v>1.86</v>
      </c>
      <c r="J382" s="6" t="n">
        <v>38</v>
      </c>
      <c r="K382" s="6">
        <f>H382+I382</f>
        <v/>
      </c>
      <c r="L382" s="5">
        <f>K382/4.7</f>
        <v/>
      </c>
      <c r="M382" s="6" t="n">
        <v>6.699999999999999</v>
      </c>
      <c r="N382" s="6" t="n">
        <v>1</v>
      </c>
      <c r="O382" s="6">
        <f>(K382*0.1229+1.05)/4.7</f>
        <v/>
      </c>
      <c r="P382" s="6">
        <f>K382*0.0749/4.7</f>
        <v/>
      </c>
      <c r="Q382" s="5">
        <f>M382+N382+O382+P382</f>
        <v/>
      </c>
      <c r="R382" s="5">
        <f>L382-Q382</f>
        <v/>
      </c>
      <c r="S382" s="6">
        <f>R382*4.7</f>
        <v/>
      </c>
      <c r="T382" s="7">
        <f>IF(L382&gt;0,R382/L382,0)</f>
        <v/>
      </c>
      <c r="U382" s="3" t="inlineStr">
        <is>
          <t>22/05/2026 15:51:28</t>
        </is>
      </c>
    </row>
    <row r="383">
      <c r="A383" s="3" t="inlineStr">
        <is>
          <t>584146207408358618</t>
        </is>
      </c>
      <c r="B383" s="3" t="inlineStr">
        <is>
          <t>已发货</t>
        </is>
      </c>
      <c r="C383" s="3" t="inlineStr">
        <is>
          <t>B1</t>
        </is>
      </c>
      <c r="D383" s="3" t="inlineStr">
        <is>
          <t>魔芋笋1大袋</t>
        </is>
      </c>
      <c r="E3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3" s="3" t="inlineStr">
        <is>
          <t>รสเปรี้ยวเผ็ด​, 10 ซอง 200g</t>
        </is>
      </c>
      <c r="G383" s="6" t="n">
        <v>1</v>
      </c>
      <c r="H383" s="6" t="n">
        <v>144.28</v>
      </c>
      <c r="I383" s="6" t="n">
        <v>1.86</v>
      </c>
      <c r="J383" s="6" t="n">
        <v>38</v>
      </c>
      <c r="K383" s="6">
        <f>H383+I383</f>
        <v/>
      </c>
      <c r="L383" s="5">
        <f>K383/4.7</f>
        <v/>
      </c>
      <c r="M383" s="6" t="n">
        <v>6.699999999999999</v>
      </c>
      <c r="N383" s="6" t="n">
        <v>1</v>
      </c>
      <c r="O383" s="6">
        <f>(K383*0.1229+1.05)/4.7</f>
        <v/>
      </c>
      <c r="P383" s="6">
        <f>K383*0.0749/4.7</f>
        <v/>
      </c>
      <c r="Q383" s="5">
        <f>M383+N383+O383+P383</f>
        <v/>
      </c>
      <c r="R383" s="5">
        <f>L383-Q383</f>
        <v/>
      </c>
      <c r="S383" s="6">
        <f>R383*4.7</f>
        <v/>
      </c>
      <c r="T383" s="7">
        <f>IF(L383&gt;0,R383/L383,0)</f>
        <v/>
      </c>
      <c r="U383" s="3" t="inlineStr">
        <is>
          <t>22/05/2026 15:51:28</t>
        </is>
      </c>
    </row>
    <row r="384">
      <c r="A384" s="3" t="inlineStr">
        <is>
          <t>584146010503219002</t>
        </is>
      </c>
      <c r="B384" s="3" t="inlineStr">
        <is>
          <t>已取消</t>
        </is>
      </c>
      <c r="C384" s="3" t="inlineStr">
        <is>
          <t>B1</t>
        </is>
      </c>
      <c r="D384" s="3" t="inlineStr">
        <is>
          <t>魔芋笋1大袋</t>
        </is>
      </c>
      <c r="E3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4" s="3" t="inlineStr">
        <is>
          <t>รสเปรี้ยวเผ็ด​, 10 ซอง 200g</t>
        </is>
      </c>
      <c r="G384" s="6" t="n">
        <v>1</v>
      </c>
      <c r="H384" s="6" t="n">
        <v>69</v>
      </c>
      <c r="I384" s="6" t="n">
        <v>0</v>
      </c>
      <c r="J384" s="6" t="n">
        <v>35</v>
      </c>
      <c r="K384" s="6">
        <f>H384+I384</f>
        <v/>
      </c>
      <c r="L384" s="5">
        <f>K384/4.7</f>
        <v/>
      </c>
      <c r="M384" s="6" t="n">
        <v>6.699999999999999</v>
      </c>
      <c r="N384" s="6" t="n">
        <v>1</v>
      </c>
      <c r="O384" s="6">
        <f>(K384*0.1229+1.05)/4.7</f>
        <v/>
      </c>
      <c r="P384" s="6">
        <f>K384*0.0749/4.7</f>
        <v/>
      </c>
      <c r="Q384" s="5">
        <f>M384+N384+O384+P384</f>
        <v/>
      </c>
      <c r="R384" s="5">
        <f>L384-Q384</f>
        <v/>
      </c>
      <c r="S384" s="6">
        <f>R384*4.7</f>
        <v/>
      </c>
      <c r="T384" s="7">
        <f>IF(L384&gt;0,R384/L384,0)</f>
        <v/>
      </c>
      <c r="U384" s="3" t="inlineStr">
        <is>
          <t>22/05/2026 15:29:00</t>
        </is>
      </c>
    </row>
    <row r="385">
      <c r="A385" s="3" t="inlineStr">
        <is>
          <t>584145912926144415</t>
        </is>
      </c>
      <c r="B385" s="3" t="inlineStr">
        <is>
          <t>已发货</t>
        </is>
      </c>
      <c r="C385" s="3" t="inlineStr">
        <is>
          <t>C2</t>
        </is>
      </c>
      <c r="D385" s="3" t="inlineStr">
        <is>
          <t>魔芋笋2大袋</t>
        </is>
      </c>
      <c r="E3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5" s="3" t="inlineStr">
        <is>
          <t>รสเผ็ดหอม​, 20 ซอง 400g</t>
        </is>
      </c>
      <c r="G385" s="6" t="n">
        <v>1</v>
      </c>
      <c r="H385" s="6" t="n">
        <v>120</v>
      </c>
      <c r="I385" s="6" t="n">
        <v>0</v>
      </c>
      <c r="J385" s="6" t="n">
        <v>35</v>
      </c>
      <c r="K385" s="6">
        <f>H385+I385</f>
        <v/>
      </c>
      <c r="L385" s="5">
        <f>K385/4.7</f>
        <v/>
      </c>
      <c r="M385" s="6" t="n">
        <v>13.4</v>
      </c>
      <c r="N385" s="6" t="n">
        <v>1</v>
      </c>
      <c r="O385" s="6">
        <f>(K385*0.1229+1.05)/4.7</f>
        <v/>
      </c>
      <c r="P385" s="6">
        <f>K385*0.0749/4.7</f>
        <v/>
      </c>
      <c r="Q385" s="5">
        <f>M385+N385+O385+P385</f>
        <v/>
      </c>
      <c r="R385" s="5">
        <f>L385-Q385</f>
        <v/>
      </c>
      <c r="S385" s="6">
        <f>R385*4.7</f>
        <v/>
      </c>
      <c r="T385" s="7">
        <f>IF(L385&gt;0,R385/L385,0)</f>
        <v/>
      </c>
      <c r="U385" s="3" t="inlineStr">
        <is>
          <t>22/05/2026 15:23:41</t>
        </is>
      </c>
    </row>
    <row r="386">
      <c r="A386" s="3" t="inlineStr">
        <is>
          <t>584145866524821306</t>
        </is>
      </c>
      <c r="B386" s="3" t="inlineStr">
        <is>
          <t>已取消</t>
        </is>
      </c>
      <c r="C386" s="3" t="inlineStr">
        <is>
          <t>CK</t>
        </is>
      </c>
      <c r="D386" s="3" t="inlineStr">
        <is>
          <t>黑松露黑麦苏打饼干</t>
        </is>
      </c>
      <c r="E38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86" s="3" t="inlineStr">
        <is>
          <t>ค่าเริ่มต้น</t>
        </is>
      </c>
      <c r="G386" s="6" t="n">
        <v>1</v>
      </c>
      <c r="H386" s="6" t="n">
        <v>105</v>
      </c>
      <c r="I386" s="6" t="n">
        <v>0</v>
      </c>
      <c r="J386" s="6" t="n">
        <v>35</v>
      </c>
      <c r="K386" s="6">
        <f>H386+I386</f>
        <v/>
      </c>
      <c r="L386" s="5">
        <f>K386/4.7</f>
        <v/>
      </c>
      <c r="M386" s="6" t="n">
        <v>10.72665050209467</v>
      </c>
      <c r="N386" s="6" t="n">
        <v>1</v>
      </c>
      <c r="O386" s="6">
        <f>(K386*0.1229+1.05)/4.7</f>
        <v/>
      </c>
      <c r="P386" s="6">
        <f>K386*0.0749/4.7</f>
        <v/>
      </c>
      <c r="Q386" s="5">
        <f>M386+N386+O386+P386</f>
        <v/>
      </c>
      <c r="R386" s="5">
        <f>L386-Q386</f>
        <v/>
      </c>
      <c r="S386" s="6">
        <f>R386*4.7</f>
        <v/>
      </c>
      <c r="T386" s="7">
        <f>IF(L386&gt;0,R386/L386,0)</f>
        <v/>
      </c>
      <c r="U386" s="3" t="inlineStr">
        <is>
          <t>22/05/2026 15:21:17</t>
        </is>
      </c>
    </row>
    <row r="387">
      <c r="A387" s="3" t="inlineStr">
        <is>
          <t>584145812397262650</t>
        </is>
      </c>
      <c r="B387" s="3" t="inlineStr">
        <is>
          <t>已取消</t>
        </is>
      </c>
      <c r="C387" s="3" t="inlineStr">
        <is>
          <t>B1</t>
        </is>
      </c>
      <c r="D387" s="3" t="inlineStr">
        <is>
          <t>魔芋笋1大袋</t>
        </is>
      </c>
      <c r="E3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7" s="3" t="inlineStr">
        <is>
          <t>รสเปรี้ยวเผ็ด​, 10 ซอง 200g</t>
        </is>
      </c>
      <c r="G387" s="6" t="n">
        <v>2</v>
      </c>
      <c r="H387" s="6" t="n">
        <v>138</v>
      </c>
      <c r="I387" s="6" t="n">
        <v>0</v>
      </c>
      <c r="J387" s="6" t="n">
        <v>48</v>
      </c>
      <c r="K387" s="6">
        <f>H387+I387</f>
        <v/>
      </c>
      <c r="L387" s="5">
        <f>K387/4.7</f>
        <v/>
      </c>
      <c r="M387" s="6" t="n">
        <v>13.4</v>
      </c>
      <c r="N387" s="6" t="n">
        <v>1</v>
      </c>
      <c r="O387" s="6">
        <f>(K387*0.1229+1.05)/4.7</f>
        <v/>
      </c>
      <c r="P387" s="6">
        <f>K387*0.0749/4.7</f>
        <v/>
      </c>
      <c r="Q387" s="5">
        <f>M387+N387+O387+P387</f>
        <v/>
      </c>
      <c r="R387" s="5">
        <f>L387-Q387</f>
        <v/>
      </c>
      <c r="S387" s="6">
        <f>R387*4.7</f>
        <v/>
      </c>
      <c r="T387" s="7">
        <f>IF(L387&gt;0,R387/L387,0)</f>
        <v/>
      </c>
      <c r="U387" s="3" t="inlineStr">
        <is>
          <t>22/05/2026 15:16:04</t>
        </is>
      </c>
    </row>
    <row r="388">
      <c r="A388" s="3" t="inlineStr">
        <is>
          <t>584145355177034864</t>
        </is>
      </c>
      <c r="B388" s="3" t="inlineStr">
        <is>
          <t>已完成</t>
        </is>
      </c>
      <c r="C388" s="3" t="inlineStr">
        <is>
          <t>C1</t>
        </is>
      </c>
      <c r="D388" s="3" t="inlineStr">
        <is>
          <t>魔芋笋1大袋</t>
        </is>
      </c>
      <c r="E3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8" s="3" t="inlineStr">
        <is>
          <t>รสเผ็ดหอม​, 10 ซอง 200g</t>
        </is>
      </c>
      <c r="G388" s="6" t="n">
        <v>1</v>
      </c>
      <c r="H388" s="6" t="n">
        <v>67.8</v>
      </c>
      <c r="I388" s="6" t="n">
        <v>1.2</v>
      </c>
      <c r="J388" s="6" t="n">
        <v>29</v>
      </c>
      <c r="K388" s="6">
        <f>H388+I388</f>
        <v/>
      </c>
      <c r="L388" s="5">
        <f>K388/4.7</f>
        <v/>
      </c>
      <c r="M388" s="6" t="n">
        <v>6.699999999999999</v>
      </c>
      <c r="N388" s="6" t="n">
        <v>1</v>
      </c>
      <c r="O388" s="6">
        <f>(K388*0.1229+1.05)/4.7</f>
        <v/>
      </c>
      <c r="P388" s="6">
        <f>K388*0.0749/4.7</f>
        <v/>
      </c>
      <c r="Q388" s="5">
        <f>M388+N388+O388+P388</f>
        <v/>
      </c>
      <c r="R388" s="5">
        <f>L388-Q388</f>
        <v/>
      </c>
      <c r="S388" s="6">
        <f>R388*4.7</f>
        <v/>
      </c>
      <c r="T388" s="7">
        <f>IF(L388&gt;0,R388/L388,0)</f>
        <v/>
      </c>
      <c r="U388" s="3" t="inlineStr">
        <is>
          <t>22/05/2026 14:39:12</t>
        </is>
      </c>
    </row>
    <row r="389">
      <c r="A389" s="3" t="inlineStr">
        <is>
          <t>584145306662372369</t>
        </is>
      </c>
      <c r="B389" s="3" t="inlineStr">
        <is>
          <t>已发货</t>
        </is>
      </c>
      <c r="C389" s="3" t="inlineStr">
        <is>
          <t>C1</t>
        </is>
      </c>
      <c r="D389" s="3" t="inlineStr">
        <is>
          <t>魔芋笋1大袋</t>
        </is>
      </c>
      <c r="E3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9" s="3" t="inlineStr">
        <is>
          <t>รสเผ็ดหอม​, 10 ซอง 200g</t>
        </is>
      </c>
      <c r="G389" s="6" t="n">
        <v>1</v>
      </c>
      <c r="H389" s="6" t="n">
        <v>99</v>
      </c>
      <c r="I389" s="6" t="n">
        <v>0</v>
      </c>
      <c r="J389" s="6" t="n">
        <v>58</v>
      </c>
      <c r="K389" s="6">
        <f>H389+I389</f>
        <v/>
      </c>
      <c r="L389" s="5">
        <f>K389/4.7</f>
        <v/>
      </c>
      <c r="M389" s="6" t="n">
        <v>6.699999999999999</v>
      </c>
      <c r="N389" s="6" t="n">
        <v>1</v>
      </c>
      <c r="O389" s="6">
        <f>(K389*0.1229+1.05)/4.7</f>
        <v/>
      </c>
      <c r="P389" s="6">
        <f>K389*0.0749/4.7</f>
        <v/>
      </c>
      <c r="Q389" s="5">
        <f>M389+N389+O389+P389</f>
        <v/>
      </c>
      <c r="R389" s="5">
        <f>L389-Q389</f>
        <v/>
      </c>
      <c r="S389" s="6">
        <f>R389*4.7</f>
        <v/>
      </c>
      <c r="T389" s="7">
        <f>IF(L389&gt;0,R389/L389,0)</f>
        <v/>
      </c>
      <c r="U389" s="3" t="inlineStr">
        <is>
          <t>22/05/2026 14:31:33</t>
        </is>
      </c>
    </row>
    <row r="390">
      <c r="A390" s="3" t="inlineStr">
        <is>
          <t>584143970966144485</t>
        </is>
      </c>
      <c r="B390" s="3" t="inlineStr">
        <is>
          <t>已取消</t>
        </is>
      </c>
      <c r="C390" s="3" t="inlineStr">
        <is>
          <t>B1</t>
        </is>
      </c>
      <c r="D390" s="3" t="inlineStr">
        <is>
          <t>魔芋笋1大袋</t>
        </is>
      </c>
      <c r="E3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0" s="3" t="inlineStr">
        <is>
          <t>รสเปรี้ยวเผ็ด​, 10 ซอง 200g</t>
        </is>
      </c>
      <c r="G390" s="6" t="n">
        <v>1</v>
      </c>
      <c r="H390" s="6" t="n">
        <v>69</v>
      </c>
      <c r="I390" s="6" t="n">
        <v>0</v>
      </c>
      <c r="J390" s="6" t="n">
        <v>38</v>
      </c>
      <c r="K390" s="6">
        <f>H390+I390</f>
        <v/>
      </c>
      <c r="L390" s="5">
        <f>K390/4.7</f>
        <v/>
      </c>
      <c r="M390" s="6" t="n">
        <v>6.699999999999999</v>
      </c>
      <c r="N390" s="6" t="n">
        <v>1</v>
      </c>
      <c r="O390" s="6">
        <f>(K390*0.1229+1.05)/4.7</f>
        <v/>
      </c>
      <c r="P390" s="6">
        <f>K390*0.0749/4.7</f>
        <v/>
      </c>
      <c r="Q390" s="5">
        <f>M390+N390+O390+P390</f>
        <v/>
      </c>
      <c r="R390" s="5">
        <f>L390-Q390</f>
        <v/>
      </c>
      <c r="S390" s="6">
        <f>R390*4.7</f>
        <v/>
      </c>
      <c r="T390" s="7">
        <f>IF(L390&gt;0,R390/L390,0)</f>
        <v/>
      </c>
      <c r="U390" s="3" t="inlineStr">
        <is>
          <t>22/05/2026 12:57:56</t>
        </is>
      </c>
    </row>
    <row r="391">
      <c r="A391" s="3" t="inlineStr">
        <is>
          <t>584143526107318132</t>
        </is>
      </c>
      <c r="B391" s="3" t="inlineStr">
        <is>
          <t>已取消</t>
        </is>
      </c>
      <c r="C391" s="3" t="inlineStr">
        <is>
          <t>C3</t>
        </is>
      </c>
      <c r="D391" s="3" t="inlineStr">
        <is>
          <t>魔芋笋3大袋</t>
        </is>
      </c>
      <c r="E3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1" s="3" t="inlineStr">
        <is>
          <t>รสเผ็ดหอม​, 30 ซอง 600g</t>
        </is>
      </c>
      <c r="G391" s="6" t="n">
        <v>2</v>
      </c>
      <c r="H391" s="6" t="n">
        <v>344</v>
      </c>
      <c r="I391" s="6" t="n">
        <v>0</v>
      </c>
      <c r="J391" s="6" t="n">
        <v>48</v>
      </c>
      <c r="K391" s="6">
        <f>H391+I391</f>
        <v/>
      </c>
      <c r="L391" s="5">
        <f>K391/4.7</f>
        <v/>
      </c>
      <c r="M391" s="6" t="n">
        <v>40.2</v>
      </c>
      <c r="N391" s="6" t="n">
        <v>1</v>
      </c>
      <c r="O391" s="6">
        <f>(K391*0.1229+1.05)/4.7</f>
        <v/>
      </c>
      <c r="P391" s="6">
        <f>K391*0.0749/4.7</f>
        <v/>
      </c>
      <c r="Q391" s="5">
        <f>M391+N391+O391+P391</f>
        <v/>
      </c>
      <c r="R391" s="5">
        <f>L391-Q391</f>
        <v/>
      </c>
      <c r="S391" s="6">
        <f>R391*4.7</f>
        <v/>
      </c>
      <c r="T391" s="7">
        <f>IF(L391&gt;0,R391/L391,0)</f>
        <v/>
      </c>
      <c r="U391" s="3" t="inlineStr">
        <is>
          <t>22/05/2026 12:33:19</t>
        </is>
      </c>
    </row>
    <row r="392">
      <c r="A392" s="3" t="inlineStr">
        <is>
          <t>584142950444730021</t>
        </is>
      </c>
      <c r="B392" s="3" t="inlineStr">
        <is>
          <t>已取消</t>
        </is>
      </c>
      <c r="C392" s="3" t="inlineStr">
        <is>
          <t>CK</t>
        </is>
      </c>
      <c r="D392" s="3" t="inlineStr">
        <is>
          <t>黑松露黑麦苏打饼干</t>
        </is>
      </c>
      <c r="E39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92" s="3" t="inlineStr">
        <is>
          <t>ค่าเริ่มต้น</t>
        </is>
      </c>
      <c r="G392" s="6" t="n">
        <v>1</v>
      </c>
      <c r="H392" s="6" t="n">
        <v>100</v>
      </c>
      <c r="I392" s="6" t="n">
        <v>0</v>
      </c>
      <c r="J392" s="6" t="n">
        <v>35</v>
      </c>
      <c r="K392" s="6">
        <f>H392+I392</f>
        <v/>
      </c>
      <c r="L392" s="5">
        <f>K392/4.7</f>
        <v/>
      </c>
      <c r="M392" s="6" t="n">
        <v>10.72665050209467</v>
      </c>
      <c r="N392" s="6" t="n">
        <v>1</v>
      </c>
      <c r="O392" s="6">
        <f>(K392*0.1229+1.05)/4.7</f>
        <v/>
      </c>
      <c r="P392" s="6">
        <f>K392*0.0749/4.7</f>
        <v/>
      </c>
      <c r="Q392" s="5">
        <f>M392+N392+O392+P392</f>
        <v/>
      </c>
      <c r="R392" s="5">
        <f>L392-Q392</f>
        <v/>
      </c>
      <c r="S392" s="6">
        <f>R392*4.7</f>
        <v/>
      </c>
      <c r="T392" s="7">
        <f>IF(L392&gt;0,R392/L392,0)</f>
        <v/>
      </c>
      <c r="U392" s="3" t="inlineStr">
        <is>
          <t>22/05/2026 11:54:08</t>
        </is>
      </c>
    </row>
    <row r="393">
      <c r="A393" s="3" t="inlineStr">
        <is>
          <t>584140633044190685</t>
        </is>
      </c>
      <c r="B393" s="3" t="inlineStr">
        <is>
          <t>已完成</t>
        </is>
      </c>
      <c r="C393" s="3" t="inlineStr">
        <is>
          <t>C1</t>
        </is>
      </c>
      <c r="D393" s="3" t="inlineStr">
        <is>
          <t>魔芋笋1大袋</t>
        </is>
      </c>
      <c r="E3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3" s="3" t="inlineStr">
        <is>
          <t>รสเผ็ดหอม​, 10 ซอง 200g</t>
        </is>
      </c>
      <c r="G393" s="6" t="n">
        <v>1</v>
      </c>
      <c r="H393" s="6" t="n">
        <v>86</v>
      </c>
      <c r="I393" s="6" t="n">
        <v>0</v>
      </c>
      <c r="J393" s="6" t="n">
        <v>18</v>
      </c>
      <c r="K393" s="6">
        <f>H393+I393</f>
        <v/>
      </c>
      <c r="L393" s="5">
        <f>K393/4.7</f>
        <v/>
      </c>
      <c r="M393" s="6" t="n">
        <v>6.699999999999999</v>
      </c>
      <c r="N393" s="6" t="n">
        <v>1</v>
      </c>
      <c r="O393" s="6">
        <f>(K393*0.1229+1.05)/4.7</f>
        <v/>
      </c>
      <c r="P393" s="6">
        <f>K393*0.0749/4.7</f>
        <v/>
      </c>
      <c r="Q393" s="5">
        <f>M393+N393+O393+P393</f>
        <v/>
      </c>
      <c r="R393" s="5">
        <f>L393-Q393</f>
        <v/>
      </c>
      <c r="S393" s="6">
        <f>R393*4.7</f>
        <v/>
      </c>
      <c r="T393" s="7">
        <f>IF(L393&gt;0,R393/L393,0)</f>
        <v/>
      </c>
      <c r="U393" s="3" t="inlineStr">
        <is>
          <t>22/05/2026 09:11:04</t>
        </is>
      </c>
    </row>
    <row r="394">
      <c r="A394" s="3" t="inlineStr">
        <is>
          <t>584139394021950702</t>
        </is>
      </c>
      <c r="B394" s="3" t="inlineStr">
        <is>
          <t>已完成</t>
        </is>
      </c>
      <c r="C394" s="3" t="inlineStr">
        <is>
          <t>CK</t>
        </is>
      </c>
      <c r="D394" s="3" t="inlineStr">
        <is>
          <t>黑松露黑麦苏打饼干</t>
        </is>
      </c>
      <c r="E39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94" s="3" t="inlineStr">
        <is>
          <t>ค่าเริ่มต้น</t>
        </is>
      </c>
      <c r="G394" s="6" t="n">
        <v>1</v>
      </c>
      <c r="H394" s="6" t="n">
        <v>85</v>
      </c>
      <c r="I394" s="6" t="n">
        <v>15</v>
      </c>
      <c r="J394" s="6" t="n">
        <v>35</v>
      </c>
      <c r="K394" s="6">
        <f>H394+I394</f>
        <v/>
      </c>
      <c r="L394" s="5">
        <f>K394/4.7</f>
        <v/>
      </c>
      <c r="M394" s="6" t="n">
        <v>10.72665050209467</v>
      </c>
      <c r="N394" s="6" t="n">
        <v>1</v>
      </c>
      <c r="O394" s="6">
        <f>(K394*0.1229+1.05)/4.7</f>
        <v/>
      </c>
      <c r="P394" s="6">
        <f>K394*0.0749/4.7</f>
        <v/>
      </c>
      <c r="Q394" s="5">
        <f>M394+N394+O394+P394</f>
        <v/>
      </c>
      <c r="R394" s="5">
        <f>L394-Q394</f>
        <v/>
      </c>
      <c r="S394" s="6">
        <f>R394*4.7</f>
        <v/>
      </c>
      <c r="T394" s="7">
        <f>IF(L394&gt;0,R394/L394,0)</f>
        <v/>
      </c>
      <c r="U394" s="3" t="inlineStr">
        <is>
          <t>22/05/2026 07:25:41</t>
        </is>
      </c>
    </row>
    <row r="395">
      <c r="A395" s="3" t="inlineStr">
        <is>
          <t>584139359427069220</t>
        </is>
      </c>
      <c r="B395" s="3" t="inlineStr">
        <is>
          <t>已完成</t>
        </is>
      </c>
      <c r="C395" s="3" t="inlineStr">
        <is>
          <t>B1</t>
        </is>
      </c>
      <c r="D395" s="3" t="inlineStr">
        <is>
          <t>魔芋笋1大袋</t>
        </is>
      </c>
      <c r="E395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95" s="3" t="inlineStr">
        <is>
          <t>รสเปรี้ยวเผ็ด​, 1pcs   200g</t>
        </is>
      </c>
      <c r="G395" s="6" t="n">
        <v>1</v>
      </c>
      <c r="H395" s="6" t="n">
        <v>70</v>
      </c>
      <c r="I395" s="6" t="n">
        <v>0</v>
      </c>
      <c r="J395" s="6" t="n">
        <v>28</v>
      </c>
      <c r="K395" s="6">
        <f>H395+I395</f>
        <v/>
      </c>
      <c r="L395" s="5">
        <f>K395/4.7</f>
        <v/>
      </c>
      <c r="M395" s="6" t="n">
        <v>6.699999999999999</v>
      </c>
      <c r="N395" s="6" t="n">
        <v>1</v>
      </c>
      <c r="O395" s="6">
        <f>(K395*0.1229+1.05)/4.7</f>
        <v/>
      </c>
      <c r="P395" s="6">
        <f>K395*0.0749/4.7</f>
        <v/>
      </c>
      <c r="Q395" s="5">
        <f>M395+N395+O395+P395</f>
        <v/>
      </c>
      <c r="R395" s="5">
        <f>L395-Q395</f>
        <v/>
      </c>
      <c r="S395" s="6">
        <f>R395*4.7</f>
        <v/>
      </c>
      <c r="T395" s="7">
        <f>IF(L395&gt;0,R395/L395,0)</f>
        <v/>
      </c>
      <c r="U395" s="3" t="inlineStr">
        <is>
          <t>22/05/2026 07:19:43</t>
        </is>
      </c>
    </row>
    <row r="396">
      <c r="A396" s="3" t="inlineStr">
        <is>
          <t>584138153911354896</t>
        </is>
      </c>
      <c r="B396" s="3" t="inlineStr">
        <is>
          <t>已完成</t>
        </is>
      </c>
      <c r="C396" s="3" t="inlineStr">
        <is>
          <t>C2</t>
        </is>
      </c>
      <c r="D396" s="3" t="inlineStr">
        <is>
          <t>魔芋笋2大袋</t>
        </is>
      </c>
      <c r="E396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96" s="3" t="inlineStr">
        <is>
          <t>รสเผ็ดหอม​, 2pcs  400g</t>
        </is>
      </c>
      <c r="G396" s="6" t="n">
        <v>1</v>
      </c>
      <c r="H396" s="6" t="n">
        <v>106.2</v>
      </c>
      <c r="I396" s="6" t="n">
        <v>11.8</v>
      </c>
      <c r="J396" s="6" t="n">
        <v>38</v>
      </c>
      <c r="K396" s="6">
        <f>H396+I396</f>
        <v/>
      </c>
      <c r="L396" s="5">
        <f>K396/4.7</f>
        <v/>
      </c>
      <c r="M396" s="6" t="n">
        <v>13.4</v>
      </c>
      <c r="N396" s="6" t="n">
        <v>1</v>
      </c>
      <c r="O396" s="6">
        <f>(K396*0.1229+1.05)/4.7</f>
        <v/>
      </c>
      <c r="P396" s="6">
        <f>K396*0.0749/4.7</f>
        <v/>
      </c>
      <c r="Q396" s="5">
        <f>M396+N396+O396+P396</f>
        <v/>
      </c>
      <c r="R396" s="5">
        <f>L396-Q396</f>
        <v/>
      </c>
      <c r="S396" s="6">
        <f>R396*4.7</f>
        <v/>
      </c>
      <c r="T396" s="7">
        <f>IF(L396&gt;0,R396/L396,0)</f>
        <v/>
      </c>
      <c r="U396" s="3" t="inlineStr">
        <is>
          <t>22/05/2026 04:06:07</t>
        </is>
      </c>
    </row>
    <row r="397">
      <c r="A397" s="3" t="inlineStr">
        <is>
          <t>584137615562344277</t>
        </is>
      </c>
      <c r="B397" s="3" t="inlineStr">
        <is>
          <t>已完成</t>
        </is>
      </c>
      <c r="C397" s="3" t="inlineStr">
        <is>
          <t>B1</t>
        </is>
      </c>
      <c r="D397" s="3" t="inlineStr">
        <is>
          <t>魔芋笋1大袋</t>
        </is>
      </c>
      <c r="E397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97" s="3" t="inlineStr">
        <is>
          <t>รสเปรี้ยวเผ็ด​, 1pcs   200g</t>
        </is>
      </c>
      <c r="G397" s="6" t="n">
        <v>1</v>
      </c>
      <c r="H397" s="6" t="n">
        <v>108</v>
      </c>
      <c r="I397" s="6" t="n">
        <v>6</v>
      </c>
      <c r="J397" s="6" t="n">
        <v>48</v>
      </c>
      <c r="K397" s="6">
        <f>H397+I397</f>
        <v/>
      </c>
      <c r="L397" s="5">
        <f>K397/4.7</f>
        <v/>
      </c>
      <c r="M397" s="6" t="n">
        <v>6.699999999999999</v>
      </c>
      <c r="N397" s="6" t="n">
        <v>1</v>
      </c>
      <c r="O397" s="6">
        <f>(K397*0.1229+1.05)/4.7</f>
        <v/>
      </c>
      <c r="P397" s="6">
        <f>K397*0.0749/4.7</f>
        <v/>
      </c>
      <c r="Q397" s="5">
        <f>M397+N397+O397+P397</f>
        <v/>
      </c>
      <c r="R397" s="5">
        <f>L397-Q397</f>
        <v/>
      </c>
      <c r="S397" s="6">
        <f>R397*4.7</f>
        <v/>
      </c>
      <c r="T397" s="7">
        <f>IF(L397&gt;0,R397/L397,0)</f>
        <v/>
      </c>
      <c r="U397" s="3" t="inlineStr">
        <is>
          <t>22/05/2026 01:16:55</t>
        </is>
      </c>
    </row>
    <row r="398">
      <c r="A398" s="3" t="inlineStr">
        <is>
          <t>584137615562344277</t>
        </is>
      </c>
      <c r="B398" s="3" t="inlineStr">
        <is>
          <t>已完成</t>
        </is>
      </c>
      <c r="C398" s="3" t="inlineStr">
        <is>
          <t>C1</t>
        </is>
      </c>
      <c r="D398" s="3" t="inlineStr">
        <is>
          <t>魔芋笋1大袋</t>
        </is>
      </c>
      <c r="E398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98" s="3" t="inlineStr">
        <is>
          <t>รสเผ็ดหอม​, 1pcs   200g</t>
        </is>
      </c>
      <c r="G398" s="6" t="n">
        <v>1</v>
      </c>
      <c r="H398" s="6" t="n">
        <v>108</v>
      </c>
      <c r="I398" s="6" t="n">
        <v>6</v>
      </c>
      <c r="J398" s="6" t="n">
        <v>48</v>
      </c>
      <c r="K398" s="6">
        <f>H398+I398</f>
        <v/>
      </c>
      <c r="L398" s="5">
        <f>K398/4.7</f>
        <v/>
      </c>
      <c r="M398" s="6" t="n">
        <v>6.699999999999999</v>
      </c>
      <c r="N398" s="6" t="n">
        <v>1</v>
      </c>
      <c r="O398" s="6">
        <f>(K398*0.1229+1.05)/4.7</f>
        <v/>
      </c>
      <c r="P398" s="6">
        <f>K398*0.0749/4.7</f>
        <v/>
      </c>
      <c r="Q398" s="5">
        <f>M398+N398+O398+P398</f>
        <v/>
      </c>
      <c r="R398" s="5">
        <f>L398-Q398</f>
        <v/>
      </c>
      <c r="S398" s="6">
        <f>R398*4.7</f>
        <v/>
      </c>
      <c r="T398" s="7">
        <f>IF(L398&gt;0,R398/L398,0)</f>
        <v/>
      </c>
      <c r="U398" s="3" t="inlineStr">
        <is>
          <t>22/05/2026 01:16:55</t>
        </is>
      </c>
    </row>
    <row r="399">
      <c r="A399" s="3" t="inlineStr">
        <is>
          <t>584137048017504216</t>
        </is>
      </c>
      <c r="B399" s="3" t="inlineStr">
        <is>
          <t>已完成</t>
        </is>
      </c>
      <c r="C399" s="3" t="inlineStr">
        <is>
          <t>B5s</t>
        </is>
      </c>
      <c r="D399" s="3" t="inlineStr">
        <is>
          <t>酸辣味5小袋</t>
        </is>
      </c>
      <c r="E3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9" s="3" t="inlineStr">
        <is>
          <t>รสเปรี้ยวเผ็ด​, *ชุดเล็ก 5 ซอง 100g</t>
        </is>
      </c>
      <c r="G399" s="6" t="n">
        <v>1</v>
      </c>
      <c r="H399" s="6" t="n">
        <v>94</v>
      </c>
      <c r="I399" s="6" t="n">
        <v>0</v>
      </c>
      <c r="J399" s="6" t="n">
        <v>48</v>
      </c>
      <c r="K399" s="6">
        <f>H399+I399</f>
        <v/>
      </c>
      <c r="L399" s="5">
        <f>K399/4.7</f>
        <v/>
      </c>
      <c r="M399" s="6" t="n">
        <v>3.35</v>
      </c>
      <c r="N399" s="6" t="n">
        <v>1</v>
      </c>
      <c r="O399" s="6">
        <f>(K399*0.1229+1.05)/4.7</f>
        <v/>
      </c>
      <c r="P399" s="6">
        <f>K399*0.0749/4.7</f>
        <v/>
      </c>
      <c r="Q399" s="5">
        <f>M399+N399+O399+P399</f>
        <v/>
      </c>
      <c r="R399" s="5">
        <f>L399-Q399</f>
        <v/>
      </c>
      <c r="S399" s="6">
        <f>R399*4.7</f>
        <v/>
      </c>
      <c r="T399" s="7">
        <f>IF(L399&gt;0,R399/L399,0)</f>
        <v/>
      </c>
      <c r="U399" s="3" t="inlineStr">
        <is>
          <t>21/05/2026 23:47:04</t>
        </is>
      </c>
    </row>
    <row r="400">
      <c r="A400" s="3" t="inlineStr">
        <is>
          <t>584137048017504216</t>
        </is>
      </c>
      <c r="B400" s="3" t="inlineStr">
        <is>
          <t>已完成</t>
        </is>
      </c>
      <c r="C400" s="3" t="inlineStr">
        <is>
          <t>C5s</t>
        </is>
      </c>
      <c r="D400" s="3" t="inlineStr">
        <is>
          <t>香辣味魔芋笋5小袋</t>
        </is>
      </c>
      <c r="E40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0" s="3" t="inlineStr">
        <is>
          <t>รสเผ็ดหอม​, *ชุดเล็ก 5 ซอง 100g</t>
        </is>
      </c>
      <c r="G400" s="6" t="n">
        <v>1</v>
      </c>
      <c r="H400" s="6" t="n">
        <v>94</v>
      </c>
      <c r="I400" s="6" t="n">
        <v>0</v>
      </c>
      <c r="J400" s="6" t="n">
        <v>48</v>
      </c>
      <c r="K400" s="6">
        <f>H400+I400</f>
        <v/>
      </c>
      <c r="L400" s="5">
        <f>K400/4.7</f>
        <v/>
      </c>
      <c r="M400" s="6" t="n">
        <v>3.35</v>
      </c>
      <c r="N400" s="6" t="n">
        <v>1</v>
      </c>
      <c r="O400" s="6">
        <f>(K400*0.1229+1.05)/4.7</f>
        <v/>
      </c>
      <c r="P400" s="6">
        <f>K400*0.0749/4.7</f>
        <v/>
      </c>
      <c r="Q400" s="5">
        <f>M400+N400+O400+P400</f>
        <v/>
      </c>
      <c r="R400" s="5">
        <f>L400-Q400</f>
        <v/>
      </c>
      <c r="S400" s="6">
        <f>R400*4.7</f>
        <v/>
      </c>
      <c r="T400" s="7">
        <f>IF(L400&gt;0,R400/L400,0)</f>
        <v/>
      </c>
      <c r="U400" s="3" t="inlineStr">
        <is>
          <t>21/05/2026 23:47:04</t>
        </is>
      </c>
    </row>
    <row r="401">
      <c r="A401" s="3" t="inlineStr">
        <is>
          <t>584136002636580326</t>
        </is>
      </c>
      <c r="B401" s="3" t="inlineStr">
        <is>
          <t>已完成</t>
        </is>
      </c>
      <c r="C401" s="3" t="inlineStr">
        <is>
          <t>CK</t>
        </is>
      </c>
      <c r="D401" s="3" t="inlineStr">
        <is>
          <t>黑松露黑麦苏打饼干</t>
        </is>
      </c>
      <c r="E40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01" s="3" t="inlineStr">
        <is>
          <t>ค่าเริ่มต้น</t>
        </is>
      </c>
      <c r="G401" s="6" t="n">
        <v>2</v>
      </c>
      <c r="H401" s="6" t="n">
        <v>194.5</v>
      </c>
      <c r="I401" s="6" t="n">
        <v>0</v>
      </c>
      <c r="J401" s="6" t="n">
        <v>35</v>
      </c>
      <c r="K401" s="6">
        <f>H401+I401</f>
        <v/>
      </c>
      <c r="L401" s="5">
        <f>K401/4.7</f>
        <v/>
      </c>
      <c r="M401" s="6" t="n">
        <v>21.45330100418933</v>
      </c>
      <c r="N401" s="6" t="n">
        <v>1</v>
      </c>
      <c r="O401" s="6">
        <f>(K401*0.1229+1.05)/4.7</f>
        <v/>
      </c>
      <c r="P401" s="6">
        <f>K401*0.0749/4.7</f>
        <v/>
      </c>
      <c r="Q401" s="5">
        <f>M401+N401+O401+P401</f>
        <v/>
      </c>
      <c r="R401" s="5">
        <f>L401-Q401</f>
        <v/>
      </c>
      <c r="S401" s="6">
        <f>R401*4.7</f>
        <v/>
      </c>
      <c r="T401" s="7">
        <f>IF(L401&gt;0,R401/L401,0)</f>
        <v/>
      </c>
      <c r="U401" s="3" t="inlineStr">
        <is>
          <t>21/05/2026 22:10:53</t>
        </is>
      </c>
    </row>
    <row r="402">
      <c r="A402" s="3" t="inlineStr">
        <is>
          <t>584135645083698455</t>
        </is>
      </c>
      <c r="B402" s="3" t="inlineStr">
        <is>
          <t>已完成</t>
        </is>
      </c>
      <c r="C402" s="3" t="inlineStr">
        <is>
          <t>B1</t>
        </is>
      </c>
      <c r="D402" s="3" t="inlineStr">
        <is>
          <t>魔芋笋1大袋</t>
        </is>
      </c>
      <c r="E4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2" s="3" t="inlineStr">
        <is>
          <t>รสเปรี้ยวเผ็ด​, 10 ซอง 200g</t>
        </is>
      </c>
      <c r="G402" s="6" t="n">
        <v>1</v>
      </c>
      <c r="H402" s="6" t="n">
        <v>69</v>
      </c>
      <c r="I402" s="6" t="n">
        <v>0</v>
      </c>
      <c r="J402" s="6" t="n">
        <v>38</v>
      </c>
      <c r="K402" s="6">
        <f>H402+I402</f>
        <v/>
      </c>
      <c r="L402" s="5">
        <f>K402/4.7</f>
        <v/>
      </c>
      <c r="M402" s="6" t="n">
        <v>6.699999999999999</v>
      </c>
      <c r="N402" s="6" t="n">
        <v>1</v>
      </c>
      <c r="O402" s="6">
        <f>(K402*0.1229+1.05)/4.7</f>
        <v/>
      </c>
      <c r="P402" s="6">
        <f>K402*0.0749/4.7</f>
        <v/>
      </c>
      <c r="Q402" s="5">
        <f>M402+N402+O402+P402</f>
        <v/>
      </c>
      <c r="R402" s="5">
        <f>L402-Q402</f>
        <v/>
      </c>
      <c r="S402" s="6">
        <f>R402*4.7</f>
        <v/>
      </c>
      <c r="T402" s="7">
        <f>IF(L402&gt;0,R402/L402,0)</f>
        <v/>
      </c>
      <c r="U402" s="3" t="inlineStr">
        <is>
          <t>21/05/2026 21:44:17</t>
        </is>
      </c>
    </row>
    <row r="403">
      <c r="A403" s="3" t="inlineStr">
        <is>
          <t>584135172637231094</t>
        </is>
      </c>
      <c r="B403" s="3" t="inlineStr">
        <is>
          <t>已完成</t>
        </is>
      </c>
      <c r="C403" s="3" t="inlineStr">
        <is>
          <t>C2</t>
        </is>
      </c>
      <c r="D403" s="3" t="inlineStr">
        <is>
          <t>魔芋笋2大袋</t>
        </is>
      </c>
      <c r="E4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3" s="3" t="inlineStr">
        <is>
          <t>รสเผ็ดหอม​, 20 ซอง 400g</t>
        </is>
      </c>
      <c r="G403" s="6" t="n">
        <v>1</v>
      </c>
      <c r="H403" s="6" t="n">
        <v>120</v>
      </c>
      <c r="I403" s="6" t="n">
        <v>0</v>
      </c>
      <c r="J403" s="6" t="n">
        <v>38</v>
      </c>
      <c r="K403" s="6">
        <f>H403+I403</f>
        <v/>
      </c>
      <c r="L403" s="5">
        <f>K403/4.7</f>
        <v/>
      </c>
      <c r="M403" s="6" t="n">
        <v>13.4</v>
      </c>
      <c r="N403" s="6" t="n">
        <v>1</v>
      </c>
      <c r="O403" s="6">
        <f>(K403*0.1229+1.05)/4.7</f>
        <v/>
      </c>
      <c r="P403" s="6">
        <f>K403*0.0749/4.7</f>
        <v/>
      </c>
      <c r="Q403" s="5">
        <f>M403+N403+O403+P403</f>
        <v/>
      </c>
      <c r="R403" s="5">
        <f>L403-Q403</f>
        <v/>
      </c>
      <c r="S403" s="6">
        <f>R403*4.7</f>
        <v/>
      </c>
      <c r="T403" s="7">
        <f>IF(L403&gt;0,R403/L403,0)</f>
        <v/>
      </c>
      <c r="U403" s="3" t="inlineStr">
        <is>
          <t>21/05/2026 21:07:24</t>
        </is>
      </c>
    </row>
    <row r="404">
      <c r="A404" s="3" t="inlineStr">
        <is>
          <t>584134498515846760</t>
        </is>
      </c>
      <c r="B404" s="3" t="inlineStr">
        <is>
          <t>已发货</t>
        </is>
      </c>
      <c r="C404" s="3" t="inlineStr">
        <is>
          <t>C1</t>
        </is>
      </c>
      <c r="D404" s="3" t="inlineStr">
        <is>
          <t>魔芋笋1大袋</t>
        </is>
      </c>
      <c r="E4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4" s="3" t="inlineStr">
        <is>
          <t>รสเผ็ดหอม​, 10 ซอง 200g</t>
        </is>
      </c>
      <c r="G404" s="6" t="n">
        <v>1</v>
      </c>
      <c r="H404" s="6" t="n">
        <v>69</v>
      </c>
      <c r="I404" s="6" t="n">
        <v>0</v>
      </c>
      <c r="J404" s="6" t="n">
        <v>35</v>
      </c>
      <c r="K404" s="6">
        <f>H404+I404</f>
        <v/>
      </c>
      <c r="L404" s="5">
        <f>K404/4.7</f>
        <v/>
      </c>
      <c r="M404" s="6" t="n">
        <v>6.699999999999999</v>
      </c>
      <c r="N404" s="6" t="n">
        <v>1</v>
      </c>
      <c r="O404" s="6">
        <f>(K404*0.1229+1.05)/4.7</f>
        <v/>
      </c>
      <c r="P404" s="6">
        <f>K404*0.0749/4.7</f>
        <v/>
      </c>
      <c r="Q404" s="5">
        <f>M404+N404+O404+P404</f>
        <v/>
      </c>
      <c r="R404" s="5">
        <f>L404-Q404</f>
        <v/>
      </c>
      <c r="S404" s="6">
        <f>R404*4.7</f>
        <v/>
      </c>
      <c r="T404" s="7">
        <f>IF(L404&gt;0,R404/L404,0)</f>
        <v/>
      </c>
      <c r="U404" s="3" t="inlineStr">
        <is>
          <t>21/05/2026 20:26:58</t>
        </is>
      </c>
    </row>
    <row r="405">
      <c r="A405" s="3" t="inlineStr">
        <is>
          <t>584134232112990116</t>
        </is>
      </c>
      <c r="B405" s="3" t="inlineStr">
        <is>
          <t>已完成</t>
        </is>
      </c>
      <c r="C405" s="3" t="inlineStr">
        <is>
          <t>C1</t>
        </is>
      </c>
      <c r="D405" s="3" t="inlineStr">
        <is>
          <t>魔芋笋1大袋</t>
        </is>
      </c>
      <c r="E4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5" s="3" t="inlineStr">
        <is>
          <t>รสเผ็ดหอม​, 10 ซอง 200g</t>
        </is>
      </c>
      <c r="G405" s="6" t="n">
        <v>1</v>
      </c>
      <c r="H405" s="6" t="n">
        <v>69</v>
      </c>
      <c r="I405" s="6" t="n">
        <v>0</v>
      </c>
      <c r="J405" s="6" t="n">
        <v>30</v>
      </c>
      <c r="K405" s="6">
        <f>H405+I405</f>
        <v/>
      </c>
      <c r="L405" s="5">
        <f>K405/4.7</f>
        <v/>
      </c>
      <c r="M405" s="6" t="n">
        <v>6.699999999999999</v>
      </c>
      <c r="N405" s="6" t="n">
        <v>1</v>
      </c>
      <c r="O405" s="6">
        <f>(K405*0.1229+1.05)/4.7</f>
        <v/>
      </c>
      <c r="P405" s="6">
        <f>K405*0.0749/4.7</f>
        <v/>
      </c>
      <c r="Q405" s="5">
        <f>M405+N405+O405+P405</f>
        <v/>
      </c>
      <c r="R405" s="5">
        <f>L405-Q405</f>
        <v/>
      </c>
      <c r="S405" s="6">
        <f>R405*4.7</f>
        <v/>
      </c>
      <c r="T405" s="7">
        <f>IF(L405&gt;0,R405/L405,0)</f>
        <v/>
      </c>
      <c r="U405" s="3" t="inlineStr">
        <is>
          <t>21/05/2026 20:06:16</t>
        </is>
      </c>
    </row>
    <row r="406">
      <c r="A406" s="3" t="inlineStr">
        <is>
          <t>584133770987930955</t>
        </is>
      </c>
      <c r="B406" s="3" t="inlineStr">
        <is>
          <t>已完成</t>
        </is>
      </c>
      <c r="C406" s="3" t="inlineStr">
        <is>
          <t>C1</t>
        </is>
      </c>
      <c r="D406" s="3" t="inlineStr">
        <is>
          <t>魔芋笋1大袋</t>
        </is>
      </c>
      <c r="E4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6" s="3" t="inlineStr">
        <is>
          <t>รสเผ็ดหอม​, 10 ซอง 200g</t>
        </is>
      </c>
      <c r="G406" s="6" t="n">
        <v>1</v>
      </c>
      <c r="H406" s="6" t="n">
        <v>69</v>
      </c>
      <c r="I406" s="6" t="n">
        <v>0</v>
      </c>
      <c r="J406" s="6" t="n">
        <v>38</v>
      </c>
      <c r="K406" s="6">
        <f>H406+I406</f>
        <v/>
      </c>
      <c r="L406" s="5">
        <f>K406/4.7</f>
        <v/>
      </c>
      <c r="M406" s="6" t="n">
        <v>6.699999999999999</v>
      </c>
      <c r="N406" s="6" t="n">
        <v>1</v>
      </c>
      <c r="O406" s="6">
        <f>(K406*0.1229+1.05)/4.7</f>
        <v/>
      </c>
      <c r="P406" s="6">
        <f>K406*0.0749/4.7</f>
        <v/>
      </c>
      <c r="Q406" s="5">
        <f>M406+N406+O406+P406</f>
        <v/>
      </c>
      <c r="R406" s="5">
        <f>L406-Q406</f>
        <v/>
      </c>
      <c r="S406" s="6">
        <f>R406*4.7</f>
        <v/>
      </c>
      <c r="T406" s="7">
        <f>IF(L406&gt;0,R406/L406,0)</f>
        <v/>
      </c>
      <c r="U406" s="3" t="inlineStr">
        <is>
          <t>21/05/2026 19:39:08</t>
        </is>
      </c>
    </row>
    <row r="407">
      <c r="A407" s="3" t="inlineStr">
        <is>
          <t>584133533909943420</t>
        </is>
      </c>
      <c r="B407" s="3" t="inlineStr">
        <is>
          <t>已完成</t>
        </is>
      </c>
      <c r="C407" s="3" t="inlineStr">
        <is>
          <t>C3</t>
        </is>
      </c>
      <c r="D407" s="3" t="inlineStr">
        <is>
          <t>魔芋笋3大袋</t>
        </is>
      </c>
      <c r="E4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7" s="3" t="inlineStr">
        <is>
          <t>รสเผ็ดหอม​, 30 ซอง 600g</t>
        </is>
      </c>
      <c r="G407" s="6" t="n">
        <v>1</v>
      </c>
      <c r="H407" s="6" t="n">
        <v>167</v>
      </c>
      <c r="I407" s="6" t="n">
        <v>0</v>
      </c>
      <c r="J407" s="6" t="n">
        <v>38</v>
      </c>
      <c r="K407" s="6">
        <f>H407+I407</f>
        <v/>
      </c>
      <c r="L407" s="5">
        <f>K407/4.7</f>
        <v/>
      </c>
      <c r="M407" s="6" t="n">
        <v>20.1</v>
      </c>
      <c r="N407" s="6" t="n">
        <v>1</v>
      </c>
      <c r="O407" s="6">
        <f>(K407*0.1229+1.05)/4.7</f>
        <v/>
      </c>
      <c r="P407" s="6">
        <f>K407*0.0749/4.7</f>
        <v/>
      </c>
      <c r="Q407" s="5">
        <f>M407+N407+O407+P407</f>
        <v/>
      </c>
      <c r="R407" s="5">
        <f>L407-Q407</f>
        <v/>
      </c>
      <c r="S407" s="6">
        <f>R407*4.7</f>
        <v/>
      </c>
      <c r="T407" s="7">
        <f>IF(L407&gt;0,R407/L407,0)</f>
        <v/>
      </c>
      <c r="U407" s="3" t="inlineStr">
        <is>
          <t>21/05/2026 19:18:46</t>
        </is>
      </c>
    </row>
    <row r="408">
      <c r="A408" s="3" t="inlineStr">
        <is>
          <t>584133495932487307</t>
        </is>
      </c>
      <c r="B408" s="3" t="inlineStr">
        <is>
          <t>已完成</t>
        </is>
      </c>
      <c r="C408" s="3" t="inlineStr">
        <is>
          <t>CK</t>
        </is>
      </c>
      <c r="D408" s="3" t="inlineStr">
        <is>
          <t>黑松露黑麦苏打饼干</t>
        </is>
      </c>
      <c r="E40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08" s="3" t="inlineStr">
        <is>
          <t>ค่าเริ่มต้น</t>
        </is>
      </c>
      <c r="G408" s="6" t="n">
        <v>1</v>
      </c>
      <c r="H408" s="6" t="n">
        <v>55</v>
      </c>
      <c r="I408" s="6" t="n">
        <v>50</v>
      </c>
      <c r="J408" s="6" t="n">
        <v>35</v>
      </c>
      <c r="K408" s="6">
        <f>H408+I408</f>
        <v/>
      </c>
      <c r="L408" s="5">
        <f>K408/4.7</f>
        <v/>
      </c>
      <c r="M408" s="6" t="n">
        <v>10.72665050209467</v>
      </c>
      <c r="N408" s="6" t="n">
        <v>1</v>
      </c>
      <c r="O408" s="6">
        <f>(K408*0.1229+1.05)/4.7</f>
        <v/>
      </c>
      <c r="P408" s="6">
        <f>K408*0.0749/4.7</f>
        <v/>
      </c>
      <c r="Q408" s="5">
        <f>M408+N408+O408+P408</f>
        <v/>
      </c>
      <c r="R408" s="5">
        <f>L408-Q408</f>
        <v/>
      </c>
      <c r="S408" s="6">
        <f>R408*4.7</f>
        <v/>
      </c>
      <c r="T408" s="7">
        <f>IF(L408&gt;0,R408/L408,0)</f>
        <v/>
      </c>
      <c r="U408" s="3" t="inlineStr">
        <is>
          <t>21/05/2026 19:16:26</t>
        </is>
      </c>
    </row>
    <row r="409">
      <c r="A409" s="3" t="inlineStr">
        <is>
          <t>584132413911369352</t>
        </is>
      </c>
      <c r="B409" s="3" t="inlineStr">
        <is>
          <t>已发货</t>
        </is>
      </c>
      <c r="C409" s="3" t="inlineStr">
        <is>
          <t>C1</t>
        </is>
      </c>
      <c r="D409" s="3" t="inlineStr">
        <is>
          <t>魔芋笋1大袋</t>
        </is>
      </c>
      <c r="E4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9" s="3" t="inlineStr">
        <is>
          <t>รสเผ็ดหอม​, 10 ซอง 200g</t>
        </is>
      </c>
      <c r="G409" s="6" t="n">
        <v>1</v>
      </c>
      <c r="H409" s="6" t="n">
        <v>69</v>
      </c>
      <c r="I409" s="6" t="n">
        <v>0</v>
      </c>
      <c r="J409" s="6" t="n">
        <v>38</v>
      </c>
      <c r="K409" s="6">
        <f>H409+I409</f>
        <v/>
      </c>
      <c r="L409" s="5">
        <f>K409/4.7</f>
        <v/>
      </c>
      <c r="M409" s="6" t="n">
        <v>6.699999999999999</v>
      </c>
      <c r="N409" s="6" t="n">
        <v>1</v>
      </c>
      <c r="O409" s="6">
        <f>(K409*0.1229+1.05)/4.7</f>
        <v/>
      </c>
      <c r="P409" s="6">
        <f>K409*0.0749/4.7</f>
        <v/>
      </c>
      <c r="Q409" s="5">
        <f>M409+N409+O409+P409</f>
        <v/>
      </c>
      <c r="R409" s="5">
        <f>L409-Q409</f>
        <v/>
      </c>
      <c r="S409" s="6">
        <f>R409*4.7</f>
        <v/>
      </c>
      <c r="T409" s="7">
        <f>IF(L409&gt;0,R409/L409,0)</f>
        <v/>
      </c>
      <c r="U409" s="3" t="inlineStr">
        <is>
          <t>21/05/2026 17:58:52</t>
        </is>
      </c>
    </row>
    <row r="410">
      <c r="A410" s="3" t="inlineStr">
        <is>
          <t>584132346534397040</t>
        </is>
      </c>
      <c r="B410" s="3" t="inlineStr">
        <is>
          <t>已取消</t>
        </is>
      </c>
      <c r="C410" s="3" t="inlineStr">
        <is>
          <t>C1</t>
        </is>
      </c>
      <c r="D410" s="3" t="inlineStr">
        <is>
          <t>魔芋笋1大袋</t>
        </is>
      </c>
      <c r="E4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0" s="3" t="inlineStr">
        <is>
          <t>รสเผ็ดหอม​, 10 ซอง 200g</t>
        </is>
      </c>
      <c r="G410" s="6" t="n">
        <v>1</v>
      </c>
      <c r="H410" s="6" t="n">
        <v>78</v>
      </c>
      <c r="I410" s="6" t="n">
        <v>0</v>
      </c>
      <c r="J410" s="6" t="n">
        <v>20</v>
      </c>
      <c r="K410" s="6">
        <f>H410+I410</f>
        <v/>
      </c>
      <c r="L410" s="5">
        <f>K410/4.7</f>
        <v/>
      </c>
      <c r="M410" s="6" t="n">
        <v>6.699999999999999</v>
      </c>
      <c r="N410" s="6" t="n">
        <v>1</v>
      </c>
      <c r="O410" s="6">
        <f>(K410*0.1229+1.05)/4.7</f>
        <v/>
      </c>
      <c r="P410" s="6">
        <f>K410*0.0749/4.7</f>
        <v/>
      </c>
      <c r="Q410" s="5">
        <f>M410+N410+O410+P410</f>
        <v/>
      </c>
      <c r="R410" s="5">
        <f>L410-Q410</f>
        <v/>
      </c>
      <c r="S410" s="6">
        <f>R410*4.7</f>
        <v/>
      </c>
      <c r="T410" s="7">
        <f>IF(L410&gt;0,R410/L410,0)</f>
        <v/>
      </c>
      <c r="U410" s="3" t="inlineStr">
        <is>
          <t>21/05/2026 17:54:55</t>
        </is>
      </c>
    </row>
    <row r="411">
      <c r="A411" s="3" t="inlineStr">
        <is>
          <t>584131470142702789</t>
        </is>
      </c>
      <c r="B411" s="3" t="inlineStr">
        <is>
          <t>已发货</t>
        </is>
      </c>
      <c r="C411" s="3" t="inlineStr">
        <is>
          <t>C1</t>
        </is>
      </c>
      <c r="D411" s="3" t="inlineStr">
        <is>
          <t>魔芋笋1大袋</t>
        </is>
      </c>
      <c r="E4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1" s="3" t="inlineStr">
        <is>
          <t>รสเผ็ดหอม​, 10 ซอง 200g</t>
        </is>
      </c>
      <c r="G411" s="6" t="n">
        <v>1</v>
      </c>
      <c r="H411" s="6" t="n">
        <v>69</v>
      </c>
      <c r="I411" s="6" t="n">
        <v>0</v>
      </c>
      <c r="J411" s="6" t="n">
        <v>38</v>
      </c>
      <c r="K411" s="6">
        <f>H411+I411</f>
        <v/>
      </c>
      <c r="L411" s="5">
        <f>K411/4.7</f>
        <v/>
      </c>
      <c r="M411" s="6" t="n">
        <v>6.699999999999999</v>
      </c>
      <c r="N411" s="6" t="n">
        <v>1</v>
      </c>
      <c r="O411" s="6">
        <f>(K411*0.1229+1.05)/4.7</f>
        <v/>
      </c>
      <c r="P411" s="6">
        <f>K411*0.0749/4.7</f>
        <v/>
      </c>
      <c r="Q411" s="5">
        <f>M411+N411+O411+P411</f>
        <v/>
      </c>
      <c r="R411" s="5">
        <f>L411-Q411</f>
        <v/>
      </c>
      <c r="S411" s="6">
        <f>R411*4.7</f>
        <v/>
      </c>
      <c r="T411" s="7">
        <f>IF(L411&gt;0,R411/L411,0)</f>
        <v/>
      </c>
      <c r="U411" s="3" t="inlineStr">
        <is>
          <t>21/05/2026 16:48:24</t>
        </is>
      </c>
    </row>
    <row r="412">
      <c r="A412" s="3" t="inlineStr">
        <is>
          <t>584131427938568057</t>
        </is>
      </c>
      <c r="B412" s="3" t="inlineStr">
        <is>
          <t>已发货</t>
        </is>
      </c>
      <c r="C412" s="3" t="inlineStr">
        <is>
          <t>CK</t>
        </is>
      </c>
      <c r="D412" s="3" t="inlineStr">
        <is>
          <t>黑松露黑麦苏打饼干</t>
        </is>
      </c>
      <c r="E41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12" s="3" t="inlineStr">
        <is>
          <t>ค่าเริ่มต้น</t>
        </is>
      </c>
      <c r="G412" s="6" t="n">
        <v>2</v>
      </c>
      <c r="H412" s="6" t="n">
        <v>194.5</v>
      </c>
      <c r="I412" s="6" t="n">
        <v>0</v>
      </c>
      <c r="J412" s="6" t="n">
        <v>35</v>
      </c>
      <c r="K412" s="6">
        <f>H412+I412</f>
        <v/>
      </c>
      <c r="L412" s="5">
        <f>K412/4.7</f>
        <v/>
      </c>
      <c r="M412" s="6" t="n">
        <v>21.45330100418933</v>
      </c>
      <c r="N412" s="6" t="n">
        <v>1</v>
      </c>
      <c r="O412" s="6">
        <f>(K412*0.1229+1.05)/4.7</f>
        <v/>
      </c>
      <c r="P412" s="6">
        <f>K412*0.0749/4.7</f>
        <v/>
      </c>
      <c r="Q412" s="5">
        <f>M412+N412+O412+P412</f>
        <v/>
      </c>
      <c r="R412" s="5">
        <f>L412-Q412</f>
        <v/>
      </c>
      <c r="S412" s="6">
        <f>R412*4.7</f>
        <v/>
      </c>
      <c r="T412" s="7">
        <f>IF(L412&gt;0,R412/L412,0)</f>
        <v/>
      </c>
      <c r="U412" s="3" t="inlineStr">
        <is>
          <t>21/05/2026 16:46:06</t>
        </is>
      </c>
    </row>
    <row r="413">
      <c r="A413" s="3" t="inlineStr">
        <is>
          <t>584130715827144649</t>
        </is>
      </c>
      <c r="B413" s="3" t="inlineStr">
        <is>
          <t>已完成</t>
        </is>
      </c>
      <c r="C413" s="3" t="inlineStr">
        <is>
          <t>ER-B</t>
        </is>
      </c>
      <c r="D413" s="3" t="inlineStr">
        <is>
          <t>广州酒家黄油鸡蛋卷480g</t>
        </is>
      </c>
      <c r="E413" s="3" t="inlineStr">
        <is>
          <t>Egg Roll 2สูตร ทองม้วนไข่กล่องเหล็กพรีเมี่ยม!! GuangZhou Restaurant 454g/480g กล่องล่ะ 24 แท่ง</t>
        </is>
      </c>
      <c r="F413" s="3" t="inlineStr">
        <is>
          <t>Butter สูตรเนยสด พรีเมี่ยม</t>
        </is>
      </c>
      <c r="G413" s="6" t="n">
        <v>1</v>
      </c>
      <c r="H413" s="6" t="n">
        <v>895</v>
      </c>
      <c r="I413" s="6" t="n">
        <v>0</v>
      </c>
      <c r="J413" s="6" t="n">
        <v>54</v>
      </c>
      <c r="K413" s="6">
        <f>H413+I413</f>
        <v/>
      </c>
      <c r="L413" s="5">
        <f>K413/4.7</f>
        <v/>
      </c>
      <c r="M413" s="6" t="n">
        <v>45.49882436351998</v>
      </c>
      <c r="N413" s="6" t="n">
        <v>2</v>
      </c>
      <c r="O413" s="6">
        <f>(K413*0.1229+1.05)/4.7</f>
        <v/>
      </c>
      <c r="P413" s="6">
        <f>K413*0.0749/4.7</f>
        <v/>
      </c>
      <c r="Q413" s="5">
        <f>M413+N413+O413+P413</f>
        <v/>
      </c>
      <c r="R413" s="5">
        <f>L413-Q413</f>
        <v/>
      </c>
      <c r="S413" s="6">
        <f>R413*4.7</f>
        <v/>
      </c>
      <c r="T413" s="7">
        <f>IF(L413&gt;0,R413/L413,0)</f>
        <v/>
      </c>
      <c r="U413" s="3" t="inlineStr">
        <is>
          <t>21/05/2026 15:45:48</t>
        </is>
      </c>
    </row>
    <row r="414">
      <c r="A414" s="3" t="inlineStr">
        <is>
          <t>584130715827144649</t>
        </is>
      </c>
      <c r="B414" s="3" t="inlineStr">
        <is>
          <t>已完成</t>
        </is>
      </c>
      <c r="C414" s="3" t="inlineStr">
        <is>
          <t>ER-A</t>
        </is>
      </c>
      <c r="D414" s="3" t="inlineStr">
        <is>
          <t>广州酒家传统鸡蛋卷454g</t>
        </is>
      </c>
      <c r="E414" s="3" t="inlineStr">
        <is>
          <t>Egg Roll 2สูตร ทองม้วนไข่กล่องเหล็กพรีเมี่ยม!! GuangZhou Restaurant 454g/480g กล่องล่ะ 24 แท่ง</t>
        </is>
      </c>
      <c r="F414" s="3" t="inlineStr">
        <is>
          <t>Traditional สูตรดั้งเดิม ไข่ล้วน</t>
        </is>
      </c>
      <c r="G414" s="6" t="n">
        <v>1</v>
      </c>
      <c r="H414" s="6" t="n">
        <v>895</v>
      </c>
      <c r="I414" s="6" t="n">
        <v>0</v>
      </c>
      <c r="J414" s="6" t="n">
        <v>54</v>
      </c>
      <c r="K414" s="6">
        <f>H414+I414</f>
        <v/>
      </c>
      <c r="L414" s="5">
        <f>K414/4.7</f>
        <v/>
      </c>
      <c r="M414" s="6" t="n">
        <v>40.25338607190941</v>
      </c>
      <c r="N414" s="6" t="n">
        <v>2</v>
      </c>
      <c r="O414" s="6">
        <f>(K414*0.1229+1.05)/4.7</f>
        <v/>
      </c>
      <c r="P414" s="6">
        <f>K414*0.0749/4.7</f>
        <v/>
      </c>
      <c r="Q414" s="5">
        <f>M414+N414+O414+P414</f>
        <v/>
      </c>
      <c r="R414" s="5">
        <f>L414-Q414</f>
        <v/>
      </c>
      <c r="S414" s="6">
        <f>R414*4.7</f>
        <v/>
      </c>
      <c r="T414" s="7">
        <f>IF(L414&gt;0,R414/L414,0)</f>
        <v/>
      </c>
      <c r="U414" s="3" t="inlineStr">
        <is>
          <t>21/05/2026 15:45:48</t>
        </is>
      </c>
    </row>
    <row r="415">
      <c r="A415" s="3" t="inlineStr">
        <is>
          <t>584130715827144649</t>
        </is>
      </c>
      <c r="B415" s="3" t="inlineStr">
        <is>
          <t>已完成</t>
        </is>
      </c>
      <c r="C415" s="3" t="inlineStr">
        <is>
          <t>Js36</t>
        </is>
      </c>
      <c r="D415" s="3" t="inlineStr">
        <is>
          <t>果冻36个</t>
        </is>
      </c>
      <c r="E415" s="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F415" s="3" t="inlineStr">
        <is>
          <t>36 ซอง / 576 กรัม (คละ 3 รสชาติ)</t>
        </is>
      </c>
      <c r="G415" s="6" t="n">
        <v>1</v>
      </c>
      <c r="H415" s="6" t="n">
        <v>895</v>
      </c>
      <c r="I415" s="6" t="n">
        <v>0</v>
      </c>
      <c r="J415" s="6" t="n">
        <v>54</v>
      </c>
      <c r="K415" s="6">
        <f>H415+I415</f>
        <v/>
      </c>
      <c r="L415" s="5">
        <f>K415/4.7</f>
        <v/>
      </c>
      <c r="M415" s="6" t="n">
        <v>24</v>
      </c>
      <c r="N415" s="6" t="n">
        <v>1</v>
      </c>
      <c r="O415" s="6">
        <f>(K415*0.1229+1.05)/4.7</f>
        <v/>
      </c>
      <c r="P415" s="6">
        <f>K415*0.0749/4.7</f>
        <v/>
      </c>
      <c r="Q415" s="5">
        <f>M415+N415+O415+P415</f>
        <v/>
      </c>
      <c r="R415" s="5">
        <f>L415-Q415</f>
        <v/>
      </c>
      <c r="S415" s="6">
        <f>R415*4.7</f>
        <v/>
      </c>
      <c r="T415" s="7">
        <f>IF(L415&gt;0,R415/L415,0)</f>
        <v/>
      </c>
      <c r="U415" s="3" t="inlineStr">
        <is>
          <t>21/05/2026 15:45:48</t>
        </is>
      </c>
    </row>
    <row r="416">
      <c r="A416" s="3" t="inlineStr">
        <is>
          <t>584130532460365632</t>
        </is>
      </c>
      <c r="B416" s="3" t="inlineStr">
        <is>
          <t>已完成</t>
        </is>
      </c>
      <c r="C416" s="3" t="inlineStr">
        <is>
          <t>C1</t>
        </is>
      </c>
      <c r="D416" s="3" t="inlineStr">
        <is>
          <t>魔芋笋1大袋</t>
        </is>
      </c>
      <c r="E4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6" s="3" t="inlineStr">
        <is>
          <t>รสเผ็ดหอม​, 10 ซอง 200g</t>
        </is>
      </c>
      <c r="G416" s="6" t="n">
        <v>3</v>
      </c>
      <c r="H416" s="6" t="n">
        <v>202</v>
      </c>
      <c r="I416" s="6" t="n">
        <v>0</v>
      </c>
      <c r="J416" s="6" t="n">
        <v>98</v>
      </c>
      <c r="K416" s="6">
        <f>H416+I416</f>
        <v/>
      </c>
      <c r="L416" s="5">
        <f>K416/4.7</f>
        <v/>
      </c>
      <c r="M416" s="6" t="n">
        <v>20.1</v>
      </c>
      <c r="N416" s="6" t="n">
        <v>1</v>
      </c>
      <c r="O416" s="6">
        <f>(K416*0.1229+1.05)/4.7</f>
        <v/>
      </c>
      <c r="P416" s="6">
        <f>K416*0.0749/4.7</f>
        <v/>
      </c>
      <c r="Q416" s="5">
        <f>M416+N416+O416+P416</f>
        <v/>
      </c>
      <c r="R416" s="5">
        <f>L416-Q416</f>
        <v/>
      </c>
      <c r="S416" s="6">
        <f>R416*4.7</f>
        <v/>
      </c>
      <c r="T416" s="7">
        <f>IF(L416&gt;0,R416/L416,0)</f>
        <v/>
      </c>
      <c r="U416" s="3" t="inlineStr">
        <is>
          <t>21/05/2026 15:30:41</t>
        </is>
      </c>
    </row>
    <row r="417">
      <c r="A417" s="3" t="inlineStr">
        <is>
          <t>584129849512527505</t>
        </is>
      </c>
      <c r="B417" s="3" t="inlineStr">
        <is>
          <t>已完成</t>
        </is>
      </c>
      <c r="C417" s="3" t="inlineStr">
        <is>
          <t>C1</t>
        </is>
      </c>
      <c r="D417" s="3" t="inlineStr">
        <is>
          <t>魔芋笋1大袋</t>
        </is>
      </c>
      <c r="E4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7" s="3" t="inlineStr">
        <is>
          <t>รสเผ็ดหอม​, 10 ซอง 200g</t>
        </is>
      </c>
      <c r="G417" s="6" t="n">
        <v>1</v>
      </c>
      <c r="H417" s="6" t="n">
        <v>69</v>
      </c>
      <c r="I417" s="6" t="n">
        <v>0</v>
      </c>
      <c r="J417" s="6" t="n">
        <v>35</v>
      </c>
      <c r="K417" s="6">
        <f>H417+I417</f>
        <v/>
      </c>
      <c r="L417" s="5">
        <f>K417/4.7</f>
        <v/>
      </c>
      <c r="M417" s="6" t="n">
        <v>6.699999999999999</v>
      </c>
      <c r="N417" s="6" t="n">
        <v>1</v>
      </c>
      <c r="O417" s="6">
        <f>(K417*0.1229+1.05)/4.7</f>
        <v/>
      </c>
      <c r="P417" s="6">
        <f>K417*0.0749/4.7</f>
        <v/>
      </c>
      <c r="Q417" s="5">
        <f>M417+N417+O417+P417</f>
        <v/>
      </c>
      <c r="R417" s="5">
        <f>L417-Q417</f>
        <v/>
      </c>
      <c r="S417" s="6">
        <f>R417*4.7</f>
        <v/>
      </c>
      <c r="T417" s="7">
        <f>IF(L417&gt;0,R417/L417,0)</f>
        <v/>
      </c>
      <c r="U417" s="3" t="inlineStr">
        <is>
          <t>21/05/2026 14:40:03</t>
        </is>
      </c>
    </row>
    <row r="418">
      <c r="A418" s="3" t="inlineStr">
        <is>
          <t>584129845769176696</t>
        </is>
      </c>
      <c r="B418" s="3" t="inlineStr">
        <is>
          <t>已完成</t>
        </is>
      </c>
      <c r="C418" s="3" t="inlineStr">
        <is>
          <t>B3</t>
        </is>
      </c>
      <c r="D418" s="3" t="inlineStr">
        <is>
          <t>魔芋笋3大袋</t>
        </is>
      </c>
      <c r="E4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8" s="3" t="inlineStr">
        <is>
          <t>รสเปรี้ยวเผ็ด​, 30 ซอง 600g</t>
        </is>
      </c>
      <c r="G418" s="6" t="n">
        <v>1</v>
      </c>
      <c r="H418" s="6" t="n">
        <v>146.2</v>
      </c>
      <c r="I418" s="6" t="n">
        <v>25.8</v>
      </c>
      <c r="J418" s="6" t="n">
        <v>35</v>
      </c>
      <c r="K418" s="6">
        <f>H418+I418</f>
        <v/>
      </c>
      <c r="L418" s="5">
        <f>K418/4.7</f>
        <v/>
      </c>
      <c r="M418" s="6" t="n">
        <v>20.1</v>
      </c>
      <c r="N418" s="6" t="n">
        <v>1</v>
      </c>
      <c r="O418" s="6">
        <f>(K418*0.1229+1.05)/4.7</f>
        <v/>
      </c>
      <c r="P418" s="6">
        <f>K418*0.0749/4.7</f>
        <v/>
      </c>
      <c r="Q418" s="5">
        <f>M418+N418+O418+P418</f>
        <v/>
      </c>
      <c r="R418" s="5">
        <f>L418-Q418</f>
        <v/>
      </c>
      <c r="S418" s="6">
        <f>R418*4.7</f>
        <v/>
      </c>
      <c r="T418" s="7">
        <f>IF(L418&gt;0,R418/L418,0)</f>
        <v/>
      </c>
      <c r="U418" s="3" t="inlineStr">
        <is>
          <t>21/05/2026 14:38:01</t>
        </is>
      </c>
    </row>
    <row r="419">
      <c r="A419" s="3" t="inlineStr">
        <is>
          <t>584128677591287507</t>
        </is>
      </c>
      <c r="B419" s="3" t="inlineStr">
        <is>
          <t>已完成</t>
        </is>
      </c>
      <c r="C419" s="3" t="inlineStr">
        <is>
          <t>B2</t>
        </is>
      </c>
      <c r="D419" s="3" t="inlineStr">
        <is>
          <t>魔芋笋2大袋</t>
        </is>
      </c>
      <c r="E4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9" s="3" t="inlineStr">
        <is>
          <t>รสเปรี้ยวเผ็ด​, 20 ซอง 400g</t>
        </is>
      </c>
      <c r="G419" s="6" t="n">
        <v>1</v>
      </c>
      <c r="H419" s="6" t="n">
        <v>125</v>
      </c>
      <c r="I419" s="6" t="n">
        <v>0</v>
      </c>
      <c r="J419" s="6" t="n">
        <v>38</v>
      </c>
      <c r="K419" s="6">
        <f>H419+I419</f>
        <v/>
      </c>
      <c r="L419" s="5">
        <f>K419/4.7</f>
        <v/>
      </c>
      <c r="M419" s="6" t="n">
        <v>13.4</v>
      </c>
      <c r="N419" s="6" t="n">
        <v>1</v>
      </c>
      <c r="O419" s="6">
        <f>(K419*0.1229+1.05)/4.7</f>
        <v/>
      </c>
      <c r="P419" s="6">
        <f>K419*0.0749/4.7</f>
        <v/>
      </c>
      <c r="Q419" s="5">
        <f>M419+N419+O419+P419</f>
        <v/>
      </c>
      <c r="R419" s="5">
        <f>L419-Q419</f>
        <v/>
      </c>
      <c r="S419" s="6">
        <f>R419*4.7</f>
        <v/>
      </c>
      <c r="T419" s="7">
        <f>IF(L419&gt;0,R419/L419,0)</f>
        <v/>
      </c>
      <c r="U419" s="3" t="inlineStr">
        <is>
          <t>21/05/2026 13:09:53</t>
        </is>
      </c>
    </row>
    <row r="420">
      <c r="A420" s="3" t="inlineStr">
        <is>
          <t>584128230564333387</t>
        </is>
      </c>
      <c r="B420" s="3" t="inlineStr">
        <is>
          <t>已完成</t>
        </is>
      </c>
      <c r="C420" s="3" t="inlineStr">
        <is>
          <t>C3</t>
        </is>
      </c>
      <c r="D420" s="3" t="inlineStr">
        <is>
          <t>魔芋笋3大袋</t>
        </is>
      </c>
      <c r="E4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0" s="3" t="inlineStr">
        <is>
          <t>รสเผ็ดหอม​, 30 ซอง 600g</t>
        </is>
      </c>
      <c r="G420" s="6" t="n">
        <v>1</v>
      </c>
      <c r="H420" s="6" t="n">
        <v>167</v>
      </c>
      <c r="I420" s="6" t="n">
        <v>0</v>
      </c>
      <c r="J420" s="6" t="n">
        <v>38</v>
      </c>
      <c r="K420" s="6">
        <f>H420+I420</f>
        <v/>
      </c>
      <c r="L420" s="5">
        <f>K420/4.7</f>
        <v/>
      </c>
      <c r="M420" s="6" t="n">
        <v>20.1</v>
      </c>
      <c r="N420" s="6" t="n">
        <v>1</v>
      </c>
      <c r="O420" s="6">
        <f>(K420*0.1229+1.05)/4.7</f>
        <v/>
      </c>
      <c r="P420" s="6">
        <f>K420*0.0749/4.7</f>
        <v/>
      </c>
      <c r="Q420" s="5">
        <f>M420+N420+O420+P420</f>
        <v/>
      </c>
      <c r="R420" s="5">
        <f>L420-Q420</f>
        <v/>
      </c>
      <c r="S420" s="6">
        <f>R420*4.7</f>
        <v/>
      </c>
      <c r="T420" s="7">
        <f>IF(L420&gt;0,R420/L420,0)</f>
        <v/>
      </c>
      <c r="U420" s="3" t="inlineStr">
        <is>
          <t>21/05/2026 12:37:18</t>
        </is>
      </c>
    </row>
    <row r="421">
      <c r="A421" s="3" t="inlineStr">
        <is>
          <t>584126685352920462</t>
        </is>
      </c>
      <c r="B421" s="3" t="inlineStr">
        <is>
          <t>已完成</t>
        </is>
      </c>
      <c r="C421" s="3" t="inlineStr">
        <is>
          <t>B1</t>
        </is>
      </c>
      <c r="D421" s="3" t="inlineStr">
        <is>
          <t>魔芋笋1大袋</t>
        </is>
      </c>
      <c r="E4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1" s="3" t="inlineStr">
        <is>
          <t>รสเปรี้ยวเผ็ด​, 10 ซอง 200g</t>
        </is>
      </c>
      <c r="G421" s="6" t="n">
        <v>1</v>
      </c>
      <c r="H421" s="6" t="n">
        <v>69</v>
      </c>
      <c r="I421" s="6" t="n">
        <v>0</v>
      </c>
      <c r="J421" s="6" t="n">
        <v>35</v>
      </c>
      <c r="K421" s="6">
        <f>H421+I421</f>
        <v/>
      </c>
      <c r="L421" s="5">
        <f>K421/4.7</f>
        <v/>
      </c>
      <c r="M421" s="6" t="n">
        <v>6.699999999999999</v>
      </c>
      <c r="N421" s="6" t="n">
        <v>1</v>
      </c>
      <c r="O421" s="6">
        <f>(K421*0.1229+1.05)/4.7</f>
        <v/>
      </c>
      <c r="P421" s="6">
        <f>K421*0.0749/4.7</f>
        <v/>
      </c>
      <c r="Q421" s="5">
        <f>M421+N421+O421+P421</f>
        <v/>
      </c>
      <c r="R421" s="5">
        <f>L421-Q421</f>
        <v/>
      </c>
      <c r="S421" s="6">
        <f>R421*4.7</f>
        <v/>
      </c>
      <c r="T421" s="7">
        <f>IF(L421&gt;0,R421/L421,0)</f>
        <v/>
      </c>
      <c r="U421" s="3" t="inlineStr">
        <is>
          <t>21/05/2026 10:48:05</t>
        </is>
      </c>
    </row>
    <row r="422">
      <c r="A422" s="3" t="inlineStr">
        <is>
          <t>584125903111030704</t>
        </is>
      </c>
      <c r="B422" s="3" t="inlineStr">
        <is>
          <t>已完成</t>
        </is>
      </c>
      <c r="C422" s="3" t="inlineStr">
        <is>
          <t>C2</t>
        </is>
      </c>
      <c r="D422" s="3" t="inlineStr">
        <is>
          <t>魔芋笋2大袋</t>
        </is>
      </c>
      <c r="E4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2" s="3" t="inlineStr">
        <is>
          <t>รสเผ็ดหอม​, 20 ซอง 400g</t>
        </is>
      </c>
      <c r="G422" s="6" t="n">
        <v>1</v>
      </c>
      <c r="H422" s="6" t="n">
        <v>120</v>
      </c>
      <c r="I422" s="6" t="n">
        <v>0</v>
      </c>
      <c r="J422" s="6" t="n">
        <v>38</v>
      </c>
      <c r="K422" s="6">
        <f>H422+I422</f>
        <v/>
      </c>
      <c r="L422" s="5">
        <f>K422/4.7</f>
        <v/>
      </c>
      <c r="M422" s="6" t="n">
        <v>13.4</v>
      </c>
      <c r="N422" s="6" t="n">
        <v>1</v>
      </c>
      <c r="O422" s="6">
        <f>(K422*0.1229+1.05)/4.7</f>
        <v/>
      </c>
      <c r="P422" s="6">
        <f>K422*0.0749/4.7</f>
        <v/>
      </c>
      <c r="Q422" s="5">
        <f>M422+N422+O422+P422</f>
        <v/>
      </c>
      <c r="R422" s="5">
        <f>L422-Q422</f>
        <v/>
      </c>
      <c r="S422" s="6">
        <f>R422*4.7</f>
        <v/>
      </c>
      <c r="T422" s="7">
        <f>IF(L422&gt;0,R422/L422,0)</f>
        <v/>
      </c>
      <c r="U422" s="3" t="inlineStr">
        <is>
          <t>21/05/2026 09:50:10</t>
        </is>
      </c>
    </row>
    <row r="423">
      <c r="A423" s="3" t="inlineStr">
        <is>
          <t>584125911713941395</t>
        </is>
      </c>
      <c r="B423" s="3" t="inlineStr">
        <is>
          <t>已完成</t>
        </is>
      </c>
      <c r="C423" s="3" t="inlineStr">
        <is>
          <t>ER-B</t>
        </is>
      </c>
      <c r="D423" s="3" t="inlineStr">
        <is>
          <t>广州酒家黄油鸡蛋卷480g</t>
        </is>
      </c>
      <c r="E423" s="3" t="inlineStr">
        <is>
          <t>Egg Roll 2สูตร ทองม้วนไข่กล่องเหล็กพรีเมี่ยม!! GuangZhou Restaurant 454g/480g กล่องล่ะ 24 แท่ง</t>
        </is>
      </c>
      <c r="F423" s="3" t="inlineStr">
        <is>
          <t>Butter สูตรเนยสด พรีเมี่ยม</t>
        </is>
      </c>
      <c r="G423" s="6" t="n">
        <v>1</v>
      </c>
      <c r="H423" s="6" t="n">
        <v>360</v>
      </c>
      <c r="I423" s="6" t="n">
        <v>0</v>
      </c>
      <c r="J423" s="6" t="n">
        <v>35</v>
      </c>
      <c r="K423" s="6">
        <f>H423+I423</f>
        <v/>
      </c>
      <c r="L423" s="5">
        <f>K423/4.7</f>
        <v/>
      </c>
      <c r="M423" s="6" t="n">
        <v>45.49882436351998</v>
      </c>
      <c r="N423" s="6" t="n">
        <v>2</v>
      </c>
      <c r="O423" s="6">
        <f>(K423*0.1229+1.05)/4.7</f>
        <v/>
      </c>
      <c r="P423" s="6">
        <f>K423*0.0749/4.7</f>
        <v/>
      </c>
      <c r="Q423" s="5">
        <f>M423+N423+O423+P423</f>
        <v/>
      </c>
      <c r="R423" s="5">
        <f>L423-Q423</f>
        <v/>
      </c>
      <c r="S423" s="6">
        <f>R423*4.7</f>
        <v/>
      </c>
      <c r="T423" s="7">
        <f>IF(L423&gt;0,R423/L423,0)</f>
        <v/>
      </c>
      <c r="U423" s="3" t="inlineStr">
        <is>
          <t>21/05/2026 09:49:34</t>
        </is>
      </c>
    </row>
    <row r="424">
      <c r="A424" s="3" t="inlineStr">
        <is>
          <t>584125811106940678</t>
        </is>
      </c>
      <c r="B424" s="3" t="inlineStr">
        <is>
          <t>已取消</t>
        </is>
      </c>
      <c r="C424" s="3" t="inlineStr">
        <is>
          <t>B1</t>
        </is>
      </c>
      <c r="D424" s="3" t="inlineStr">
        <is>
          <t>魔芋笋1大袋</t>
        </is>
      </c>
      <c r="E424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24" s="3" t="inlineStr">
        <is>
          <t>รสเปรี้ยวเผ็ด​, 1pcs   200g</t>
        </is>
      </c>
      <c r="G424" s="6" t="n">
        <v>1</v>
      </c>
      <c r="H424" s="6" t="n">
        <v>60</v>
      </c>
      <c r="I424" s="6" t="n">
        <v>0</v>
      </c>
      <c r="J424" s="6" t="n">
        <v>38</v>
      </c>
      <c r="K424" s="6">
        <f>H424+I424</f>
        <v/>
      </c>
      <c r="L424" s="5">
        <f>K424/4.7</f>
        <v/>
      </c>
      <c r="M424" s="6" t="n">
        <v>6.699999999999999</v>
      </c>
      <c r="N424" s="6" t="n">
        <v>1</v>
      </c>
      <c r="O424" s="6">
        <f>(K424*0.1229+1.05)/4.7</f>
        <v/>
      </c>
      <c r="P424" s="6">
        <f>K424*0.0749/4.7</f>
        <v/>
      </c>
      <c r="Q424" s="5">
        <f>M424+N424+O424+P424</f>
        <v/>
      </c>
      <c r="R424" s="5">
        <f>L424-Q424</f>
        <v/>
      </c>
      <c r="S424" s="6">
        <f>R424*4.7</f>
        <v/>
      </c>
      <c r="T424" s="7">
        <f>IF(L424&gt;0,R424/L424,0)</f>
        <v/>
      </c>
      <c r="U424" s="3" t="inlineStr">
        <is>
          <t>21/05/2026 09:38:35</t>
        </is>
      </c>
    </row>
    <row r="425">
      <c r="A425" s="3" t="inlineStr">
        <is>
          <t>584125799010109190</t>
        </is>
      </c>
      <c r="B425" s="3" t="inlineStr">
        <is>
          <t>已完成</t>
        </is>
      </c>
      <c r="C425" s="3" t="inlineStr">
        <is>
          <t>C1</t>
        </is>
      </c>
      <c r="D425" s="3" t="inlineStr">
        <is>
          <t>魔芋笋1大袋</t>
        </is>
      </c>
      <c r="E425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25" s="3" t="inlineStr">
        <is>
          <t>รสเผ็ดหอม​, 1pcs   200g</t>
        </is>
      </c>
      <c r="G425" s="6" t="n">
        <v>1</v>
      </c>
      <c r="H425" s="6" t="n">
        <v>60</v>
      </c>
      <c r="I425" s="6" t="n">
        <v>0</v>
      </c>
      <c r="J425" s="6" t="n">
        <v>38</v>
      </c>
      <c r="K425" s="6">
        <f>H425+I425</f>
        <v/>
      </c>
      <c r="L425" s="5">
        <f>K425/4.7</f>
        <v/>
      </c>
      <c r="M425" s="6" t="n">
        <v>6.699999999999999</v>
      </c>
      <c r="N425" s="6" t="n">
        <v>1</v>
      </c>
      <c r="O425" s="6">
        <f>(K425*0.1229+1.05)/4.7</f>
        <v/>
      </c>
      <c r="P425" s="6">
        <f>K425*0.0749/4.7</f>
        <v/>
      </c>
      <c r="Q425" s="5">
        <f>M425+N425+O425+P425</f>
        <v/>
      </c>
      <c r="R425" s="5">
        <f>L425-Q425</f>
        <v/>
      </c>
      <c r="S425" s="6">
        <f>R425*4.7</f>
        <v/>
      </c>
      <c r="T425" s="7">
        <f>IF(L425&gt;0,R425/L425,0)</f>
        <v/>
      </c>
      <c r="U425" s="3" t="inlineStr">
        <is>
          <t>21/05/2026 09:38:20</t>
        </is>
      </c>
    </row>
    <row r="426">
      <c r="A426" s="3" t="inlineStr">
        <is>
          <t>584125235141314276</t>
        </is>
      </c>
      <c r="B426" s="3" t="inlineStr">
        <is>
          <t>已取消</t>
        </is>
      </c>
      <c r="C426" s="3" t="inlineStr">
        <is>
          <t>C1</t>
        </is>
      </c>
      <c r="D426" s="3" t="inlineStr">
        <is>
          <t>魔芋笋1大袋</t>
        </is>
      </c>
      <c r="E4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6" s="3" t="inlineStr">
        <is>
          <t>รสเผ็ดหอม​, 10 ซอง 200g</t>
        </is>
      </c>
      <c r="G426" s="6" t="n">
        <v>1</v>
      </c>
      <c r="H426" s="6" t="n">
        <v>58.65</v>
      </c>
      <c r="I426" s="6" t="n">
        <v>10.35</v>
      </c>
      <c r="J426" s="6" t="n">
        <v>38</v>
      </c>
      <c r="K426" s="6">
        <f>H426+I426</f>
        <v/>
      </c>
      <c r="L426" s="5">
        <f>K426/4.7</f>
        <v/>
      </c>
      <c r="M426" s="6" t="n">
        <v>6.699999999999999</v>
      </c>
      <c r="N426" s="6" t="n">
        <v>1</v>
      </c>
      <c r="O426" s="6">
        <f>(K426*0.1229+1.05)/4.7</f>
        <v/>
      </c>
      <c r="P426" s="6">
        <f>K426*0.0749/4.7</f>
        <v/>
      </c>
      <c r="Q426" s="5">
        <f>M426+N426+O426+P426</f>
        <v/>
      </c>
      <c r="R426" s="5">
        <f>L426-Q426</f>
        <v/>
      </c>
      <c r="S426" s="6">
        <f>R426*4.7</f>
        <v/>
      </c>
      <c r="T426" s="7">
        <f>IF(L426&gt;0,R426/L426,0)</f>
        <v/>
      </c>
      <c r="U426" s="3" t="inlineStr">
        <is>
          <t>21/05/2026 09:02:38</t>
        </is>
      </c>
    </row>
    <row r="427">
      <c r="A427" s="3" t="inlineStr">
        <is>
          <t>584124118715696291</t>
        </is>
      </c>
      <c r="B427" s="3" t="inlineStr">
        <is>
          <t>已完成</t>
        </is>
      </c>
      <c r="C427" s="3" t="inlineStr">
        <is>
          <t>C1</t>
        </is>
      </c>
      <c r="D427" s="3" t="inlineStr">
        <is>
          <t>魔芋笋1大袋</t>
        </is>
      </c>
      <c r="E4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7" s="3" t="inlineStr">
        <is>
          <t>รสเผ็ดหอม​, 10 ซอง 200g</t>
        </is>
      </c>
      <c r="G427" s="6" t="n">
        <v>1</v>
      </c>
      <c r="H427" s="6" t="n">
        <v>158</v>
      </c>
      <c r="I427" s="6" t="n">
        <v>0</v>
      </c>
      <c r="J427" s="6" t="n">
        <v>28</v>
      </c>
      <c r="K427" s="6">
        <f>H427+I427</f>
        <v/>
      </c>
      <c r="L427" s="5">
        <f>K427/4.7</f>
        <v/>
      </c>
      <c r="M427" s="6" t="n">
        <v>6.699999999999999</v>
      </c>
      <c r="N427" s="6" t="n">
        <v>1</v>
      </c>
      <c r="O427" s="6">
        <f>(K427*0.1229+1.05)/4.7</f>
        <v/>
      </c>
      <c r="P427" s="6">
        <f>K427*0.0749/4.7</f>
        <v/>
      </c>
      <c r="Q427" s="5">
        <f>M427+N427+O427+P427</f>
        <v/>
      </c>
      <c r="R427" s="5">
        <f>L427-Q427</f>
        <v/>
      </c>
      <c r="S427" s="6">
        <f>R427*4.7</f>
        <v/>
      </c>
      <c r="T427" s="7">
        <f>IF(L427&gt;0,R427/L427,0)</f>
        <v/>
      </c>
      <c r="U427" s="3" t="inlineStr">
        <is>
          <t>21/05/2026 07:15:49</t>
        </is>
      </c>
    </row>
    <row r="428">
      <c r="A428" s="3" t="inlineStr">
        <is>
          <t>584124118715696291</t>
        </is>
      </c>
      <c r="B428" s="3" t="inlineStr">
        <is>
          <t>已完成</t>
        </is>
      </c>
      <c r="C428" s="3" t="inlineStr">
        <is>
          <t>B1</t>
        </is>
      </c>
      <c r="D428" s="3" t="inlineStr">
        <is>
          <t>魔芋笋1大袋</t>
        </is>
      </c>
      <c r="E4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8" s="3" t="inlineStr">
        <is>
          <t>รสเปรี้ยวเผ็ด​, 10 ซอง 200g</t>
        </is>
      </c>
      <c r="G428" s="6" t="n">
        <v>1</v>
      </c>
      <c r="H428" s="6" t="n">
        <v>158</v>
      </c>
      <c r="I428" s="6" t="n">
        <v>0</v>
      </c>
      <c r="J428" s="6" t="n">
        <v>28</v>
      </c>
      <c r="K428" s="6">
        <f>H428+I428</f>
        <v/>
      </c>
      <c r="L428" s="5">
        <f>K428/4.7</f>
        <v/>
      </c>
      <c r="M428" s="6" t="n">
        <v>6.699999999999999</v>
      </c>
      <c r="N428" s="6" t="n">
        <v>1</v>
      </c>
      <c r="O428" s="6">
        <f>(K428*0.1229+1.05)/4.7</f>
        <v/>
      </c>
      <c r="P428" s="6">
        <f>K428*0.0749/4.7</f>
        <v/>
      </c>
      <c r="Q428" s="5">
        <f>M428+N428+O428+P428</f>
        <v/>
      </c>
      <c r="R428" s="5">
        <f>L428-Q428</f>
        <v/>
      </c>
      <c r="S428" s="6">
        <f>R428*4.7</f>
        <v/>
      </c>
      <c r="T428" s="7">
        <f>IF(L428&gt;0,R428/L428,0)</f>
        <v/>
      </c>
      <c r="U428" s="3" t="inlineStr">
        <is>
          <t>21/05/2026 07:15:49</t>
        </is>
      </c>
    </row>
    <row r="429">
      <c r="A429" s="3" t="inlineStr">
        <is>
          <t>584123987133957752</t>
        </is>
      </c>
      <c r="B429" s="3" t="inlineStr">
        <is>
          <t>已完成</t>
        </is>
      </c>
      <c r="C429" s="3" t="inlineStr">
        <is>
          <t>C3</t>
        </is>
      </c>
      <c r="D429" s="3" t="inlineStr">
        <is>
          <t>魔芋笋3大袋</t>
        </is>
      </c>
      <c r="E4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9" s="3" t="inlineStr">
        <is>
          <t>รสเผ็ดหอม​, 30 ซอง 600g</t>
        </is>
      </c>
      <c r="G429" s="6" t="n">
        <v>1</v>
      </c>
      <c r="H429" s="6" t="n">
        <v>172</v>
      </c>
      <c r="I429" s="6" t="n">
        <v>0</v>
      </c>
      <c r="J429" s="6" t="n">
        <v>35</v>
      </c>
      <c r="K429" s="6">
        <f>H429+I429</f>
        <v/>
      </c>
      <c r="L429" s="5">
        <f>K429/4.7</f>
        <v/>
      </c>
      <c r="M429" s="6" t="n">
        <v>20.1</v>
      </c>
      <c r="N429" s="6" t="n">
        <v>1</v>
      </c>
      <c r="O429" s="6">
        <f>(K429*0.1229+1.05)/4.7</f>
        <v/>
      </c>
      <c r="P429" s="6">
        <f>K429*0.0749/4.7</f>
        <v/>
      </c>
      <c r="Q429" s="5">
        <f>M429+N429+O429+P429</f>
        <v/>
      </c>
      <c r="R429" s="5">
        <f>L429-Q429</f>
        <v/>
      </c>
      <c r="S429" s="6">
        <f>R429*4.7</f>
        <v/>
      </c>
      <c r="T429" s="7">
        <f>IF(L429&gt;0,R429/L429,0)</f>
        <v/>
      </c>
      <c r="U429" s="3" t="inlineStr">
        <is>
          <t>21/05/2026 07:04:48</t>
        </is>
      </c>
    </row>
    <row r="430">
      <c r="A430" s="3" t="inlineStr">
        <is>
          <t>584123868981855864</t>
        </is>
      </c>
      <c r="B430" s="3" t="inlineStr">
        <is>
          <t>已取消</t>
        </is>
      </c>
      <c r="C430" s="3" t="inlineStr">
        <is>
          <t>C1</t>
        </is>
      </c>
      <c r="D430" s="3" t="inlineStr">
        <is>
          <t>魔芋笋1大袋</t>
        </is>
      </c>
      <c r="E4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0" s="3" t="inlineStr">
        <is>
          <t>รสเผ็ดหอม​, 10 ซอง 200g</t>
        </is>
      </c>
      <c r="G430" s="6" t="n">
        <v>3</v>
      </c>
      <c r="H430" s="6" t="n">
        <v>207</v>
      </c>
      <c r="I430" s="6" t="n">
        <v>0</v>
      </c>
      <c r="J430" s="6" t="n">
        <v>48</v>
      </c>
      <c r="K430" s="6">
        <f>H430+I430</f>
        <v/>
      </c>
      <c r="L430" s="5">
        <f>K430/4.7</f>
        <v/>
      </c>
      <c r="M430" s="6" t="n">
        <v>20.1</v>
      </c>
      <c r="N430" s="6" t="n">
        <v>1</v>
      </c>
      <c r="O430" s="6">
        <f>(K430*0.1229+1.05)/4.7</f>
        <v/>
      </c>
      <c r="P430" s="6">
        <f>K430*0.0749/4.7</f>
        <v/>
      </c>
      <c r="Q430" s="5">
        <f>M430+N430+O430+P430</f>
        <v/>
      </c>
      <c r="R430" s="5">
        <f>L430-Q430</f>
        <v/>
      </c>
      <c r="S430" s="6">
        <f>R430*4.7</f>
        <v/>
      </c>
      <c r="T430" s="7">
        <f>IF(L430&gt;0,R430/L430,0)</f>
        <v/>
      </c>
      <c r="U430" s="3" t="inlineStr">
        <is>
          <t>21/05/2026 06:52:44</t>
        </is>
      </c>
    </row>
    <row r="431">
      <c r="A431" s="3" t="inlineStr">
        <is>
          <t>584123442507712403</t>
        </is>
      </c>
      <c r="B431" s="3" t="inlineStr">
        <is>
          <t>已完成</t>
        </is>
      </c>
      <c r="C431" s="3" t="inlineStr">
        <is>
          <t>B5s</t>
        </is>
      </c>
      <c r="D431" s="3" t="inlineStr">
        <is>
          <t>酸辣味5小袋</t>
        </is>
      </c>
      <c r="E4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1" s="3" t="inlineStr">
        <is>
          <t>รสเปรี้ยวเผ็ด​, *ชุดเล็ก 5 ซอง 100g</t>
        </is>
      </c>
      <c r="G431" s="6" t="n">
        <v>1</v>
      </c>
      <c r="H431" s="6" t="n">
        <v>47</v>
      </c>
      <c r="I431" s="6" t="n">
        <v>0</v>
      </c>
      <c r="J431" s="6" t="n">
        <v>38</v>
      </c>
      <c r="K431" s="6">
        <f>H431+I431</f>
        <v/>
      </c>
      <c r="L431" s="5">
        <f>K431/4.7</f>
        <v/>
      </c>
      <c r="M431" s="6" t="n">
        <v>3.35</v>
      </c>
      <c r="N431" s="6" t="n">
        <v>1</v>
      </c>
      <c r="O431" s="6">
        <f>(K431*0.1229+1.05)/4.7</f>
        <v/>
      </c>
      <c r="P431" s="6">
        <f>K431*0.0749/4.7</f>
        <v/>
      </c>
      <c r="Q431" s="5">
        <f>M431+N431+O431+P431</f>
        <v/>
      </c>
      <c r="R431" s="5">
        <f>L431-Q431</f>
        <v/>
      </c>
      <c r="S431" s="6">
        <f>R431*4.7</f>
        <v/>
      </c>
      <c r="T431" s="7">
        <f>IF(L431&gt;0,R431/L431,0)</f>
        <v/>
      </c>
      <c r="U431" s="3" t="inlineStr">
        <is>
          <t>21/05/2026 05:56:52</t>
        </is>
      </c>
    </row>
    <row r="432">
      <c r="A432" s="3" t="inlineStr">
        <is>
          <t>584123429795104659</t>
        </is>
      </c>
      <c r="B432" s="3" t="inlineStr">
        <is>
          <t>已完成</t>
        </is>
      </c>
      <c r="C432" s="3" t="inlineStr">
        <is>
          <t>C5s</t>
        </is>
      </c>
      <c r="D432" s="3" t="inlineStr">
        <is>
          <t>香辣味魔芋笋5小袋</t>
        </is>
      </c>
      <c r="E4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2" s="3" t="inlineStr">
        <is>
          <t>รสเผ็ดหอม​, *ชุดเล็ก 5 ซอง 100g</t>
        </is>
      </c>
      <c r="G432" s="6" t="n">
        <v>1</v>
      </c>
      <c r="H432" s="6" t="n">
        <v>47</v>
      </c>
      <c r="I432" s="6" t="n">
        <v>0</v>
      </c>
      <c r="J432" s="6" t="n">
        <v>38</v>
      </c>
      <c r="K432" s="6">
        <f>H432+I432</f>
        <v/>
      </c>
      <c r="L432" s="5">
        <f>K432/4.7</f>
        <v/>
      </c>
      <c r="M432" s="6" t="n">
        <v>3.35</v>
      </c>
      <c r="N432" s="6" t="n">
        <v>1</v>
      </c>
      <c r="O432" s="6">
        <f>(K432*0.1229+1.05)/4.7</f>
        <v/>
      </c>
      <c r="P432" s="6">
        <f>K432*0.0749/4.7</f>
        <v/>
      </c>
      <c r="Q432" s="5">
        <f>M432+N432+O432+P432</f>
        <v/>
      </c>
      <c r="R432" s="5">
        <f>L432-Q432</f>
        <v/>
      </c>
      <c r="S432" s="6">
        <f>R432*4.7</f>
        <v/>
      </c>
      <c r="T432" s="7">
        <f>IF(L432&gt;0,R432/L432,0)</f>
        <v/>
      </c>
      <c r="U432" s="3" t="inlineStr">
        <is>
          <t>21/05/2026 05:56:08</t>
        </is>
      </c>
    </row>
    <row r="433">
      <c r="A433" s="3" t="inlineStr">
        <is>
          <t>584123425796818039</t>
        </is>
      </c>
      <c r="B433" s="3" t="inlineStr">
        <is>
          <t>已完成</t>
        </is>
      </c>
      <c r="C433" s="3" t="inlineStr">
        <is>
          <t>C3</t>
        </is>
      </c>
      <c r="D433" s="3" t="inlineStr">
        <is>
          <t>魔芋笋3大袋</t>
        </is>
      </c>
      <c r="E4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3" s="3" t="inlineStr">
        <is>
          <t>รสเผ็ดหอม​, 30 ซอง 600g</t>
        </is>
      </c>
      <c r="G433" s="6" t="n">
        <v>1</v>
      </c>
      <c r="H433" s="6" t="n">
        <v>142</v>
      </c>
      <c r="I433" s="6" t="n">
        <v>30</v>
      </c>
      <c r="J433" s="6" t="n">
        <v>35</v>
      </c>
      <c r="K433" s="6">
        <f>H433+I433</f>
        <v/>
      </c>
      <c r="L433" s="5">
        <f>K433/4.7</f>
        <v/>
      </c>
      <c r="M433" s="6" t="n">
        <v>20.1</v>
      </c>
      <c r="N433" s="6" t="n">
        <v>1</v>
      </c>
      <c r="O433" s="6">
        <f>(K433*0.1229+1.05)/4.7</f>
        <v/>
      </c>
      <c r="P433" s="6">
        <f>K433*0.0749/4.7</f>
        <v/>
      </c>
      <c r="Q433" s="5">
        <f>M433+N433+O433+P433</f>
        <v/>
      </c>
      <c r="R433" s="5">
        <f>L433-Q433</f>
        <v/>
      </c>
      <c r="S433" s="6">
        <f>R433*4.7</f>
        <v/>
      </c>
      <c r="T433" s="7">
        <f>IF(L433&gt;0,R433/L433,0)</f>
        <v/>
      </c>
      <c r="U433" s="3" t="inlineStr">
        <is>
          <t>21/05/2026 05:55:44</t>
        </is>
      </c>
    </row>
    <row r="434">
      <c r="A434" s="3" t="inlineStr">
        <is>
          <t>584123388574533579</t>
        </is>
      </c>
      <c r="B434" s="3" t="inlineStr">
        <is>
          <t>已完成</t>
        </is>
      </c>
      <c r="C434" s="3" t="inlineStr">
        <is>
          <t>B3</t>
        </is>
      </c>
      <c r="D434" s="3" t="inlineStr">
        <is>
          <t>魔芋笋3大袋</t>
        </is>
      </c>
      <c r="E4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4" s="3" t="inlineStr">
        <is>
          <t>รสเปรี้ยวเผ็ด​, 30 ซอง 600g</t>
        </is>
      </c>
      <c r="G434" s="6" t="n">
        <v>1</v>
      </c>
      <c r="H434" s="6" t="n">
        <v>260</v>
      </c>
      <c r="I434" s="6" t="n">
        <v>0</v>
      </c>
      <c r="J434" s="6" t="n">
        <v>0</v>
      </c>
      <c r="K434" s="6">
        <f>H434+I434</f>
        <v/>
      </c>
      <c r="L434" s="5">
        <f>K434/4.7</f>
        <v/>
      </c>
      <c r="M434" s="6" t="n">
        <v>20.1</v>
      </c>
      <c r="N434" s="6" t="n">
        <v>1</v>
      </c>
      <c r="O434" s="6">
        <f>(K434*0.1229+1.05)/4.7</f>
        <v/>
      </c>
      <c r="P434" s="6">
        <f>K434*0.0749/4.7</f>
        <v/>
      </c>
      <c r="Q434" s="5">
        <f>M434+N434+O434+P434</f>
        <v/>
      </c>
      <c r="R434" s="5">
        <f>L434-Q434</f>
        <v/>
      </c>
      <c r="S434" s="6">
        <f>R434*4.7</f>
        <v/>
      </c>
      <c r="T434" s="7">
        <f>IF(L434&gt;0,R434/L434,0)</f>
        <v/>
      </c>
      <c r="U434" s="3" t="inlineStr">
        <is>
          <t>21/05/2026 05:49:36</t>
        </is>
      </c>
    </row>
    <row r="435">
      <c r="A435" s="3" t="inlineStr">
        <is>
          <t>584123014527354119</t>
        </is>
      </c>
      <c r="B435" s="3" t="inlineStr">
        <is>
          <t>已完成</t>
        </is>
      </c>
      <c r="C435" s="3" t="inlineStr">
        <is>
          <t>C5s</t>
        </is>
      </c>
      <c r="D435" s="3" t="inlineStr">
        <is>
          <t>香辣味魔芋笋5小袋</t>
        </is>
      </c>
      <c r="E4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5" s="3" t="inlineStr">
        <is>
          <t>รสเผ็ดหอม​, *ชุดเล็ก 5 ซอง 100g</t>
        </is>
      </c>
      <c r="G435" s="6" t="n">
        <v>1</v>
      </c>
      <c r="H435" s="6" t="n">
        <v>47</v>
      </c>
      <c r="I435" s="6" t="n">
        <v>0</v>
      </c>
      <c r="J435" s="6" t="n">
        <v>38</v>
      </c>
      <c r="K435" s="6">
        <f>H435+I435</f>
        <v/>
      </c>
      <c r="L435" s="5">
        <f>K435/4.7</f>
        <v/>
      </c>
      <c r="M435" s="6" t="n">
        <v>3.35</v>
      </c>
      <c r="N435" s="6" t="n">
        <v>1</v>
      </c>
      <c r="O435" s="6">
        <f>(K435*0.1229+1.05)/4.7</f>
        <v/>
      </c>
      <c r="P435" s="6">
        <f>K435*0.0749/4.7</f>
        <v/>
      </c>
      <c r="Q435" s="5">
        <f>M435+N435+O435+P435</f>
        <v/>
      </c>
      <c r="R435" s="5">
        <f>L435-Q435</f>
        <v/>
      </c>
      <c r="S435" s="6">
        <f>R435*4.7</f>
        <v/>
      </c>
      <c r="T435" s="7">
        <f>IF(L435&gt;0,R435/L435,0)</f>
        <v/>
      </c>
      <c r="U435" s="3" t="inlineStr">
        <is>
          <t>21/05/2026 04:31:34</t>
        </is>
      </c>
    </row>
    <row r="436">
      <c r="A436" s="3" t="inlineStr">
        <is>
          <t>584122731904468634</t>
        </is>
      </c>
      <c r="B436" s="3" t="inlineStr">
        <is>
          <t>已完成</t>
        </is>
      </c>
      <c r="C436" s="3" t="inlineStr">
        <is>
          <t>C2</t>
        </is>
      </c>
      <c r="D436" s="3" t="inlineStr">
        <is>
          <t>魔芋笋2大袋</t>
        </is>
      </c>
      <c r="E4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6" s="3" t="inlineStr">
        <is>
          <t>รสเผ็ดหอม​, 20 ซอง 400g</t>
        </is>
      </c>
      <c r="G436" s="6" t="n">
        <v>1</v>
      </c>
      <c r="H436" s="6" t="n">
        <v>120</v>
      </c>
      <c r="I436" s="6" t="n">
        <v>0</v>
      </c>
      <c r="J436" s="6" t="n">
        <v>88</v>
      </c>
      <c r="K436" s="6">
        <f>H436+I436</f>
        <v/>
      </c>
      <c r="L436" s="5">
        <f>K436/4.7</f>
        <v/>
      </c>
      <c r="M436" s="6" t="n">
        <v>13.4</v>
      </c>
      <c r="N436" s="6" t="n">
        <v>1</v>
      </c>
      <c r="O436" s="6">
        <f>(K436*0.1229+1.05)/4.7</f>
        <v/>
      </c>
      <c r="P436" s="6">
        <f>K436*0.0749/4.7</f>
        <v/>
      </c>
      <c r="Q436" s="5">
        <f>M436+N436+O436+P436</f>
        <v/>
      </c>
      <c r="R436" s="5">
        <f>L436-Q436</f>
        <v/>
      </c>
      <c r="S436" s="6">
        <f>R436*4.7</f>
        <v/>
      </c>
      <c r="T436" s="7">
        <f>IF(L436&gt;0,R436/L436,0)</f>
        <v/>
      </c>
      <c r="U436" s="3" t="inlineStr">
        <is>
          <t>21/05/2026 03:03:58</t>
        </is>
      </c>
    </row>
    <row r="437">
      <c r="A437" s="3" t="inlineStr">
        <is>
          <t>584122588540536814</t>
        </is>
      </c>
      <c r="B437" s="3" t="inlineStr">
        <is>
          <t>已完成</t>
        </is>
      </c>
      <c r="C437" s="3" t="inlineStr">
        <is>
          <t>C2</t>
        </is>
      </c>
      <c r="D437" s="3" t="inlineStr">
        <is>
          <t>魔芋笋2大袋</t>
        </is>
      </c>
      <c r="E4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7" s="3" t="inlineStr">
        <is>
          <t>รสเผ็ดหอม​, 20 ซอง 400g</t>
        </is>
      </c>
      <c r="G437" s="6" t="n">
        <v>1</v>
      </c>
      <c r="H437" s="6" t="n">
        <v>121</v>
      </c>
      <c r="I437" s="6" t="n">
        <v>0</v>
      </c>
      <c r="J437" s="6" t="n">
        <v>35</v>
      </c>
      <c r="K437" s="6">
        <f>H437+I437</f>
        <v/>
      </c>
      <c r="L437" s="5">
        <f>K437/4.7</f>
        <v/>
      </c>
      <c r="M437" s="6" t="n">
        <v>13.4</v>
      </c>
      <c r="N437" s="6" t="n">
        <v>1</v>
      </c>
      <c r="O437" s="6">
        <f>(K437*0.1229+1.05)/4.7</f>
        <v/>
      </c>
      <c r="P437" s="6">
        <f>K437*0.0749/4.7</f>
        <v/>
      </c>
      <c r="Q437" s="5">
        <f>M437+N437+O437+P437</f>
        <v/>
      </c>
      <c r="R437" s="5">
        <f>L437-Q437</f>
        <v/>
      </c>
      <c r="S437" s="6">
        <f>R437*4.7</f>
        <v/>
      </c>
      <c r="T437" s="7">
        <f>IF(L437&gt;0,R437/L437,0)</f>
        <v/>
      </c>
      <c r="U437" s="3" t="inlineStr">
        <is>
          <t>21/05/2026 02:14:43</t>
        </is>
      </c>
    </row>
    <row r="438">
      <c r="A438" s="3" t="inlineStr">
        <is>
          <t>584122406320964680</t>
        </is>
      </c>
      <c r="B438" s="3" t="inlineStr">
        <is>
          <t>已完成</t>
        </is>
      </c>
      <c r="C438" s="3" t="inlineStr">
        <is>
          <t>C1</t>
        </is>
      </c>
      <c r="D438" s="3" t="inlineStr">
        <is>
          <t>魔芋笋1大袋</t>
        </is>
      </c>
      <c r="E4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8" s="3" t="inlineStr">
        <is>
          <t>รสเผ็ดหอม​, 10 ซอง 200g</t>
        </is>
      </c>
      <c r="G438" s="6" t="n">
        <v>1</v>
      </c>
      <c r="H438" s="6" t="n">
        <v>69</v>
      </c>
      <c r="I438" s="6" t="n">
        <v>0</v>
      </c>
      <c r="J438" s="6" t="n">
        <v>38</v>
      </c>
      <c r="K438" s="6">
        <f>H438+I438</f>
        <v/>
      </c>
      <c r="L438" s="5">
        <f>K438/4.7</f>
        <v/>
      </c>
      <c r="M438" s="6" t="n">
        <v>6.699999999999999</v>
      </c>
      <c r="N438" s="6" t="n">
        <v>1</v>
      </c>
      <c r="O438" s="6">
        <f>(K438*0.1229+1.05)/4.7</f>
        <v/>
      </c>
      <c r="P438" s="6">
        <f>K438*0.0749/4.7</f>
        <v/>
      </c>
      <c r="Q438" s="5">
        <f>M438+N438+O438+P438</f>
        <v/>
      </c>
      <c r="R438" s="5">
        <f>L438-Q438</f>
        <v/>
      </c>
      <c r="S438" s="6">
        <f>R438*4.7</f>
        <v/>
      </c>
      <c r="T438" s="7">
        <f>IF(L438&gt;0,R438/L438,0)</f>
        <v/>
      </c>
      <c r="U438" s="3" t="inlineStr">
        <is>
          <t>21/05/2026 01:32:24</t>
        </is>
      </c>
    </row>
    <row r="439">
      <c r="A439" s="3" t="inlineStr">
        <is>
          <t>584122052160291959</t>
        </is>
      </c>
      <c r="B439" s="3" t="inlineStr">
        <is>
          <t>已完成</t>
        </is>
      </c>
      <c r="C439" s="3" t="inlineStr">
        <is>
          <t>C3</t>
        </is>
      </c>
      <c r="D439" s="3" t="inlineStr">
        <is>
          <t>魔芋笋3大袋</t>
        </is>
      </c>
      <c r="E4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9" s="3" t="inlineStr">
        <is>
          <t>รสเผ็ดหอม​, 30 ซอง 600g</t>
        </is>
      </c>
      <c r="G439" s="6" t="n">
        <v>1</v>
      </c>
      <c r="H439" s="6" t="n">
        <v>167</v>
      </c>
      <c r="I439" s="6" t="n">
        <v>0</v>
      </c>
      <c r="J439" s="6" t="n">
        <v>35</v>
      </c>
      <c r="K439" s="6">
        <f>H439+I439</f>
        <v/>
      </c>
      <c r="L439" s="5">
        <f>K439/4.7</f>
        <v/>
      </c>
      <c r="M439" s="6" t="n">
        <v>20.1</v>
      </c>
      <c r="N439" s="6" t="n">
        <v>1</v>
      </c>
      <c r="O439" s="6">
        <f>(K439*0.1229+1.05)/4.7</f>
        <v/>
      </c>
      <c r="P439" s="6">
        <f>K439*0.0749/4.7</f>
        <v/>
      </c>
      <c r="Q439" s="5">
        <f>M439+N439+O439+P439</f>
        <v/>
      </c>
      <c r="R439" s="5">
        <f>L439-Q439</f>
        <v/>
      </c>
      <c r="S439" s="6">
        <f>R439*4.7</f>
        <v/>
      </c>
      <c r="T439" s="7">
        <f>IF(L439&gt;0,R439/L439,0)</f>
        <v/>
      </c>
      <c r="U439" s="3" t="inlineStr">
        <is>
          <t>21/05/2026 00:25:10</t>
        </is>
      </c>
    </row>
    <row r="440">
      <c r="A440" s="3" t="inlineStr">
        <is>
          <t>584120640483460521</t>
        </is>
      </c>
      <c r="B440" s="3" t="inlineStr">
        <is>
          <t>已完成</t>
        </is>
      </c>
      <c r="C440" s="3" t="inlineStr">
        <is>
          <t>C2</t>
        </is>
      </c>
      <c r="D440" s="3" t="inlineStr">
        <is>
          <t>魔芋笋2大袋</t>
        </is>
      </c>
      <c r="E4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0" s="3" t="inlineStr">
        <is>
          <t>รสเผ็ดหอม​, 20 ซอง 400g</t>
        </is>
      </c>
      <c r="G440" s="6" t="n">
        <v>1</v>
      </c>
      <c r="H440" s="6" t="n">
        <v>126</v>
      </c>
      <c r="I440" s="6" t="n">
        <v>0</v>
      </c>
      <c r="J440" s="6" t="n">
        <v>35</v>
      </c>
      <c r="K440" s="6">
        <f>H440+I440</f>
        <v/>
      </c>
      <c r="L440" s="5">
        <f>K440/4.7</f>
        <v/>
      </c>
      <c r="M440" s="6" t="n">
        <v>13.4</v>
      </c>
      <c r="N440" s="6" t="n">
        <v>1</v>
      </c>
      <c r="O440" s="6">
        <f>(K440*0.1229+1.05)/4.7</f>
        <v/>
      </c>
      <c r="P440" s="6">
        <f>K440*0.0749/4.7</f>
        <v/>
      </c>
      <c r="Q440" s="5">
        <f>M440+N440+O440+P440</f>
        <v/>
      </c>
      <c r="R440" s="5">
        <f>L440-Q440</f>
        <v/>
      </c>
      <c r="S440" s="6">
        <f>R440*4.7</f>
        <v/>
      </c>
      <c r="T440" s="7">
        <f>IF(L440&gt;0,R440/L440,0)</f>
        <v/>
      </c>
      <c r="U440" s="3" t="inlineStr">
        <is>
          <t>20/05/2026 22:05:20</t>
        </is>
      </c>
    </row>
    <row r="441">
      <c r="A441" s="3" t="inlineStr">
        <is>
          <t>584120623646475689</t>
        </is>
      </c>
      <c r="B441" s="3" t="inlineStr">
        <is>
          <t>已取消</t>
        </is>
      </c>
      <c r="C441" s="3" t="inlineStr">
        <is>
          <t>C1</t>
        </is>
      </c>
      <c r="D441" s="3" t="inlineStr">
        <is>
          <t>魔芋笋1大袋</t>
        </is>
      </c>
      <c r="E4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1" s="3" t="inlineStr">
        <is>
          <t>รสเผ็ดหอม​, 10 ซอง 200g</t>
        </is>
      </c>
      <c r="G441" s="6" t="n">
        <v>2</v>
      </c>
      <c r="H441" s="6" t="n">
        <v>135</v>
      </c>
      <c r="I441" s="6" t="n">
        <v>0</v>
      </c>
      <c r="J441" s="6" t="n">
        <v>48</v>
      </c>
      <c r="K441" s="6">
        <f>H441+I441</f>
        <v/>
      </c>
      <c r="L441" s="5">
        <f>K441/4.7</f>
        <v/>
      </c>
      <c r="M441" s="6" t="n">
        <v>13.4</v>
      </c>
      <c r="N441" s="6" t="n">
        <v>1</v>
      </c>
      <c r="O441" s="6">
        <f>(K441*0.1229+1.05)/4.7</f>
        <v/>
      </c>
      <c r="P441" s="6">
        <f>K441*0.0749/4.7</f>
        <v/>
      </c>
      <c r="Q441" s="5">
        <f>M441+N441+O441+P441</f>
        <v/>
      </c>
      <c r="R441" s="5">
        <f>L441-Q441</f>
        <v/>
      </c>
      <c r="S441" s="6">
        <f>R441*4.7</f>
        <v/>
      </c>
      <c r="T441" s="7">
        <f>IF(L441&gt;0,R441/L441,0)</f>
        <v/>
      </c>
      <c r="U441" s="3" t="inlineStr">
        <is>
          <t>20/05/2026 22:04:26</t>
        </is>
      </c>
    </row>
    <row r="442">
      <c r="A442" s="3" t="inlineStr">
        <is>
          <t>584120196204037931</t>
        </is>
      </c>
      <c r="B442" s="3" t="inlineStr">
        <is>
          <t>已完成</t>
        </is>
      </c>
      <c r="C442" s="3" t="inlineStr">
        <is>
          <t>C2</t>
        </is>
      </c>
      <c r="D442" s="3" t="inlineStr">
        <is>
          <t>魔芋笋2大袋</t>
        </is>
      </c>
      <c r="E4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2" s="3" t="inlineStr">
        <is>
          <t>รสเผ็ดหอม​, 20 ซอง 400g</t>
        </is>
      </c>
      <c r="G442" s="6" t="n">
        <v>1</v>
      </c>
      <c r="H442" s="6" t="n">
        <v>167</v>
      </c>
      <c r="I442" s="6" t="n">
        <v>0</v>
      </c>
      <c r="J442" s="6" t="n">
        <v>48</v>
      </c>
      <c r="K442" s="6">
        <f>H442+I442</f>
        <v/>
      </c>
      <c r="L442" s="5">
        <f>K442/4.7</f>
        <v/>
      </c>
      <c r="M442" s="6" t="n">
        <v>13.4</v>
      </c>
      <c r="N442" s="6" t="n">
        <v>1</v>
      </c>
      <c r="O442" s="6">
        <f>(K442*0.1229+1.05)/4.7</f>
        <v/>
      </c>
      <c r="P442" s="6">
        <f>K442*0.0749/4.7</f>
        <v/>
      </c>
      <c r="Q442" s="5">
        <f>M442+N442+O442+P442</f>
        <v/>
      </c>
      <c r="R442" s="5">
        <f>L442-Q442</f>
        <v/>
      </c>
      <c r="S442" s="6">
        <f>R442*4.7</f>
        <v/>
      </c>
      <c r="T442" s="7">
        <f>IF(L442&gt;0,R442/L442,0)</f>
        <v/>
      </c>
      <c r="U442" s="3" t="inlineStr">
        <is>
          <t>20/05/2026 21:41:34</t>
        </is>
      </c>
    </row>
    <row r="443">
      <c r="A443" s="3" t="inlineStr">
        <is>
          <t>584120196204037931</t>
        </is>
      </c>
      <c r="B443" s="3" t="inlineStr">
        <is>
          <t>已完成</t>
        </is>
      </c>
      <c r="C443" s="3" t="inlineStr">
        <is>
          <t>B5s</t>
        </is>
      </c>
      <c r="D443" s="3" t="inlineStr">
        <is>
          <t>酸辣味5小袋</t>
        </is>
      </c>
      <c r="E4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3" s="3" t="inlineStr">
        <is>
          <t>รสเปรี้ยวเผ็ด​, *ชุดเล็ก 5 ซอง 100g</t>
        </is>
      </c>
      <c r="G443" s="6" t="n">
        <v>1</v>
      </c>
      <c r="H443" s="6" t="n">
        <v>167</v>
      </c>
      <c r="I443" s="6" t="n">
        <v>0</v>
      </c>
      <c r="J443" s="6" t="n">
        <v>48</v>
      </c>
      <c r="K443" s="6">
        <f>H443+I443</f>
        <v/>
      </c>
      <c r="L443" s="5">
        <f>K443/4.7</f>
        <v/>
      </c>
      <c r="M443" s="6" t="n">
        <v>3.35</v>
      </c>
      <c r="N443" s="6" t="n">
        <v>1</v>
      </c>
      <c r="O443" s="6">
        <f>(K443*0.1229+1.05)/4.7</f>
        <v/>
      </c>
      <c r="P443" s="6">
        <f>K443*0.0749/4.7</f>
        <v/>
      </c>
      <c r="Q443" s="5">
        <f>M443+N443+O443+P443</f>
        <v/>
      </c>
      <c r="R443" s="5">
        <f>L443-Q443</f>
        <v/>
      </c>
      <c r="S443" s="6">
        <f>R443*4.7</f>
        <v/>
      </c>
      <c r="T443" s="7">
        <f>IF(L443&gt;0,R443/L443,0)</f>
        <v/>
      </c>
      <c r="U443" s="3" t="inlineStr">
        <is>
          <t>20/05/2026 21:41:34</t>
        </is>
      </c>
    </row>
    <row r="444">
      <c r="A444" s="3" t="inlineStr">
        <is>
          <t>584119833903400261</t>
        </is>
      </c>
      <c r="B444" s="3" t="inlineStr">
        <is>
          <t>已完成</t>
        </is>
      </c>
      <c r="C444" s="3" t="inlineStr">
        <is>
          <t>C1</t>
        </is>
      </c>
      <c r="D444" s="3" t="inlineStr">
        <is>
          <t>魔芋笋1大袋</t>
        </is>
      </c>
      <c r="E4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4" s="3" t="inlineStr">
        <is>
          <t>รสเผ็ดหอม​, 10 ซอง 200g</t>
        </is>
      </c>
      <c r="G444" s="6" t="n">
        <v>1</v>
      </c>
      <c r="H444" s="6" t="n">
        <v>133</v>
      </c>
      <c r="I444" s="6" t="n">
        <v>0</v>
      </c>
      <c r="J444" s="6" t="n">
        <v>48</v>
      </c>
      <c r="K444" s="6">
        <f>H444+I444</f>
        <v/>
      </c>
      <c r="L444" s="5">
        <f>K444/4.7</f>
        <v/>
      </c>
      <c r="M444" s="6" t="n">
        <v>6.699999999999999</v>
      </c>
      <c r="N444" s="6" t="n">
        <v>1</v>
      </c>
      <c r="O444" s="6">
        <f>(K444*0.1229+1.05)/4.7</f>
        <v/>
      </c>
      <c r="P444" s="6">
        <f>K444*0.0749/4.7</f>
        <v/>
      </c>
      <c r="Q444" s="5">
        <f>M444+N444+O444+P444</f>
        <v/>
      </c>
      <c r="R444" s="5">
        <f>L444-Q444</f>
        <v/>
      </c>
      <c r="S444" s="6">
        <f>R444*4.7</f>
        <v/>
      </c>
      <c r="T444" s="7">
        <f>IF(L444&gt;0,R444/L444,0)</f>
        <v/>
      </c>
      <c r="U444" s="3" t="inlineStr">
        <is>
          <t>20/05/2026 21:20:17</t>
        </is>
      </c>
    </row>
    <row r="445">
      <c r="A445" s="3" t="inlineStr">
        <is>
          <t>584119833903400261</t>
        </is>
      </c>
      <c r="B445" s="3" t="inlineStr">
        <is>
          <t>已完成</t>
        </is>
      </c>
      <c r="C445" s="3" t="inlineStr">
        <is>
          <t>B1</t>
        </is>
      </c>
      <c r="D445" s="3" t="inlineStr">
        <is>
          <t>魔芋笋1大袋</t>
        </is>
      </c>
      <c r="E4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5" s="3" t="inlineStr">
        <is>
          <t>รสเปรี้ยวเผ็ด​, 10 ซอง 200g</t>
        </is>
      </c>
      <c r="G445" s="6" t="n">
        <v>1</v>
      </c>
      <c r="H445" s="6" t="n">
        <v>133</v>
      </c>
      <c r="I445" s="6" t="n">
        <v>0</v>
      </c>
      <c r="J445" s="6" t="n">
        <v>48</v>
      </c>
      <c r="K445" s="6">
        <f>H445+I445</f>
        <v/>
      </c>
      <c r="L445" s="5">
        <f>K445/4.7</f>
        <v/>
      </c>
      <c r="M445" s="6" t="n">
        <v>6.699999999999999</v>
      </c>
      <c r="N445" s="6" t="n">
        <v>1</v>
      </c>
      <c r="O445" s="6">
        <f>(K445*0.1229+1.05)/4.7</f>
        <v/>
      </c>
      <c r="P445" s="6">
        <f>K445*0.0749/4.7</f>
        <v/>
      </c>
      <c r="Q445" s="5">
        <f>M445+N445+O445+P445</f>
        <v/>
      </c>
      <c r="R445" s="5">
        <f>L445-Q445</f>
        <v/>
      </c>
      <c r="S445" s="6">
        <f>R445*4.7</f>
        <v/>
      </c>
      <c r="T445" s="7">
        <f>IF(L445&gt;0,R445/L445,0)</f>
        <v/>
      </c>
      <c r="U445" s="3" t="inlineStr">
        <is>
          <t>20/05/2026 21:20:17</t>
        </is>
      </c>
    </row>
    <row r="446">
      <c r="A446" s="3" t="inlineStr">
        <is>
          <t>584119758794950264</t>
        </is>
      </c>
      <c r="B446" s="3" t="inlineStr">
        <is>
          <t>已完成</t>
        </is>
      </c>
      <c r="C446" s="3" t="inlineStr">
        <is>
          <t>C2</t>
        </is>
      </c>
      <c r="D446" s="3" t="inlineStr">
        <is>
          <t>魔芋笋2大袋</t>
        </is>
      </c>
      <c r="E4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6" s="3" t="inlineStr">
        <is>
          <t>รสเผ็ดหอม​, 20 ซอง 400g</t>
        </is>
      </c>
      <c r="G446" s="6" t="n">
        <v>1</v>
      </c>
      <c r="H446" s="6" t="n">
        <v>95</v>
      </c>
      <c r="I446" s="6" t="n">
        <v>30</v>
      </c>
      <c r="J446" s="6" t="n">
        <v>35</v>
      </c>
      <c r="K446" s="6">
        <f>H446+I446</f>
        <v/>
      </c>
      <c r="L446" s="5">
        <f>K446/4.7</f>
        <v/>
      </c>
      <c r="M446" s="6" t="n">
        <v>13.4</v>
      </c>
      <c r="N446" s="6" t="n">
        <v>1</v>
      </c>
      <c r="O446" s="6">
        <f>(K446*0.1229+1.05)/4.7</f>
        <v/>
      </c>
      <c r="P446" s="6">
        <f>K446*0.0749/4.7</f>
        <v/>
      </c>
      <c r="Q446" s="5">
        <f>M446+N446+O446+P446</f>
        <v/>
      </c>
      <c r="R446" s="5">
        <f>L446-Q446</f>
        <v/>
      </c>
      <c r="S446" s="6">
        <f>R446*4.7</f>
        <v/>
      </c>
      <c r="T446" s="7">
        <f>IF(L446&gt;0,R446/L446,0)</f>
        <v/>
      </c>
      <c r="U446" s="3" t="inlineStr">
        <is>
          <t>20/05/2026 21:15:04</t>
        </is>
      </c>
    </row>
    <row r="447">
      <c r="A447" s="3" t="inlineStr">
        <is>
          <t>584119685069309164</t>
        </is>
      </c>
      <c r="B447" s="3" t="inlineStr">
        <is>
          <t>已完成</t>
        </is>
      </c>
      <c r="C447" s="3" t="inlineStr">
        <is>
          <t>C1</t>
        </is>
      </c>
      <c r="D447" s="3" t="inlineStr">
        <is>
          <t>魔芋笋1大袋</t>
        </is>
      </c>
      <c r="E4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7" s="3" t="inlineStr">
        <is>
          <t>รสเผ็ดหอม​, 10 ซอง 200g</t>
        </is>
      </c>
      <c r="G447" s="6" t="n">
        <v>1</v>
      </c>
      <c r="H447" s="6" t="n">
        <v>132</v>
      </c>
      <c r="I447" s="6" t="n">
        <v>0.5</v>
      </c>
      <c r="J447" s="6" t="n">
        <v>48</v>
      </c>
      <c r="K447" s="6">
        <f>H447+I447</f>
        <v/>
      </c>
      <c r="L447" s="5">
        <f>K447/4.7</f>
        <v/>
      </c>
      <c r="M447" s="6" t="n">
        <v>6.699999999999999</v>
      </c>
      <c r="N447" s="6" t="n">
        <v>1</v>
      </c>
      <c r="O447" s="6">
        <f>(K447*0.1229+1.05)/4.7</f>
        <v/>
      </c>
      <c r="P447" s="6">
        <f>K447*0.0749/4.7</f>
        <v/>
      </c>
      <c r="Q447" s="5">
        <f>M447+N447+O447+P447</f>
        <v/>
      </c>
      <c r="R447" s="5">
        <f>L447-Q447</f>
        <v/>
      </c>
      <c r="S447" s="6">
        <f>R447*4.7</f>
        <v/>
      </c>
      <c r="T447" s="7">
        <f>IF(L447&gt;0,R447/L447,0)</f>
        <v/>
      </c>
      <c r="U447" s="3" t="inlineStr">
        <is>
          <t>20/05/2026 21:10:57</t>
        </is>
      </c>
    </row>
    <row r="448">
      <c r="A448" s="3" t="inlineStr">
        <is>
          <t>584119685069309164</t>
        </is>
      </c>
      <c r="B448" s="3" t="inlineStr">
        <is>
          <t>已完成</t>
        </is>
      </c>
      <c r="C448" s="3" t="inlineStr">
        <is>
          <t>B1</t>
        </is>
      </c>
      <c r="D448" s="3" t="inlineStr">
        <is>
          <t>魔芋笋1大袋</t>
        </is>
      </c>
      <c r="E4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8" s="3" t="inlineStr">
        <is>
          <t>รสเปรี้ยวเผ็ด​, 10 ซอง 200g</t>
        </is>
      </c>
      <c r="G448" s="6" t="n">
        <v>1</v>
      </c>
      <c r="H448" s="6" t="n">
        <v>132</v>
      </c>
      <c r="I448" s="6" t="n">
        <v>0.5</v>
      </c>
      <c r="J448" s="6" t="n">
        <v>48</v>
      </c>
      <c r="K448" s="6">
        <f>H448+I448</f>
        <v/>
      </c>
      <c r="L448" s="5">
        <f>K448/4.7</f>
        <v/>
      </c>
      <c r="M448" s="6" t="n">
        <v>6.699999999999999</v>
      </c>
      <c r="N448" s="6" t="n">
        <v>1</v>
      </c>
      <c r="O448" s="6">
        <f>(K448*0.1229+1.05)/4.7</f>
        <v/>
      </c>
      <c r="P448" s="6">
        <f>K448*0.0749/4.7</f>
        <v/>
      </c>
      <c r="Q448" s="5">
        <f>M448+N448+O448+P448</f>
        <v/>
      </c>
      <c r="R448" s="5">
        <f>L448-Q448</f>
        <v/>
      </c>
      <c r="S448" s="6">
        <f>R448*4.7</f>
        <v/>
      </c>
      <c r="T448" s="7">
        <f>IF(L448&gt;0,R448/L448,0)</f>
        <v/>
      </c>
      <c r="U448" s="3" t="inlineStr">
        <is>
          <t>20/05/2026 21:10:57</t>
        </is>
      </c>
    </row>
    <row r="449">
      <c r="A449" s="3" t="inlineStr">
        <is>
          <t>584119673726731619</t>
        </is>
      </c>
      <c r="B449" s="3" t="inlineStr">
        <is>
          <t>已取消</t>
        </is>
      </c>
      <c r="C449" s="3" t="inlineStr">
        <is>
          <t>C1</t>
        </is>
      </c>
      <c r="D449" s="3" t="inlineStr">
        <is>
          <t>魔芋笋1大袋</t>
        </is>
      </c>
      <c r="E4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9" s="3" t="inlineStr">
        <is>
          <t>รสเผ็ดหอม​, 10 ซอง 200g</t>
        </is>
      </c>
      <c r="G449" s="6" t="n">
        <v>1</v>
      </c>
      <c r="H449" s="6" t="n">
        <v>138</v>
      </c>
      <c r="I449" s="6" t="n">
        <v>0</v>
      </c>
      <c r="J449" s="6" t="n">
        <v>35</v>
      </c>
      <c r="K449" s="6">
        <f>H449+I449</f>
        <v/>
      </c>
      <c r="L449" s="5">
        <f>K449/4.7</f>
        <v/>
      </c>
      <c r="M449" s="6" t="n">
        <v>6.699999999999999</v>
      </c>
      <c r="N449" s="6" t="n">
        <v>1</v>
      </c>
      <c r="O449" s="6">
        <f>(K449*0.1229+1.05)/4.7</f>
        <v/>
      </c>
      <c r="P449" s="6">
        <f>K449*0.0749/4.7</f>
        <v/>
      </c>
      <c r="Q449" s="5">
        <f>M449+N449+O449+P449</f>
        <v/>
      </c>
      <c r="R449" s="5">
        <f>L449-Q449</f>
        <v/>
      </c>
      <c r="S449" s="6">
        <f>R449*4.7</f>
        <v/>
      </c>
      <c r="T449" s="7">
        <f>IF(L449&gt;0,R449/L449,0)</f>
        <v/>
      </c>
      <c r="U449" s="3" t="inlineStr">
        <is>
          <t>20/05/2026 21:06:09</t>
        </is>
      </c>
    </row>
    <row r="450">
      <c r="A450" s="3" t="inlineStr">
        <is>
          <t>584119673726731619</t>
        </is>
      </c>
      <c r="B450" s="3" t="inlineStr">
        <is>
          <t>已取消</t>
        </is>
      </c>
      <c r="C450" s="3" t="inlineStr">
        <is>
          <t>B1</t>
        </is>
      </c>
      <c r="D450" s="3" t="inlineStr">
        <is>
          <t>魔芋笋1大袋</t>
        </is>
      </c>
      <c r="E4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0" s="3" t="inlineStr">
        <is>
          <t>รสเปรี้ยวเผ็ด​, 10 ซอง 200g</t>
        </is>
      </c>
      <c r="G450" s="6" t="n">
        <v>1</v>
      </c>
      <c r="H450" s="6" t="n">
        <v>138</v>
      </c>
      <c r="I450" s="6" t="n">
        <v>0</v>
      </c>
      <c r="J450" s="6" t="n">
        <v>35</v>
      </c>
      <c r="K450" s="6">
        <f>H450+I450</f>
        <v/>
      </c>
      <c r="L450" s="5">
        <f>K450/4.7</f>
        <v/>
      </c>
      <c r="M450" s="6" t="n">
        <v>6.699999999999999</v>
      </c>
      <c r="N450" s="6" t="n">
        <v>1</v>
      </c>
      <c r="O450" s="6">
        <f>(K450*0.1229+1.05)/4.7</f>
        <v/>
      </c>
      <c r="P450" s="6">
        <f>K450*0.0749/4.7</f>
        <v/>
      </c>
      <c r="Q450" s="5">
        <f>M450+N450+O450+P450</f>
        <v/>
      </c>
      <c r="R450" s="5">
        <f>L450-Q450</f>
        <v/>
      </c>
      <c r="S450" s="6">
        <f>R450*4.7</f>
        <v/>
      </c>
      <c r="T450" s="7">
        <f>IF(L450&gt;0,R450/L450,0)</f>
        <v/>
      </c>
      <c r="U450" s="3" t="inlineStr">
        <is>
          <t>20/05/2026 21:06:09</t>
        </is>
      </c>
    </row>
    <row r="451">
      <c r="A451" s="3" t="inlineStr">
        <is>
          <t>584118963235226701</t>
        </is>
      </c>
      <c r="B451" s="3" t="inlineStr">
        <is>
          <t>已完成</t>
        </is>
      </c>
      <c r="C451" s="3" t="inlineStr">
        <is>
          <t>C1</t>
        </is>
      </c>
      <c r="D451" s="3" t="inlineStr">
        <is>
          <t>魔芋笋1大袋</t>
        </is>
      </c>
      <c r="E451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51" s="3" t="inlineStr">
        <is>
          <t>รสเผ็ดหอม​, 1pcs</t>
        </is>
      </c>
      <c r="G451" s="6" t="n">
        <v>1</v>
      </c>
      <c r="H451" s="6" t="n">
        <v>60</v>
      </c>
      <c r="I451" s="6" t="n">
        <v>0</v>
      </c>
      <c r="J451" s="6" t="n">
        <v>35</v>
      </c>
      <c r="K451" s="6">
        <f>H451+I451</f>
        <v/>
      </c>
      <c r="L451" s="5">
        <f>K451/4.7</f>
        <v/>
      </c>
      <c r="M451" s="6" t="n">
        <v>6.699999999999999</v>
      </c>
      <c r="N451" s="6" t="n">
        <v>1</v>
      </c>
      <c r="O451" s="6">
        <f>(K451*0.1229+1.05)/4.7</f>
        <v/>
      </c>
      <c r="P451" s="6">
        <f>K451*0.0749/4.7</f>
        <v/>
      </c>
      <c r="Q451" s="5">
        <f>M451+N451+O451+P451</f>
        <v/>
      </c>
      <c r="R451" s="5">
        <f>L451-Q451</f>
        <v/>
      </c>
      <c r="S451" s="6">
        <f>R451*4.7</f>
        <v/>
      </c>
      <c r="T451" s="7">
        <f>IF(L451&gt;0,R451/L451,0)</f>
        <v/>
      </c>
      <c r="U451" s="3" t="inlineStr">
        <is>
          <t>20/05/2026 20:22:43</t>
        </is>
      </c>
    </row>
    <row r="452">
      <c r="A452" s="3" t="inlineStr">
        <is>
          <t>584117786376963269</t>
        </is>
      </c>
      <c r="B452" s="3" t="inlineStr">
        <is>
          <t>已完成</t>
        </is>
      </c>
      <c r="C452" s="3" t="inlineStr">
        <is>
          <t>C2</t>
        </is>
      </c>
      <c r="D452" s="3" t="inlineStr">
        <is>
          <t>魔芋笋2大袋</t>
        </is>
      </c>
      <c r="E4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2" s="3" t="inlineStr">
        <is>
          <t>รสเผ็ดหอม​, 20 ซอง 400g</t>
        </is>
      </c>
      <c r="G452" s="6" t="n">
        <v>1</v>
      </c>
      <c r="H452" s="6" t="n">
        <v>133</v>
      </c>
      <c r="I452" s="6" t="n">
        <v>0</v>
      </c>
      <c r="J452" s="6" t="n">
        <v>80</v>
      </c>
      <c r="K452" s="6">
        <f>H452+I452</f>
        <v/>
      </c>
      <c r="L452" s="5">
        <f>K452/4.7</f>
        <v/>
      </c>
      <c r="M452" s="6" t="n">
        <v>13.4</v>
      </c>
      <c r="N452" s="6" t="n">
        <v>1</v>
      </c>
      <c r="O452" s="6">
        <f>(K452*0.1229+1.05)/4.7</f>
        <v/>
      </c>
      <c r="P452" s="6">
        <f>K452*0.0749/4.7</f>
        <v/>
      </c>
      <c r="Q452" s="5">
        <f>M452+N452+O452+P452</f>
        <v/>
      </c>
      <c r="R452" s="5">
        <f>L452-Q452</f>
        <v/>
      </c>
      <c r="S452" s="6">
        <f>R452*4.7</f>
        <v/>
      </c>
      <c r="T452" s="7">
        <f>IF(L452&gt;0,R452/L452,0)</f>
        <v/>
      </c>
      <c r="U452" s="3" t="inlineStr">
        <is>
          <t>20/05/2026 19:07:20</t>
        </is>
      </c>
    </row>
    <row r="453">
      <c r="A453" s="3" t="inlineStr">
        <is>
          <t>584116726730425693</t>
        </is>
      </c>
      <c r="B453" s="3" t="inlineStr">
        <is>
          <t>已完成</t>
        </is>
      </c>
      <c r="C453" s="3" t="inlineStr">
        <is>
          <t>CK</t>
        </is>
      </c>
      <c r="D453" s="3" t="inlineStr">
        <is>
          <t>黑松露黑麦苏打饼干</t>
        </is>
      </c>
      <c r="E45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53" s="3" t="inlineStr">
        <is>
          <t>ค่าเริ่มต้น</t>
        </is>
      </c>
      <c r="G453" s="6" t="n">
        <v>1</v>
      </c>
      <c r="H453" s="6" t="n">
        <v>100</v>
      </c>
      <c r="I453" s="6" t="n">
        <v>0</v>
      </c>
      <c r="J453" s="6" t="n">
        <v>38</v>
      </c>
      <c r="K453" s="6">
        <f>H453+I453</f>
        <v/>
      </c>
      <c r="L453" s="5">
        <f>K453/4.7</f>
        <v/>
      </c>
      <c r="M453" s="6" t="n">
        <v>10.72665050209467</v>
      </c>
      <c r="N453" s="6" t="n">
        <v>1</v>
      </c>
      <c r="O453" s="6">
        <f>(K453*0.1229+1.05)/4.7</f>
        <v/>
      </c>
      <c r="P453" s="6">
        <f>K453*0.0749/4.7</f>
        <v/>
      </c>
      <c r="Q453" s="5">
        <f>M453+N453+O453+P453</f>
        <v/>
      </c>
      <c r="R453" s="5">
        <f>L453-Q453</f>
        <v/>
      </c>
      <c r="S453" s="6">
        <f>R453*4.7</f>
        <v/>
      </c>
      <c r="T453" s="7">
        <f>IF(L453&gt;0,R453/L453,0)</f>
        <v/>
      </c>
      <c r="U453" s="3" t="inlineStr">
        <is>
          <t>20/05/2026 17:54:45</t>
        </is>
      </c>
    </row>
    <row r="454">
      <c r="A454" s="3" t="inlineStr">
        <is>
          <t>584116311553312344</t>
        </is>
      </c>
      <c r="B454" s="3" t="inlineStr">
        <is>
          <t>已完成</t>
        </is>
      </c>
      <c r="C454" s="3" t="inlineStr">
        <is>
          <t>CK</t>
        </is>
      </c>
      <c r="D454" s="3" t="inlineStr">
        <is>
          <t>黑松露黑麦苏打饼干</t>
        </is>
      </c>
      <c r="E45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54" s="3" t="inlineStr">
        <is>
          <t>ค่าเริ่มต้น</t>
        </is>
      </c>
      <c r="G454" s="6" t="n">
        <v>1</v>
      </c>
      <c r="H454" s="6" t="n">
        <v>84</v>
      </c>
      <c r="I454" s="6" t="n">
        <v>21</v>
      </c>
      <c r="J454" s="6" t="n">
        <v>38</v>
      </c>
      <c r="K454" s="6">
        <f>H454+I454</f>
        <v/>
      </c>
      <c r="L454" s="5">
        <f>K454/4.7</f>
        <v/>
      </c>
      <c r="M454" s="6" t="n">
        <v>10.72665050209467</v>
      </c>
      <c r="N454" s="6" t="n">
        <v>1</v>
      </c>
      <c r="O454" s="6">
        <f>(K454*0.1229+1.05)/4.7</f>
        <v/>
      </c>
      <c r="P454" s="6">
        <f>K454*0.0749/4.7</f>
        <v/>
      </c>
      <c r="Q454" s="5">
        <f>M454+N454+O454+P454</f>
        <v/>
      </c>
      <c r="R454" s="5">
        <f>L454-Q454</f>
        <v/>
      </c>
      <c r="S454" s="6">
        <f>R454*4.7</f>
        <v/>
      </c>
      <c r="T454" s="7">
        <f>IF(L454&gt;0,R454/L454,0)</f>
        <v/>
      </c>
      <c r="U454" s="3" t="inlineStr">
        <is>
          <t>20/05/2026 17:20:49</t>
        </is>
      </c>
    </row>
    <row r="455">
      <c r="A455" s="3" t="inlineStr">
        <is>
          <t>584116151627056936</t>
        </is>
      </c>
      <c r="B455" s="3" t="inlineStr">
        <is>
          <t>已取消</t>
        </is>
      </c>
      <c r="C455" s="3" t="inlineStr">
        <is>
          <t>C2</t>
        </is>
      </c>
      <c r="D455" s="3" t="inlineStr">
        <is>
          <t>魔芋笋2大袋</t>
        </is>
      </c>
      <c r="E455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55" s="3" t="inlineStr">
        <is>
          <t>รสเผ็ดหอม​, 2pcs</t>
        </is>
      </c>
      <c r="G455" s="6" t="n">
        <v>1</v>
      </c>
      <c r="H455" s="6" t="n">
        <v>106.2</v>
      </c>
      <c r="I455" s="6" t="n">
        <v>11.8</v>
      </c>
      <c r="J455" s="6" t="n">
        <v>38</v>
      </c>
      <c r="K455" s="6">
        <f>H455+I455</f>
        <v/>
      </c>
      <c r="L455" s="5">
        <f>K455/4.7</f>
        <v/>
      </c>
      <c r="M455" s="6" t="n">
        <v>13.4</v>
      </c>
      <c r="N455" s="6" t="n">
        <v>1</v>
      </c>
      <c r="O455" s="6">
        <f>(K455*0.1229+1.05)/4.7</f>
        <v/>
      </c>
      <c r="P455" s="6">
        <f>K455*0.0749/4.7</f>
        <v/>
      </c>
      <c r="Q455" s="5">
        <f>M455+N455+O455+P455</f>
        <v/>
      </c>
      <c r="R455" s="5">
        <f>L455-Q455</f>
        <v/>
      </c>
      <c r="S455" s="6">
        <f>R455*4.7</f>
        <v/>
      </c>
      <c r="T455" s="7">
        <f>IF(L455&gt;0,R455/L455,0)</f>
        <v/>
      </c>
      <c r="U455" s="3" t="inlineStr">
        <is>
          <t>20/05/2026 17:06:26</t>
        </is>
      </c>
    </row>
    <row r="456">
      <c r="A456" s="3" t="inlineStr">
        <is>
          <t>584116106264413784</t>
        </is>
      </c>
      <c r="B456" s="3" t="inlineStr">
        <is>
          <t>已取消</t>
        </is>
      </c>
      <c r="C456" s="3" t="inlineStr">
        <is>
          <t>CK</t>
        </is>
      </c>
      <c r="D456" s="3" t="inlineStr">
        <is>
          <t>黑松露黑麦苏打饼干</t>
        </is>
      </c>
      <c r="E45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56" s="3" t="inlineStr">
        <is>
          <t>ค่าเริ่มต้น</t>
        </is>
      </c>
      <c r="G456" s="6" t="n">
        <v>1</v>
      </c>
      <c r="H456" s="6" t="n">
        <v>100</v>
      </c>
      <c r="I456" s="6" t="n">
        <v>0</v>
      </c>
      <c r="J456" s="6" t="n">
        <v>38</v>
      </c>
      <c r="K456" s="6">
        <f>H456+I456</f>
        <v/>
      </c>
      <c r="L456" s="5">
        <f>K456/4.7</f>
        <v/>
      </c>
      <c r="M456" s="6" t="n">
        <v>10.72665050209467</v>
      </c>
      <c r="N456" s="6" t="n">
        <v>1</v>
      </c>
      <c r="O456" s="6">
        <f>(K456*0.1229+1.05)/4.7</f>
        <v/>
      </c>
      <c r="P456" s="6">
        <f>K456*0.0749/4.7</f>
        <v/>
      </c>
      <c r="Q456" s="5">
        <f>M456+N456+O456+P456</f>
        <v/>
      </c>
      <c r="R456" s="5">
        <f>L456-Q456</f>
        <v/>
      </c>
      <c r="S456" s="6">
        <f>R456*4.7</f>
        <v/>
      </c>
      <c r="T456" s="7">
        <f>IF(L456&gt;0,R456/L456,0)</f>
        <v/>
      </c>
      <c r="U456" s="3" t="inlineStr">
        <is>
          <t>20/05/2026 17:03:13</t>
        </is>
      </c>
    </row>
    <row r="457">
      <c r="A457" s="3" t="inlineStr">
        <is>
          <t>584115917658621127</t>
        </is>
      </c>
      <c r="B457" s="3" t="inlineStr">
        <is>
          <t>已完成</t>
        </is>
      </c>
      <c r="C457" s="3" t="inlineStr">
        <is>
          <t>C5s</t>
        </is>
      </c>
      <c r="D457" s="3" t="inlineStr">
        <is>
          <t>香辣味魔芋笋5小袋</t>
        </is>
      </c>
      <c r="E4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7" s="3" t="inlineStr">
        <is>
          <t>รสเผ็ดหอม​, 5 ซอง 100g</t>
        </is>
      </c>
      <c r="G457" s="6" t="n">
        <v>1</v>
      </c>
      <c r="H457" s="6" t="n">
        <v>102</v>
      </c>
      <c r="I457" s="6" t="n">
        <v>1</v>
      </c>
      <c r="J457" s="6" t="n">
        <v>38</v>
      </c>
      <c r="K457" s="6">
        <f>H457+I457</f>
        <v/>
      </c>
      <c r="L457" s="5">
        <f>K457/4.7</f>
        <v/>
      </c>
      <c r="M457" s="6" t="n">
        <v>3.35</v>
      </c>
      <c r="N457" s="6" t="n">
        <v>1</v>
      </c>
      <c r="O457" s="6">
        <f>(K457*0.1229+1.05)/4.7</f>
        <v/>
      </c>
      <c r="P457" s="6">
        <f>K457*0.0749/4.7</f>
        <v/>
      </c>
      <c r="Q457" s="5">
        <f>M457+N457+O457+P457</f>
        <v/>
      </c>
      <c r="R457" s="5">
        <f>L457-Q457</f>
        <v/>
      </c>
      <c r="S457" s="6">
        <f>R457*4.7</f>
        <v/>
      </c>
      <c r="T457" s="7">
        <f>IF(L457&gt;0,R457/L457,0)</f>
        <v/>
      </c>
      <c r="U457" s="3" t="inlineStr">
        <is>
          <t>20/05/2026 16:47:55</t>
        </is>
      </c>
    </row>
    <row r="458">
      <c r="A458" s="3" t="inlineStr">
        <is>
          <t>584115917658621127</t>
        </is>
      </c>
      <c r="B458" s="3" t="inlineStr">
        <is>
          <t>已完成</t>
        </is>
      </c>
      <c r="C458" s="3" t="inlineStr">
        <is>
          <t>B5s</t>
        </is>
      </c>
      <c r="D458" s="3" t="inlineStr">
        <is>
          <t>酸辣味5小袋</t>
        </is>
      </c>
      <c r="E4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8" s="3" t="inlineStr">
        <is>
          <t>รสเปรี้ยวเผ็ด​, 5 ซอง 100g</t>
        </is>
      </c>
      <c r="G458" s="6" t="n">
        <v>1</v>
      </c>
      <c r="H458" s="6" t="n">
        <v>102</v>
      </c>
      <c r="I458" s="6" t="n">
        <v>1</v>
      </c>
      <c r="J458" s="6" t="n">
        <v>38</v>
      </c>
      <c r="K458" s="6">
        <f>H458+I458</f>
        <v/>
      </c>
      <c r="L458" s="5">
        <f>K458/4.7</f>
        <v/>
      </c>
      <c r="M458" s="6" t="n">
        <v>3.35</v>
      </c>
      <c r="N458" s="6" t="n">
        <v>1</v>
      </c>
      <c r="O458" s="6">
        <f>(K458*0.1229+1.05)/4.7</f>
        <v/>
      </c>
      <c r="P458" s="6">
        <f>K458*0.0749/4.7</f>
        <v/>
      </c>
      <c r="Q458" s="5">
        <f>M458+N458+O458+P458</f>
        <v/>
      </c>
      <c r="R458" s="5">
        <f>L458-Q458</f>
        <v/>
      </c>
      <c r="S458" s="6">
        <f>R458*4.7</f>
        <v/>
      </c>
      <c r="T458" s="7">
        <f>IF(L458&gt;0,R458/L458,0)</f>
        <v/>
      </c>
      <c r="U458" s="3" t="inlineStr">
        <is>
          <t>20/05/2026 16:47:55</t>
        </is>
      </c>
    </row>
    <row r="459">
      <c r="A459" s="3" t="inlineStr">
        <is>
          <t>584113947155989553</t>
        </is>
      </c>
      <c r="B459" s="3" t="inlineStr">
        <is>
          <t>已完成</t>
        </is>
      </c>
      <c r="C459" s="3" t="inlineStr">
        <is>
          <t>C3</t>
        </is>
      </c>
      <c r="D459" s="3" t="inlineStr">
        <is>
          <t>魔芋笋3大袋</t>
        </is>
      </c>
      <c r="E4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9" s="3" t="inlineStr">
        <is>
          <t>รสเผ็ดหอม​, 30 ซอง 600g</t>
        </is>
      </c>
      <c r="G459" s="6" t="n">
        <v>1</v>
      </c>
      <c r="H459" s="6" t="n">
        <v>172</v>
      </c>
      <c r="I459" s="6" t="n">
        <v>0</v>
      </c>
      <c r="J459" s="6" t="n">
        <v>35</v>
      </c>
      <c r="K459" s="6">
        <f>H459+I459</f>
        <v/>
      </c>
      <c r="L459" s="5">
        <f>K459/4.7</f>
        <v/>
      </c>
      <c r="M459" s="6" t="n">
        <v>20.1</v>
      </c>
      <c r="N459" s="6" t="n">
        <v>1</v>
      </c>
      <c r="O459" s="6">
        <f>(K459*0.1229+1.05)/4.7</f>
        <v/>
      </c>
      <c r="P459" s="6">
        <f>K459*0.0749/4.7</f>
        <v/>
      </c>
      <c r="Q459" s="5">
        <f>M459+N459+O459+P459</f>
        <v/>
      </c>
      <c r="R459" s="5">
        <f>L459-Q459</f>
        <v/>
      </c>
      <c r="S459" s="6">
        <f>R459*4.7</f>
        <v/>
      </c>
      <c r="T459" s="7">
        <f>IF(L459&gt;0,R459/L459,0)</f>
        <v/>
      </c>
      <c r="U459" s="3" t="inlineStr">
        <is>
          <t>20/05/2026 14:08:14</t>
        </is>
      </c>
    </row>
    <row r="460">
      <c r="A460" s="3" t="inlineStr">
        <is>
          <t>584113718432728696</t>
        </is>
      </c>
      <c r="B460" s="3" t="inlineStr">
        <is>
          <t>已取消</t>
        </is>
      </c>
      <c r="C460" s="3" t="inlineStr">
        <is>
          <t>C1</t>
        </is>
      </c>
      <c r="D460" s="3" t="inlineStr">
        <is>
          <t>魔芋笋1大袋</t>
        </is>
      </c>
      <c r="E4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0" s="3" t="inlineStr">
        <is>
          <t>รสเผ็ดหอม​, 10 ซอง 200g</t>
        </is>
      </c>
      <c r="G460" s="6" t="n">
        <v>2</v>
      </c>
      <c r="H460" s="6" t="n">
        <v>133</v>
      </c>
      <c r="I460" s="6" t="n">
        <v>0</v>
      </c>
      <c r="J460" s="6" t="n">
        <v>48</v>
      </c>
      <c r="K460" s="6">
        <f>H460+I460</f>
        <v/>
      </c>
      <c r="L460" s="5">
        <f>K460/4.7</f>
        <v/>
      </c>
      <c r="M460" s="6" t="n">
        <v>13.4</v>
      </c>
      <c r="N460" s="6" t="n">
        <v>1</v>
      </c>
      <c r="O460" s="6">
        <f>(K460*0.1229+1.05)/4.7</f>
        <v/>
      </c>
      <c r="P460" s="6">
        <f>K460*0.0749/4.7</f>
        <v/>
      </c>
      <c r="Q460" s="5">
        <f>M460+N460+O460+P460</f>
        <v/>
      </c>
      <c r="R460" s="5">
        <f>L460-Q460</f>
        <v/>
      </c>
      <c r="S460" s="6">
        <f>R460*4.7</f>
        <v/>
      </c>
      <c r="T460" s="7">
        <f>IF(L460&gt;0,R460/L460,0)</f>
        <v/>
      </c>
      <c r="U460" s="3" t="inlineStr">
        <is>
          <t>20/05/2026 13:51:49</t>
        </is>
      </c>
    </row>
    <row r="461">
      <c r="A461" s="3" t="inlineStr">
        <is>
          <t>584112668943222741</t>
        </is>
      </c>
      <c r="B461" s="3" t="inlineStr">
        <is>
          <t>已完成</t>
        </is>
      </c>
      <c r="C461" s="3" t="inlineStr">
        <is>
          <t>CK</t>
        </is>
      </c>
      <c r="D461" s="3" t="inlineStr">
        <is>
          <t>黑松露黑麦苏打饼干</t>
        </is>
      </c>
      <c r="E46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61" s="3" t="inlineStr">
        <is>
          <t>ค่าเริ่มต้น</t>
        </is>
      </c>
      <c r="G461" s="6" t="n">
        <v>2</v>
      </c>
      <c r="H461" s="6" t="n">
        <v>194.5</v>
      </c>
      <c r="I461" s="6" t="n">
        <v>0</v>
      </c>
      <c r="J461" s="6" t="n">
        <v>38</v>
      </c>
      <c r="K461" s="6">
        <f>H461+I461</f>
        <v/>
      </c>
      <c r="L461" s="5">
        <f>K461/4.7</f>
        <v/>
      </c>
      <c r="M461" s="6" t="n">
        <v>21.45330100418933</v>
      </c>
      <c r="N461" s="6" t="n">
        <v>1</v>
      </c>
      <c r="O461" s="6">
        <f>(K461*0.1229+1.05)/4.7</f>
        <v/>
      </c>
      <c r="P461" s="6">
        <f>K461*0.0749/4.7</f>
        <v/>
      </c>
      <c r="Q461" s="5">
        <f>M461+N461+O461+P461</f>
        <v/>
      </c>
      <c r="R461" s="5">
        <f>L461-Q461</f>
        <v/>
      </c>
      <c r="S461" s="6">
        <f>R461*4.7</f>
        <v/>
      </c>
      <c r="T461" s="7">
        <f>IF(L461&gt;0,R461/L461,0)</f>
        <v/>
      </c>
      <c r="U461" s="3" t="inlineStr">
        <is>
          <t>20/05/2026 12:35:43</t>
        </is>
      </c>
    </row>
    <row r="462">
      <c r="A462" s="3" t="inlineStr">
        <is>
          <t>584112064143984015</t>
        </is>
      </c>
      <c r="B462" s="3" t="inlineStr">
        <is>
          <t>已完成</t>
        </is>
      </c>
      <c r="C462" s="3" t="inlineStr">
        <is>
          <t>ER-B</t>
        </is>
      </c>
      <c r="D462" s="3" t="inlineStr">
        <is>
          <t>广州酒家黄油鸡蛋卷480g</t>
        </is>
      </c>
      <c r="E462" s="3" t="inlineStr">
        <is>
          <t>Egg Roll 2สูตร ทองม้วนไข่กล่องเหล็กพรีเมี่ยม!! GuangZhou Restaurant 454g/480g กล่องล่ะ 24 แท่ง</t>
        </is>
      </c>
      <c r="F462" s="3" t="inlineStr">
        <is>
          <t>Butter สูตรเนยสด พรีเมี่ยม</t>
        </is>
      </c>
      <c r="G462" s="6" t="n">
        <v>1</v>
      </c>
      <c r="H462" s="6" t="n">
        <v>355</v>
      </c>
      <c r="I462" s="6" t="n">
        <v>0</v>
      </c>
      <c r="J462" s="6" t="n">
        <v>38</v>
      </c>
      <c r="K462" s="6">
        <f>H462+I462</f>
        <v/>
      </c>
      <c r="L462" s="5">
        <f>K462/4.7</f>
        <v/>
      </c>
      <c r="M462" s="6" t="n">
        <v>45.49882436351998</v>
      </c>
      <c r="N462" s="6" t="n">
        <v>2</v>
      </c>
      <c r="O462" s="6">
        <f>(K462*0.1229+1.05)/4.7</f>
        <v/>
      </c>
      <c r="P462" s="6">
        <f>K462*0.0749/4.7</f>
        <v/>
      </c>
      <c r="Q462" s="5">
        <f>M462+N462+O462+P462</f>
        <v/>
      </c>
      <c r="R462" s="5">
        <f>L462-Q462</f>
        <v/>
      </c>
      <c r="S462" s="6">
        <f>R462*4.7</f>
        <v/>
      </c>
      <c r="T462" s="7">
        <f>IF(L462&gt;0,R462/L462,0)</f>
        <v/>
      </c>
      <c r="U462" s="3" t="inlineStr">
        <is>
          <t>20/05/2026 11:51:17</t>
        </is>
      </c>
    </row>
    <row r="463">
      <c r="A463" s="3" t="inlineStr">
        <is>
          <t>584111905966687670</t>
        </is>
      </c>
      <c r="B463" s="3" t="inlineStr">
        <is>
          <t>已完成</t>
        </is>
      </c>
      <c r="C463" s="3" t="inlineStr">
        <is>
          <t>C1</t>
        </is>
      </c>
      <c r="D463" s="3" t="inlineStr">
        <is>
          <t>魔芋笋1大袋</t>
        </is>
      </c>
      <c r="E4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3" s="3" t="inlineStr">
        <is>
          <t>รสเผ็ดหอม​, 10 ซอง 200g</t>
        </is>
      </c>
      <c r="G463" s="6" t="n">
        <v>1</v>
      </c>
      <c r="H463" s="6" t="n">
        <v>63.48</v>
      </c>
      <c r="I463" s="6" t="n">
        <v>5.52</v>
      </c>
      <c r="J463" s="6" t="n">
        <v>38</v>
      </c>
      <c r="K463" s="6">
        <f>H463+I463</f>
        <v/>
      </c>
      <c r="L463" s="5">
        <f>K463/4.7</f>
        <v/>
      </c>
      <c r="M463" s="6" t="n">
        <v>6.699999999999999</v>
      </c>
      <c r="N463" s="6" t="n">
        <v>1</v>
      </c>
      <c r="O463" s="6">
        <f>(K463*0.1229+1.05)/4.7</f>
        <v/>
      </c>
      <c r="P463" s="6">
        <f>K463*0.0749/4.7</f>
        <v/>
      </c>
      <c r="Q463" s="5">
        <f>M463+N463+O463+P463</f>
        <v/>
      </c>
      <c r="R463" s="5">
        <f>L463-Q463</f>
        <v/>
      </c>
      <c r="S463" s="6">
        <f>R463*4.7</f>
        <v/>
      </c>
      <c r="T463" s="7">
        <f>IF(L463&gt;0,R463/L463,0)</f>
        <v/>
      </c>
      <c r="U463" s="3" t="inlineStr">
        <is>
          <t>20/05/2026 11:31:04</t>
        </is>
      </c>
    </row>
    <row r="464">
      <c r="A464" s="3" t="inlineStr">
        <is>
          <t>584111655073711992</t>
        </is>
      </c>
      <c r="B464" s="3" t="inlineStr">
        <is>
          <t>已完成</t>
        </is>
      </c>
      <c r="C464" s="3" t="inlineStr">
        <is>
          <t>ER-A</t>
        </is>
      </c>
      <c r="D464" s="3" t="inlineStr">
        <is>
          <t>广州酒家传统鸡蛋卷454g</t>
        </is>
      </c>
      <c r="E464" s="3" t="inlineStr">
        <is>
          <t>Egg Roll 2สูตร ทองม้วนไข่กล่องเหล็กพรีเมี่ยม!! GuangZhou Restaurant 454g/480g กล่องล่ะ 24 แท่ง</t>
        </is>
      </c>
      <c r="F464" s="3" t="inlineStr">
        <is>
          <t>Traditional สูตรดั้งเดิม ไข่ล้วน</t>
        </is>
      </c>
      <c r="G464" s="6" t="n">
        <v>1</v>
      </c>
      <c r="H464" s="6" t="n">
        <v>720</v>
      </c>
      <c r="I464" s="6" t="n">
        <v>0</v>
      </c>
      <c r="J464" s="6" t="n">
        <v>88</v>
      </c>
      <c r="K464" s="6">
        <f>H464+I464</f>
        <v/>
      </c>
      <c r="L464" s="5">
        <f>K464/4.7</f>
        <v/>
      </c>
      <c r="M464" s="6" t="n">
        <v>40.25338607190941</v>
      </c>
      <c r="N464" s="6" t="n">
        <v>2</v>
      </c>
      <c r="O464" s="6">
        <f>(K464*0.1229+1.05)/4.7</f>
        <v/>
      </c>
      <c r="P464" s="6">
        <f>K464*0.0749/4.7</f>
        <v/>
      </c>
      <c r="Q464" s="5">
        <f>M464+N464+O464+P464</f>
        <v/>
      </c>
      <c r="R464" s="5">
        <f>L464-Q464</f>
        <v/>
      </c>
      <c r="S464" s="6">
        <f>R464*4.7</f>
        <v/>
      </c>
      <c r="T464" s="7">
        <f>IF(L464&gt;0,R464/L464,0)</f>
        <v/>
      </c>
      <c r="U464" s="3" t="inlineStr">
        <is>
          <t>20/05/2026 11:18:31</t>
        </is>
      </c>
    </row>
    <row r="465">
      <c r="A465" s="3" t="inlineStr">
        <is>
          <t>584111655073711992</t>
        </is>
      </c>
      <c r="B465" s="3" t="inlineStr">
        <is>
          <t>已完成</t>
        </is>
      </c>
      <c r="C465" s="3" t="inlineStr">
        <is>
          <t>ER-B</t>
        </is>
      </c>
      <c r="D465" s="3" t="inlineStr">
        <is>
          <t>广州酒家黄油鸡蛋卷480g</t>
        </is>
      </c>
      <c r="E465" s="3" t="inlineStr">
        <is>
          <t>Egg Roll 2สูตร ทองม้วนไข่กล่องเหล็กพรีเมี่ยม!! GuangZhou Restaurant 454g/480g กล่องล่ะ 24 แท่ง</t>
        </is>
      </c>
      <c r="F465" s="3" t="inlineStr">
        <is>
          <t>Butter สูตรเนยสด พรีเมี่ยม</t>
        </is>
      </c>
      <c r="G465" s="6" t="n">
        <v>1</v>
      </c>
      <c r="H465" s="6" t="n">
        <v>720</v>
      </c>
      <c r="I465" s="6" t="n">
        <v>0</v>
      </c>
      <c r="J465" s="6" t="n">
        <v>88</v>
      </c>
      <c r="K465" s="6">
        <f>H465+I465</f>
        <v/>
      </c>
      <c r="L465" s="5">
        <f>K465/4.7</f>
        <v/>
      </c>
      <c r="M465" s="6" t="n">
        <v>45.49882436351998</v>
      </c>
      <c r="N465" s="6" t="n">
        <v>2</v>
      </c>
      <c r="O465" s="6">
        <f>(K465*0.1229+1.05)/4.7</f>
        <v/>
      </c>
      <c r="P465" s="6">
        <f>K465*0.0749/4.7</f>
        <v/>
      </c>
      <c r="Q465" s="5">
        <f>M465+N465+O465+P465</f>
        <v/>
      </c>
      <c r="R465" s="5">
        <f>L465-Q465</f>
        <v/>
      </c>
      <c r="S465" s="6">
        <f>R465*4.7</f>
        <v/>
      </c>
      <c r="T465" s="7">
        <f>IF(L465&gt;0,R465/L465,0)</f>
        <v/>
      </c>
      <c r="U465" s="3" t="inlineStr">
        <is>
          <t>20/05/2026 11:18:31</t>
        </is>
      </c>
    </row>
    <row r="466">
      <c r="A466" s="3" t="inlineStr">
        <is>
          <t>584109732007675627</t>
        </is>
      </c>
      <c r="B466" s="3" t="inlineStr">
        <is>
          <t>已完成</t>
        </is>
      </c>
      <c r="C466" s="3" t="inlineStr">
        <is>
          <t>ER-A</t>
        </is>
      </c>
      <c r="D466" s="3" t="inlineStr">
        <is>
          <t>广州酒家传统鸡蛋卷454g</t>
        </is>
      </c>
      <c r="E466" s="3" t="inlineStr">
        <is>
          <t>Egg Roll 2สูตร ทองม้วนไข่กล่องเหล็กพรีเมี่ยม!! GuangZhou Restaurant 454g/480g กล่องล่ะ 24 แท่ง</t>
        </is>
      </c>
      <c r="F466" s="3" t="inlineStr">
        <is>
          <t>Traditional สูตรดั้งเดิม ไข่ล้วน</t>
        </is>
      </c>
      <c r="G466" s="6" t="n">
        <v>1</v>
      </c>
      <c r="H466" s="6" t="n">
        <v>715</v>
      </c>
      <c r="I466" s="6" t="n">
        <v>0</v>
      </c>
      <c r="J466" s="6" t="n">
        <v>35</v>
      </c>
      <c r="K466" s="6">
        <f>H466+I466</f>
        <v/>
      </c>
      <c r="L466" s="5">
        <f>K466/4.7</f>
        <v/>
      </c>
      <c r="M466" s="6" t="n">
        <v>40.25338607190941</v>
      </c>
      <c r="N466" s="6" t="n">
        <v>2</v>
      </c>
      <c r="O466" s="6">
        <f>(K466*0.1229+1.05)/4.7</f>
        <v/>
      </c>
      <c r="P466" s="6">
        <f>K466*0.0749/4.7</f>
        <v/>
      </c>
      <c r="Q466" s="5">
        <f>M466+N466+O466+P466</f>
        <v/>
      </c>
      <c r="R466" s="5">
        <f>L466-Q466</f>
        <v/>
      </c>
      <c r="S466" s="6">
        <f>R466*4.7</f>
        <v/>
      </c>
      <c r="T466" s="7">
        <f>IF(L466&gt;0,R466/L466,0)</f>
        <v/>
      </c>
      <c r="U466" s="3" t="inlineStr">
        <is>
          <t>20/05/2026 08:51:46</t>
        </is>
      </c>
    </row>
    <row r="467">
      <c r="A467" s="3" t="inlineStr">
        <is>
          <t>584109732007675627</t>
        </is>
      </c>
      <c r="B467" s="3" t="inlineStr">
        <is>
          <t>已完成</t>
        </is>
      </c>
      <c r="C467" s="3" t="inlineStr">
        <is>
          <t>ER-B</t>
        </is>
      </c>
      <c r="D467" s="3" t="inlineStr">
        <is>
          <t>广州酒家黄油鸡蛋卷480g</t>
        </is>
      </c>
      <c r="E467" s="3" t="inlineStr">
        <is>
          <t>Egg Roll 2สูตร ทองม้วนไข่กล่องเหล็กพรีเมี่ยม!! GuangZhou Restaurant 454g/480g กล่องล่ะ 24 แท่ง</t>
        </is>
      </c>
      <c r="F467" s="3" t="inlineStr">
        <is>
          <t>Butter สูตรเนยสด พรีเมี่ยม</t>
        </is>
      </c>
      <c r="G467" s="6" t="n">
        <v>1</v>
      </c>
      <c r="H467" s="6" t="n">
        <v>715</v>
      </c>
      <c r="I467" s="6" t="n">
        <v>0</v>
      </c>
      <c r="J467" s="6" t="n">
        <v>35</v>
      </c>
      <c r="K467" s="6">
        <f>H467+I467</f>
        <v/>
      </c>
      <c r="L467" s="5">
        <f>K467/4.7</f>
        <v/>
      </c>
      <c r="M467" s="6" t="n">
        <v>45.49882436351998</v>
      </c>
      <c r="N467" s="6" t="n">
        <v>2</v>
      </c>
      <c r="O467" s="6">
        <f>(K467*0.1229+1.05)/4.7</f>
        <v/>
      </c>
      <c r="P467" s="6">
        <f>K467*0.0749/4.7</f>
        <v/>
      </c>
      <c r="Q467" s="5">
        <f>M467+N467+O467+P467</f>
        <v/>
      </c>
      <c r="R467" s="5">
        <f>L467-Q467</f>
        <v/>
      </c>
      <c r="S467" s="6">
        <f>R467*4.7</f>
        <v/>
      </c>
      <c r="T467" s="7">
        <f>IF(L467&gt;0,R467/L467,0)</f>
        <v/>
      </c>
      <c r="U467" s="3" t="inlineStr">
        <is>
          <t>20/05/2026 08:51:46</t>
        </is>
      </c>
    </row>
    <row r="468">
      <c r="A468" s="3" t="inlineStr">
        <is>
          <t>584108932941579608</t>
        </is>
      </c>
      <c r="B468" s="3" t="inlineStr">
        <is>
          <t>已完成</t>
        </is>
      </c>
      <c r="C468" s="3" t="inlineStr">
        <is>
          <t>C3</t>
        </is>
      </c>
      <c r="D468" s="3" t="inlineStr">
        <is>
          <t>魔芋笋3大袋</t>
        </is>
      </c>
      <c r="E4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8" s="3" t="inlineStr">
        <is>
          <t>รสเผ็ดหอม​, 30 ซอง 600g</t>
        </is>
      </c>
      <c r="G468" s="6" t="n">
        <v>1</v>
      </c>
      <c r="H468" s="6" t="n">
        <v>172</v>
      </c>
      <c r="I468" s="6" t="n">
        <v>0</v>
      </c>
      <c r="J468" s="6" t="n">
        <v>38</v>
      </c>
      <c r="K468" s="6">
        <f>H468+I468</f>
        <v/>
      </c>
      <c r="L468" s="5">
        <f>K468/4.7</f>
        <v/>
      </c>
      <c r="M468" s="6" t="n">
        <v>20.1</v>
      </c>
      <c r="N468" s="6" t="n">
        <v>1</v>
      </c>
      <c r="O468" s="6">
        <f>(K468*0.1229+1.05)/4.7</f>
        <v/>
      </c>
      <c r="P468" s="6">
        <f>K468*0.0749/4.7</f>
        <v/>
      </c>
      <c r="Q468" s="5">
        <f>M468+N468+O468+P468</f>
        <v/>
      </c>
      <c r="R468" s="5">
        <f>L468-Q468</f>
        <v/>
      </c>
      <c r="S468" s="6">
        <f>R468*4.7</f>
        <v/>
      </c>
      <c r="T468" s="7">
        <f>IF(L468&gt;0,R468/L468,0)</f>
        <v/>
      </c>
      <c r="U468" s="3" t="inlineStr">
        <is>
          <t>20/05/2026 07:32:41</t>
        </is>
      </c>
    </row>
    <row r="469">
      <c r="A469" s="3" t="inlineStr">
        <is>
          <t>584108458020406428</t>
        </is>
      </c>
      <c r="B469" s="3" t="inlineStr">
        <is>
          <t>已完成</t>
        </is>
      </c>
      <c r="C469" s="3" t="inlineStr">
        <is>
          <t>C1</t>
        </is>
      </c>
      <c r="D469" s="3" t="inlineStr">
        <is>
          <t>魔芋笋1大袋</t>
        </is>
      </c>
      <c r="E469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69" s="3" t="inlineStr">
        <is>
          <t>รสเผ็ดหอม​, 1pcs</t>
        </is>
      </c>
      <c r="G469" s="6" t="n">
        <v>1</v>
      </c>
      <c r="H469" s="6" t="n">
        <v>76</v>
      </c>
      <c r="I469" s="6" t="n">
        <v>0</v>
      </c>
      <c r="J469" s="6" t="n">
        <v>35</v>
      </c>
      <c r="K469" s="6">
        <f>H469+I469</f>
        <v/>
      </c>
      <c r="L469" s="5">
        <f>K469/4.7</f>
        <v/>
      </c>
      <c r="M469" s="6" t="n">
        <v>6.699999999999999</v>
      </c>
      <c r="N469" s="6" t="n">
        <v>1</v>
      </c>
      <c r="O469" s="6">
        <f>(K469*0.1229+1.05)/4.7</f>
        <v/>
      </c>
      <c r="P469" s="6">
        <f>K469*0.0749/4.7</f>
        <v/>
      </c>
      <c r="Q469" s="5">
        <f>M469+N469+O469+P469</f>
        <v/>
      </c>
      <c r="R469" s="5">
        <f>L469-Q469</f>
        <v/>
      </c>
      <c r="S469" s="6">
        <f>R469*4.7</f>
        <v/>
      </c>
      <c r="T469" s="7">
        <f>IF(L469&gt;0,R469/L469,0)</f>
        <v/>
      </c>
      <c r="U469" s="3" t="inlineStr">
        <is>
          <t>20/05/2026 06:45:12</t>
        </is>
      </c>
    </row>
    <row r="470">
      <c r="A470" s="3" t="inlineStr">
        <is>
          <t>584107389252765066</t>
        </is>
      </c>
      <c r="B470" s="3" t="inlineStr">
        <is>
          <t>已完成</t>
        </is>
      </c>
      <c r="C470" s="3" t="inlineStr">
        <is>
          <t>C3</t>
        </is>
      </c>
      <c r="D470" s="3" t="inlineStr">
        <is>
          <t>魔芋笋3大袋</t>
        </is>
      </c>
      <c r="E4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0" s="3" t="inlineStr">
        <is>
          <t>รสเผ็ดหอม​, 30 ซอง 600g</t>
        </is>
      </c>
      <c r="G470" s="6" t="n">
        <v>1</v>
      </c>
      <c r="H470" s="6" t="n">
        <v>167</v>
      </c>
      <c r="I470" s="6" t="n">
        <v>0</v>
      </c>
      <c r="J470" s="6" t="n">
        <v>88</v>
      </c>
      <c r="K470" s="6">
        <f>H470+I470</f>
        <v/>
      </c>
      <c r="L470" s="5">
        <f>K470/4.7</f>
        <v/>
      </c>
      <c r="M470" s="6" t="n">
        <v>20.1</v>
      </c>
      <c r="N470" s="6" t="n">
        <v>1</v>
      </c>
      <c r="O470" s="6">
        <f>(K470*0.1229+1.05)/4.7</f>
        <v/>
      </c>
      <c r="P470" s="6">
        <f>K470*0.0749/4.7</f>
        <v/>
      </c>
      <c r="Q470" s="5">
        <f>M470+N470+O470+P470</f>
        <v/>
      </c>
      <c r="R470" s="5">
        <f>L470-Q470</f>
        <v/>
      </c>
      <c r="S470" s="6">
        <f>R470*4.7</f>
        <v/>
      </c>
      <c r="T470" s="7">
        <f>IF(L470&gt;0,R470/L470,0)</f>
        <v/>
      </c>
      <c r="U470" s="3" t="inlineStr">
        <is>
          <t>20/05/2026 03:00:38</t>
        </is>
      </c>
    </row>
    <row r="471">
      <c r="A471" s="3" t="inlineStr">
        <is>
          <t>584107239211042456</t>
        </is>
      </c>
      <c r="B471" s="3" t="inlineStr">
        <is>
          <t>已完成</t>
        </is>
      </c>
      <c r="C471" s="3" t="inlineStr">
        <is>
          <t>C5s</t>
        </is>
      </c>
      <c r="D471" s="3" t="inlineStr">
        <is>
          <t>香辣味魔芋笋5小袋</t>
        </is>
      </c>
      <c r="E4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1" s="3" t="inlineStr">
        <is>
          <t>รสเผ็ดหอม​, 5 ซอง 100g</t>
        </is>
      </c>
      <c r="G471" s="6" t="n">
        <v>1</v>
      </c>
      <c r="H471" s="6" t="n">
        <v>47</v>
      </c>
      <c r="I471" s="6" t="n">
        <v>0</v>
      </c>
      <c r="J471" s="6" t="n">
        <v>35</v>
      </c>
      <c r="K471" s="6">
        <f>H471+I471</f>
        <v/>
      </c>
      <c r="L471" s="5">
        <f>K471/4.7</f>
        <v/>
      </c>
      <c r="M471" s="6" t="n">
        <v>3.35</v>
      </c>
      <c r="N471" s="6" t="n">
        <v>1</v>
      </c>
      <c r="O471" s="6">
        <f>(K471*0.1229+1.05)/4.7</f>
        <v/>
      </c>
      <c r="P471" s="6">
        <f>K471*0.0749/4.7</f>
        <v/>
      </c>
      <c r="Q471" s="5">
        <f>M471+N471+O471+P471</f>
        <v/>
      </c>
      <c r="R471" s="5">
        <f>L471-Q471</f>
        <v/>
      </c>
      <c r="S471" s="6">
        <f>R471*4.7</f>
        <v/>
      </c>
      <c r="T471" s="7">
        <f>IF(L471&gt;0,R471/L471,0)</f>
        <v/>
      </c>
      <c r="U471" s="3" t="inlineStr">
        <is>
          <t>20/05/2026 02:18:11</t>
        </is>
      </c>
    </row>
    <row r="472">
      <c r="A472" s="3" t="inlineStr">
        <is>
          <t>584106299754382807</t>
        </is>
      </c>
      <c r="B472" s="3" t="inlineStr">
        <is>
          <t>已取消</t>
        </is>
      </c>
      <c r="C472" s="3" t="inlineStr">
        <is>
          <t>C1</t>
        </is>
      </c>
      <c r="D472" s="3" t="inlineStr">
        <is>
          <t>魔芋笋1大袋</t>
        </is>
      </c>
      <c r="E4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2" s="3" t="inlineStr">
        <is>
          <t>รสเผ็ดหอม​, 10 ซอง 200g</t>
        </is>
      </c>
      <c r="G472" s="6" t="n">
        <v>1</v>
      </c>
      <c r="H472" s="6" t="n">
        <v>69</v>
      </c>
      <c r="I472" s="6" t="n">
        <v>0</v>
      </c>
      <c r="J472" s="6" t="n">
        <v>38</v>
      </c>
      <c r="K472" s="6">
        <f>H472+I472</f>
        <v/>
      </c>
      <c r="L472" s="5">
        <f>K472/4.7</f>
        <v/>
      </c>
      <c r="M472" s="6" t="n">
        <v>6.699999999999999</v>
      </c>
      <c r="N472" s="6" t="n">
        <v>1</v>
      </c>
      <c r="O472" s="6">
        <f>(K472*0.1229+1.05)/4.7</f>
        <v/>
      </c>
      <c r="P472" s="6">
        <f>K472*0.0749/4.7</f>
        <v/>
      </c>
      <c r="Q472" s="5">
        <f>M472+N472+O472+P472</f>
        <v/>
      </c>
      <c r="R472" s="5">
        <f>L472-Q472</f>
        <v/>
      </c>
      <c r="S472" s="6">
        <f>R472*4.7</f>
        <v/>
      </c>
      <c r="T472" s="7">
        <f>IF(L472&gt;0,R472/L472,0)</f>
        <v/>
      </c>
      <c r="U472" s="3" t="inlineStr">
        <is>
          <t>19/05/2026 23:30:41</t>
        </is>
      </c>
    </row>
    <row r="473">
      <c r="A473" s="3" t="inlineStr">
        <is>
          <t>584104462054163588</t>
        </is>
      </c>
      <c r="B473" s="3" t="inlineStr">
        <is>
          <t>已完成</t>
        </is>
      </c>
      <c r="C473" s="3" t="inlineStr">
        <is>
          <t>C3</t>
        </is>
      </c>
      <c r="D473" s="3" t="inlineStr">
        <is>
          <t>魔芋笋3大袋</t>
        </is>
      </c>
      <c r="E4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3" s="3" t="inlineStr">
        <is>
          <t>รสเผ็ดหอม​, 30 ซอง 600g</t>
        </is>
      </c>
      <c r="G473" s="6" t="n">
        <v>1</v>
      </c>
      <c r="H473" s="6" t="n">
        <v>241</v>
      </c>
      <c r="I473" s="6" t="n">
        <v>0</v>
      </c>
      <c r="J473" s="6" t="n">
        <v>48</v>
      </c>
      <c r="K473" s="6">
        <f>H473+I473</f>
        <v/>
      </c>
      <c r="L473" s="5">
        <f>K473/4.7</f>
        <v/>
      </c>
      <c r="M473" s="6" t="n">
        <v>20.1</v>
      </c>
      <c r="N473" s="6" t="n">
        <v>1</v>
      </c>
      <c r="O473" s="6">
        <f>(K473*0.1229+1.05)/4.7</f>
        <v/>
      </c>
      <c r="P473" s="6">
        <f>K473*0.0749/4.7</f>
        <v/>
      </c>
      <c r="Q473" s="5">
        <f>M473+N473+O473+P473</f>
        <v/>
      </c>
      <c r="R473" s="5">
        <f>L473-Q473</f>
        <v/>
      </c>
      <c r="S473" s="6">
        <f>R473*4.7</f>
        <v/>
      </c>
      <c r="T473" s="7">
        <f>IF(L473&gt;0,R473/L473,0)</f>
        <v/>
      </c>
      <c r="U473" s="3" t="inlineStr">
        <is>
          <t>19/05/2026 21:14:11</t>
        </is>
      </c>
    </row>
    <row r="474">
      <c r="A474" s="3" t="inlineStr">
        <is>
          <t>584104462054163588</t>
        </is>
      </c>
      <c r="B474" s="3" t="inlineStr">
        <is>
          <t>已完成</t>
        </is>
      </c>
      <c r="C474" s="3" t="inlineStr">
        <is>
          <t>B1</t>
        </is>
      </c>
      <c r="D474" s="3" t="inlineStr">
        <is>
          <t>魔芋笋1大袋</t>
        </is>
      </c>
      <c r="E4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4" s="3" t="inlineStr">
        <is>
          <t>รสเปรี้ยวเผ็ด​, 10 ซอง 200g</t>
        </is>
      </c>
      <c r="G474" s="6" t="n">
        <v>1</v>
      </c>
      <c r="H474" s="6" t="n">
        <v>241</v>
      </c>
      <c r="I474" s="6" t="n">
        <v>0</v>
      </c>
      <c r="J474" s="6" t="n">
        <v>48</v>
      </c>
      <c r="K474" s="6">
        <f>H474+I474</f>
        <v/>
      </c>
      <c r="L474" s="5">
        <f>K474/4.7</f>
        <v/>
      </c>
      <c r="M474" s="6" t="n">
        <v>6.699999999999999</v>
      </c>
      <c r="N474" s="6" t="n">
        <v>1</v>
      </c>
      <c r="O474" s="6">
        <f>(K474*0.1229+1.05)/4.7</f>
        <v/>
      </c>
      <c r="P474" s="6">
        <f>K474*0.0749/4.7</f>
        <v/>
      </c>
      <c r="Q474" s="5">
        <f>M474+N474+O474+P474</f>
        <v/>
      </c>
      <c r="R474" s="5">
        <f>L474-Q474</f>
        <v/>
      </c>
      <c r="S474" s="6">
        <f>R474*4.7</f>
        <v/>
      </c>
      <c r="T474" s="7">
        <f>IF(L474&gt;0,R474/L474,0)</f>
        <v/>
      </c>
      <c r="U474" s="3" t="inlineStr">
        <is>
          <t>19/05/2026 21:14:11</t>
        </is>
      </c>
    </row>
    <row r="475">
      <c r="A475" s="3" t="inlineStr">
        <is>
          <t>584104258851079677</t>
        </is>
      </c>
      <c r="B475" s="3" t="inlineStr">
        <is>
          <t>已取消</t>
        </is>
      </c>
      <c r="C475" s="3" t="inlineStr">
        <is>
          <t>CK</t>
        </is>
      </c>
      <c r="D475" s="3" t="inlineStr">
        <is>
          <t>黑松露黑麦苏打饼干</t>
        </is>
      </c>
      <c r="E47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75" s="3" t="inlineStr">
        <is>
          <t>ค่าเริ่มต้น</t>
        </is>
      </c>
      <c r="G475" s="6" t="n">
        <v>1</v>
      </c>
      <c r="H475" s="6" t="n">
        <v>100</v>
      </c>
      <c r="I475" s="6" t="n">
        <v>0</v>
      </c>
      <c r="J475" s="6" t="n">
        <v>38</v>
      </c>
      <c r="K475" s="6">
        <f>H475+I475</f>
        <v/>
      </c>
      <c r="L475" s="5">
        <f>K475/4.7</f>
        <v/>
      </c>
      <c r="M475" s="6" t="n">
        <v>10.72665050209467</v>
      </c>
      <c r="N475" s="6" t="n">
        <v>1</v>
      </c>
      <c r="O475" s="6">
        <f>(K475*0.1229+1.05)/4.7</f>
        <v/>
      </c>
      <c r="P475" s="6">
        <f>K475*0.0749/4.7</f>
        <v/>
      </c>
      <c r="Q475" s="5">
        <f>M475+N475+O475+P475</f>
        <v/>
      </c>
      <c r="R475" s="5">
        <f>L475-Q475</f>
        <v/>
      </c>
      <c r="S475" s="6">
        <f>R475*4.7</f>
        <v/>
      </c>
      <c r="T475" s="7">
        <f>IF(L475&gt;0,R475/L475,0)</f>
        <v/>
      </c>
      <c r="U475" s="3" t="inlineStr">
        <is>
          <t>19/05/2026 21:01:05</t>
        </is>
      </c>
    </row>
    <row r="476">
      <c r="A476" s="3" t="inlineStr">
        <is>
          <t>584103946965255328</t>
        </is>
      </c>
      <c r="B476" s="3" t="inlineStr">
        <is>
          <t>已完成</t>
        </is>
      </c>
      <c r="C476" s="3" t="inlineStr">
        <is>
          <t>C1</t>
        </is>
      </c>
      <c r="D476" s="3" t="inlineStr">
        <is>
          <t>魔芋笋1大袋</t>
        </is>
      </c>
      <c r="E4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6" s="3" t="inlineStr">
        <is>
          <t>รสเผ็ดหอม​, 10 ซอง 200g</t>
        </is>
      </c>
      <c r="G476" s="6" t="n">
        <v>1</v>
      </c>
      <c r="H476" s="6" t="n">
        <v>69</v>
      </c>
      <c r="I476" s="6" t="n">
        <v>0</v>
      </c>
      <c r="J476" s="6" t="n">
        <v>38</v>
      </c>
      <c r="K476" s="6">
        <f>H476+I476</f>
        <v/>
      </c>
      <c r="L476" s="5">
        <f>K476/4.7</f>
        <v/>
      </c>
      <c r="M476" s="6" t="n">
        <v>6.699999999999999</v>
      </c>
      <c r="N476" s="6" t="n">
        <v>1</v>
      </c>
      <c r="O476" s="6">
        <f>(K476*0.1229+1.05)/4.7</f>
        <v/>
      </c>
      <c r="P476" s="6">
        <f>K476*0.0749/4.7</f>
        <v/>
      </c>
      <c r="Q476" s="5">
        <f>M476+N476+O476+P476</f>
        <v/>
      </c>
      <c r="R476" s="5">
        <f>L476-Q476</f>
        <v/>
      </c>
      <c r="S476" s="6">
        <f>R476*4.7</f>
        <v/>
      </c>
      <c r="T476" s="7">
        <f>IF(L476&gt;0,R476/L476,0)</f>
        <v/>
      </c>
      <c r="U476" s="3" t="inlineStr">
        <is>
          <t>19/05/2026 20:44:08</t>
        </is>
      </c>
    </row>
    <row r="477">
      <c r="A477" s="3" t="inlineStr">
        <is>
          <t>584103657131705543</t>
        </is>
      </c>
      <c r="B477" s="3" t="inlineStr">
        <is>
          <t>已完成</t>
        </is>
      </c>
      <c r="C477" s="3" t="inlineStr">
        <is>
          <t>C2</t>
        </is>
      </c>
      <c r="D477" s="3" t="inlineStr">
        <is>
          <t>魔芋笋2大袋</t>
        </is>
      </c>
      <c r="E4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7" s="3" t="inlineStr">
        <is>
          <t>รสเผ็ดหอม​, 20 ซอง 400g</t>
        </is>
      </c>
      <c r="G477" s="6" t="n">
        <v>2</v>
      </c>
      <c r="H477" s="6" t="n">
        <v>250</v>
      </c>
      <c r="I477" s="6" t="n">
        <v>0</v>
      </c>
      <c r="J477" s="6" t="n">
        <v>48</v>
      </c>
      <c r="K477" s="6">
        <f>H477+I477</f>
        <v/>
      </c>
      <c r="L477" s="5">
        <f>K477/4.7</f>
        <v/>
      </c>
      <c r="M477" s="6" t="n">
        <v>26.8</v>
      </c>
      <c r="N477" s="6" t="n">
        <v>1</v>
      </c>
      <c r="O477" s="6">
        <f>(K477*0.1229+1.05)/4.7</f>
        <v/>
      </c>
      <c r="P477" s="6">
        <f>K477*0.0749/4.7</f>
        <v/>
      </c>
      <c r="Q477" s="5">
        <f>M477+N477+O477+P477</f>
        <v/>
      </c>
      <c r="R477" s="5">
        <f>L477-Q477</f>
        <v/>
      </c>
      <c r="S477" s="6">
        <f>R477*4.7</f>
        <v/>
      </c>
      <c r="T477" s="7">
        <f>IF(L477&gt;0,R477/L477,0)</f>
        <v/>
      </c>
      <c r="U477" s="3" t="inlineStr">
        <is>
          <t>19/05/2026 20:26:41</t>
        </is>
      </c>
    </row>
    <row r="478">
      <c r="A478" s="3" t="inlineStr">
        <is>
          <t>584103499133060113</t>
        </is>
      </c>
      <c r="B478" s="3" t="inlineStr">
        <is>
          <t>已完成</t>
        </is>
      </c>
      <c r="C478" s="3" t="inlineStr">
        <is>
          <t>C1</t>
        </is>
      </c>
      <c r="D478" s="3" t="inlineStr">
        <is>
          <t>魔芋笋1大袋</t>
        </is>
      </c>
      <c r="E4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8" s="3" t="inlineStr">
        <is>
          <t>รสเผ็ดหอม​, 10 ซอง 200g</t>
        </is>
      </c>
      <c r="G478" s="6" t="n">
        <v>1</v>
      </c>
      <c r="H478" s="6" t="n">
        <v>138</v>
      </c>
      <c r="I478" s="6" t="n">
        <v>0</v>
      </c>
      <c r="J478" s="6" t="n">
        <v>35</v>
      </c>
      <c r="K478" s="6">
        <f>H478+I478</f>
        <v/>
      </c>
      <c r="L478" s="5">
        <f>K478/4.7</f>
        <v/>
      </c>
      <c r="M478" s="6" t="n">
        <v>6.699999999999999</v>
      </c>
      <c r="N478" s="6" t="n">
        <v>1</v>
      </c>
      <c r="O478" s="6">
        <f>(K478*0.1229+1.05)/4.7</f>
        <v/>
      </c>
      <c r="P478" s="6">
        <f>K478*0.0749/4.7</f>
        <v/>
      </c>
      <c r="Q478" s="5">
        <f>M478+N478+O478+P478</f>
        <v/>
      </c>
      <c r="R478" s="5">
        <f>L478-Q478</f>
        <v/>
      </c>
      <c r="S478" s="6">
        <f>R478*4.7</f>
        <v/>
      </c>
      <c r="T478" s="7">
        <f>IF(L478&gt;0,R478/L478,0)</f>
        <v/>
      </c>
      <c r="U478" s="3" t="inlineStr">
        <is>
          <t>19/05/2026 20:15:09</t>
        </is>
      </c>
    </row>
    <row r="479">
      <c r="A479" s="3" t="inlineStr">
        <is>
          <t>584103499133060113</t>
        </is>
      </c>
      <c r="B479" s="3" t="inlineStr">
        <is>
          <t>已完成</t>
        </is>
      </c>
      <c r="C479" s="3" t="inlineStr">
        <is>
          <t>B1</t>
        </is>
      </c>
      <c r="D479" s="3" t="inlineStr">
        <is>
          <t>魔芋笋1大袋</t>
        </is>
      </c>
      <c r="E4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9" s="3" t="inlineStr">
        <is>
          <t>รสเปรี้ยวเผ็ด​, 10 ซอง 200g</t>
        </is>
      </c>
      <c r="G479" s="6" t="n">
        <v>1</v>
      </c>
      <c r="H479" s="6" t="n">
        <v>138</v>
      </c>
      <c r="I479" s="6" t="n">
        <v>0</v>
      </c>
      <c r="J479" s="6" t="n">
        <v>35</v>
      </c>
      <c r="K479" s="6">
        <f>H479+I479</f>
        <v/>
      </c>
      <c r="L479" s="5">
        <f>K479/4.7</f>
        <v/>
      </c>
      <c r="M479" s="6" t="n">
        <v>6.699999999999999</v>
      </c>
      <c r="N479" s="6" t="n">
        <v>1</v>
      </c>
      <c r="O479" s="6">
        <f>(K479*0.1229+1.05)/4.7</f>
        <v/>
      </c>
      <c r="P479" s="6">
        <f>K479*0.0749/4.7</f>
        <v/>
      </c>
      <c r="Q479" s="5">
        <f>M479+N479+O479+P479</f>
        <v/>
      </c>
      <c r="R479" s="5">
        <f>L479-Q479</f>
        <v/>
      </c>
      <c r="S479" s="6">
        <f>R479*4.7</f>
        <v/>
      </c>
      <c r="T479" s="7">
        <f>IF(L479&gt;0,R479/L479,0)</f>
        <v/>
      </c>
      <c r="U479" s="3" t="inlineStr">
        <is>
          <t>19/05/2026 20:15:09</t>
        </is>
      </c>
    </row>
    <row r="480">
      <c r="A480" s="3" t="inlineStr">
        <is>
          <t>584103245753911087</t>
        </is>
      </c>
      <c r="B480" s="3" t="inlineStr">
        <is>
          <t>已完成</t>
        </is>
      </c>
      <c r="C480" s="3" t="inlineStr">
        <is>
          <t>B5s</t>
        </is>
      </c>
      <c r="D480" s="3" t="inlineStr">
        <is>
          <t>酸辣味5小袋</t>
        </is>
      </c>
      <c r="E4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0" s="3" t="inlineStr">
        <is>
          <t>รสเปรี้ยวเผ็ด​, 5 ซอง 100g</t>
        </is>
      </c>
      <c r="G480" s="6" t="n">
        <v>2</v>
      </c>
      <c r="H480" s="6" t="n">
        <v>114</v>
      </c>
      <c r="I480" s="6" t="n">
        <v>0</v>
      </c>
      <c r="J480" s="6" t="n">
        <v>28</v>
      </c>
      <c r="K480" s="6">
        <f>H480+I480</f>
        <v/>
      </c>
      <c r="L480" s="5">
        <f>K480/4.7</f>
        <v/>
      </c>
      <c r="M480" s="6" t="n">
        <v>6.699999999999999</v>
      </c>
      <c r="N480" s="6" t="n">
        <v>1</v>
      </c>
      <c r="O480" s="6">
        <f>(K480*0.1229+1.05)/4.7</f>
        <v/>
      </c>
      <c r="P480" s="6">
        <f>K480*0.0749/4.7</f>
        <v/>
      </c>
      <c r="Q480" s="5">
        <f>M480+N480+O480+P480</f>
        <v/>
      </c>
      <c r="R480" s="5">
        <f>L480-Q480</f>
        <v/>
      </c>
      <c r="S480" s="6">
        <f>R480*4.7</f>
        <v/>
      </c>
      <c r="T480" s="7">
        <f>IF(L480&gt;0,R480/L480,0)</f>
        <v/>
      </c>
      <c r="U480" s="3" t="inlineStr">
        <is>
          <t>19/05/2026 19:58:15</t>
        </is>
      </c>
    </row>
    <row r="481">
      <c r="A481" s="3" t="inlineStr">
        <is>
          <t>584103177233859933</t>
        </is>
      </c>
      <c r="B481" s="3" t="inlineStr">
        <is>
          <t>已完成</t>
        </is>
      </c>
      <c r="C481" s="3" t="inlineStr">
        <is>
          <t>C1</t>
        </is>
      </c>
      <c r="D481" s="3" t="inlineStr">
        <is>
          <t>魔芋笋1大袋</t>
        </is>
      </c>
      <c r="E4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1" s="3" t="inlineStr">
        <is>
          <t>รสเผ็ดหอม​, 10 ซอง 200g</t>
        </is>
      </c>
      <c r="G481" s="6" t="n">
        <v>1</v>
      </c>
      <c r="H481" s="6" t="n">
        <v>69</v>
      </c>
      <c r="I481" s="6" t="n">
        <v>0</v>
      </c>
      <c r="J481" s="6" t="n">
        <v>38</v>
      </c>
      <c r="K481" s="6">
        <f>H481+I481</f>
        <v/>
      </c>
      <c r="L481" s="5">
        <f>K481/4.7</f>
        <v/>
      </c>
      <c r="M481" s="6" t="n">
        <v>6.699999999999999</v>
      </c>
      <c r="N481" s="6" t="n">
        <v>1</v>
      </c>
      <c r="O481" s="6">
        <f>(K481*0.1229+1.05)/4.7</f>
        <v/>
      </c>
      <c r="P481" s="6">
        <f>K481*0.0749/4.7</f>
        <v/>
      </c>
      <c r="Q481" s="5">
        <f>M481+N481+O481+P481</f>
        <v/>
      </c>
      <c r="R481" s="5">
        <f>L481-Q481</f>
        <v/>
      </c>
      <c r="S481" s="6">
        <f>R481*4.7</f>
        <v/>
      </c>
      <c r="T481" s="7">
        <f>IF(L481&gt;0,R481/L481,0)</f>
        <v/>
      </c>
      <c r="U481" s="3" t="inlineStr">
        <is>
          <t>19/05/2026 19:56:59</t>
        </is>
      </c>
    </row>
    <row r="482">
      <c r="A482" s="3" t="inlineStr">
        <is>
          <t>584102113720764029</t>
        </is>
      </c>
      <c r="B482" s="3" t="inlineStr">
        <is>
          <t>已完成</t>
        </is>
      </c>
      <c r="C482" s="3" t="inlineStr">
        <is>
          <t>C3</t>
        </is>
      </c>
      <c r="D482" s="3" t="inlineStr">
        <is>
          <t>魔芋笋3大袋</t>
        </is>
      </c>
      <c r="E4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2" s="3" t="inlineStr">
        <is>
          <t>รสเผ็ดหอม​, 30 ซอง 600g</t>
        </is>
      </c>
      <c r="G482" s="6" t="n">
        <v>1</v>
      </c>
      <c r="H482" s="6" t="n">
        <v>167</v>
      </c>
      <c r="I482" s="6" t="n">
        <v>0</v>
      </c>
      <c r="J482" s="6" t="n">
        <v>35</v>
      </c>
      <c r="K482" s="6">
        <f>H482+I482</f>
        <v/>
      </c>
      <c r="L482" s="5">
        <f>K482/4.7</f>
        <v/>
      </c>
      <c r="M482" s="6" t="n">
        <v>20.1</v>
      </c>
      <c r="N482" s="6" t="n">
        <v>1</v>
      </c>
      <c r="O482" s="6">
        <f>(K482*0.1229+1.05)/4.7</f>
        <v/>
      </c>
      <c r="P482" s="6">
        <f>K482*0.0749/4.7</f>
        <v/>
      </c>
      <c r="Q482" s="5">
        <f>M482+N482+O482+P482</f>
        <v/>
      </c>
      <c r="R482" s="5">
        <f>L482-Q482</f>
        <v/>
      </c>
      <c r="S482" s="6">
        <f>R482*4.7</f>
        <v/>
      </c>
      <c r="T482" s="7">
        <f>IF(L482&gt;0,R482/L482,0)</f>
        <v/>
      </c>
      <c r="U482" s="3" t="inlineStr">
        <is>
          <t>19/05/2026 18:42:48</t>
        </is>
      </c>
    </row>
    <row r="483">
      <c r="A483" s="3" t="inlineStr">
        <is>
          <t>584102058908026127</t>
        </is>
      </c>
      <c r="B483" s="3" t="inlineStr">
        <is>
          <t>已完成</t>
        </is>
      </c>
      <c r="C483" s="3" t="inlineStr">
        <is>
          <t>C1</t>
        </is>
      </c>
      <c r="D483" s="3" t="inlineStr">
        <is>
          <t>魔芋笋1大袋</t>
        </is>
      </c>
      <c r="E4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3" s="3" t="inlineStr">
        <is>
          <t>รสเผ็ดหอม​, 10 ซอง 200g</t>
        </is>
      </c>
      <c r="G483" s="6" t="n">
        <v>1</v>
      </c>
      <c r="H483" s="6" t="n">
        <v>76</v>
      </c>
      <c r="I483" s="6" t="n">
        <v>0</v>
      </c>
      <c r="J483" s="6" t="n">
        <v>28</v>
      </c>
      <c r="K483" s="6">
        <f>H483+I483</f>
        <v/>
      </c>
      <c r="L483" s="5">
        <f>K483/4.7</f>
        <v/>
      </c>
      <c r="M483" s="6" t="n">
        <v>6.699999999999999</v>
      </c>
      <c r="N483" s="6" t="n">
        <v>1</v>
      </c>
      <c r="O483" s="6">
        <f>(K483*0.1229+1.05)/4.7</f>
        <v/>
      </c>
      <c r="P483" s="6">
        <f>K483*0.0749/4.7</f>
        <v/>
      </c>
      <c r="Q483" s="5">
        <f>M483+N483+O483+P483</f>
        <v/>
      </c>
      <c r="R483" s="5">
        <f>L483-Q483</f>
        <v/>
      </c>
      <c r="S483" s="6">
        <f>R483*4.7</f>
        <v/>
      </c>
      <c r="T483" s="7">
        <f>IF(L483&gt;0,R483/L483,0)</f>
        <v/>
      </c>
      <c r="U483" s="3" t="inlineStr">
        <is>
          <t>19/05/2026 18:32:56</t>
        </is>
      </c>
    </row>
    <row r="484">
      <c r="A484" s="3" t="inlineStr">
        <is>
          <t>584101774083720795</t>
        </is>
      </c>
      <c r="B484" s="3" t="inlineStr">
        <is>
          <t>已完成</t>
        </is>
      </c>
      <c r="C484" s="3" t="inlineStr">
        <is>
          <t>C5s</t>
        </is>
      </c>
      <c r="D484" s="3" t="inlineStr">
        <is>
          <t>香辣味魔芋笋5小袋</t>
        </is>
      </c>
      <c r="E4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4" s="3" t="inlineStr">
        <is>
          <t>รสเผ็ดหอม​, 5 ซอง 100g</t>
        </is>
      </c>
      <c r="G484" s="6" t="n">
        <v>2</v>
      </c>
      <c r="H484" s="6" t="n">
        <v>94</v>
      </c>
      <c r="I484" s="6" t="n">
        <v>0</v>
      </c>
      <c r="J484" s="6" t="n">
        <v>48</v>
      </c>
      <c r="K484" s="6">
        <f>H484+I484</f>
        <v/>
      </c>
      <c r="L484" s="5">
        <f>K484/4.7</f>
        <v/>
      </c>
      <c r="M484" s="6" t="n">
        <v>6.699999999999999</v>
      </c>
      <c r="N484" s="6" t="n">
        <v>1</v>
      </c>
      <c r="O484" s="6">
        <f>(K484*0.1229+1.05)/4.7</f>
        <v/>
      </c>
      <c r="P484" s="6">
        <f>K484*0.0749/4.7</f>
        <v/>
      </c>
      <c r="Q484" s="5">
        <f>M484+N484+O484+P484</f>
        <v/>
      </c>
      <c r="R484" s="5">
        <f>L484-Q484</f>
        <v/>
      </c>
      <c r="S484" s="6">
        <f>R484*4.7</f>
        <v/>
      </c>
      <c r="T484" s="7">
        <f>IF(L484&gt;0,R484/L484,0)</f>
        <v/>
      </c>
      <c r="U484" s="3" t="inlineStr">
        <is>
          <t>19/05/2026 18:21:10</t>
        </is>
      </c>
    </row>
    <row r="485">
      <c r="A485" s="3" t="inlineStr">
        <is>
          <t>584101702143935533</t>
        </is>
      </c>
      <c r="B485" s="3" t="inlineStr">
        <is>
          <t>已取消</t>
        </is>
      </c>
      <c r="C485" s="3" t="inlineStr">
        <is>
          <t>C2</t>
        </is>
      </c>
      <c r="D485" s="3" t="inlineStr">
        <is>
          <t>魔芋笋2大袋</t>
        </is>
      </c>
      <c r="E4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5" s="3" t="inlineStr">
        <is>
          <t>รสเผ็ดหอม​, 20 ซอง 400g</t>
        </is>
      </c>
      <c r="G485" s="6" t="n">
        <v>1</v>
      </c>
      <c r="H485" s="6" t="n">
        <v>159</v>
      </c>
      <c r="I485" s="6" t="n">
        <v>0</v>
      </c>
      <c r="J485" s="6" t="n">
        <v>0</v>
      </c>
      <c r="K485" s="6">
        <f>H485+I485</f>
        <v/>
      </c>
      <c r="L485" s="5">
        <f>K485/4.7</f>
        <v/>
      </c>
      <c r="M485" s="6" t="n">
        <v>13.4</v>
      </c>
      <c r="N485" s="6" t="n">
        <v>1</v>
      </c>
      <c r="O485" s="6">
        <f>(K485*0.1229+1.05)/4.7</f>
        <v/>
      </c>
      <c r="P485" s="6">
        <f>K485*0.0749/4.7</f>
        <v/>
      </c>
      <c r="Q485" s="5">
        <f>M485+N485+O485+P485</f>
        <v/>
      </c>
      <c r="R485" s="5">
        <f>L485-Q485</f>
        <v/>
      </c>
      <c r="S485" s="6">
        <f>R485*4.7</f>
        <v/>
      </c>
      <c r="T485" s="7">
        <f>IF(L485&gt;0,R485/L485,0)</f>
        <v/>
      </c>
      <c r="U485" s="3" t="inlineStr">
        <is>
          <t>19/05/2026 18:14:51</t>
        </is>
      </c>
    </row>
    <row r="486">
      <c r="A486" s="3" t="inlineStr">
        <is>
          <t>584101700460381787</t>
        </is>
      </c>
      <c r="B486" s="3" t="inlineStr">
        <is>
          <t>已取消</t>
        </is>
      </c>
      <c r="C486" s="3" t="inlineStr">
        <is>
          <t>C3</t>
        </is>
      </c>
      <c r="D486" s="3" t="inlineStr">
        <is>
          <t>魔芋笋3大袋</t>
        </is>
      </c>
      <c r="E4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6" s="3" t="inlineStr">
        <is>
          <t>รสเผ็ดหอม​, 30 ซอง 600g</t>
        </is>
      </c>
      <c r="G486" s="6" t="n">
        <v>1</v>
      </c>
      <c r="H486" s="6" t="n">
        <v>167</v>
      </c>
      <c r="I486" s="6" t="n">
        <v>0</v>
      </c>
      <c r="J486" s="6" t="n">
        <v>38</v>
      </c>
      <c r="K486" s="6">
        <f>H486+I486</f>
        <v/>
      </c>
      <c r="L486" s="5">
        <f>K486/4.7</f>
        <v/>
      </c>
      <c r="M486" s="6" t="n">
        <v>20.1</v>
      </c>
      <c r="N486" s="6" t="n">
        <v>1</v>
      </c>
      <c r="O486" s="6">
        <f>(K486*0.1229+1.05)/4.7</f>
        <v/>
      </c>
      <c r="P486" s="6">
        <f>K486*0.0749/4.7</f>
        <v/>
      </c>
      <c r="Q486" s="5">
        <f>M486+N486+O486+P486</f>
        <v/>
      </c>
      <c r="R486" s="5">
        <f>L486-Q486</f>
        <v/>
      </c>
      <c r="S486" s="6">
        <f>R486*4.7</f>
        <v/>
      </c>
      <c r="T486" s="7">
        <f>IF(L486&gt;0,R486/L486,0)</f>
        <v/>
      </c>
      <c r="U486" s="3" t="inlineStr">
        <is>
          <t>19/05/2026 18:14:29</t>
        </is>
      </c>
    </row>
    <row r="487">
      <c r="A487" s="3" t="inlineStr">
        <is>
          <t>584101587932316674</t>
        </is>
      </c>
      <c r="B487" s="3" t="inlineStr">
        <is>
          <t>已完成</t>
        </is>
      </c>
      <c r="C487" s="3" t="inlineStr">
        <is>
          <t>C5s</t>
        </is>
      </c>
      <c r="D487" s="3" t="inlineStr">
        <is>
          <t>香辣味魔芋笋5小袋</t>
        </is>
      </c>
      <c r="E4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7" s="3" t="inlineStr">
        <is>
          <t>รสเผ็ดหอม​, 5 ซอง 100g</t>
        </is>
      </c>
      <c r="G487" s="6" t="n">
        <v>1</v>
      </c>
      <c r="H487" s="6" t="n">
        <v>48</v>
      </c>
      <c r="I487" s="6" t="n">
        <v>0</v>
      </c>
      <c r="J487" s="6" t="n">
        <v>35</v>
      </c>
      <c r="K487" s="6">
        <f>H487+I487</f>
        <v/>
      </c>
      <c r="L487" s="5">
        <f>K487/4.7</f>
        <v/>
      </c>
      <c r="M487" s="6" t="n">
        <v>3.35</v>
      </c>
      <c r="N487" s="6" t="n">
        <v>1</v>
      </c>
      <c r="O487" s="6">
        <f>(K487*0.1229+1.05)/4.7</f>
        <v/>
      </c>
      <c r="P487" s="6">
        <f>K487*0.0749/4.7</f>
        <v/>
      </c>
      <c r="Q487" s="5">
        <f>M487+N487+O487+P487</f>
        <v/>
      </c>
      <c r="R487" s="5">
        <f>L487-Q487</f>
        <v/>
      </c>
      <c r="S487" s="6">
        <f>R487*4.7</f>
        <v/>
      </c>
      <c r="T487" s="7">
        <f>IF(L487&gt;0,R487/L487,0)</f>
        <v/>
      </c>
      <c r="U487" s="3" t="inlineStr">
        <is>
          <t>19/05/2026 18:07:02</t>
        </is>
      </c>
    </row>
    <row r="488">
      <c r="A488" s="3" t="inlineStr">
        <is>
          <t>584101566103389264</t>
        </is>
      </c>
      <c r="B488" s="3" t="inlineStr">
        <is>
          <t>已完成</t>
        </is>
      </c>
      <c r="C488" s="3" t="inlineStr">
        <is>
          <t>C3</t>
        </is>
      </c>
      <c r="D488" s="3" t="inlineStr">
        <is>
          <t>魔芋笋3大袋</t>
        </is>
      </c>
      <c r="E4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8" s="3" t="inlineStr">
        <is>
          <t>รสเผ็ดหอม​, 30 ซอง 600g</t>
        </is>
      </c>
      <c r="G488" s="6" t="n">
        <v>3</v>
      </c>
      <c r="H488" s="6" t="n">
        <v>516</v>
      </c>
      <c r="I488" s="6" t="n">
        <v>0</v>
      </c>
      <c r="J488" s="6" t="n">
        <v>48</v>
      </c>
      <c r="K488" s="6">
        <f>H488+I488</f>
        <v/>
      </c>
      <c r="L488" s="5">
        <f>K488/4.7</f>
        <v/>
      </c>
      <c r="M488" s="6" t="n">
        <v>60.3</v>
      </c>
      <c r="N488" s="6" t="n">
        <v>1</v>
      </c>
      <c r="O488" s="6">
        <f>(K488*0.1229+1.05)/4.7</f>
        <v/>
      </c>
      <c r="P488" s="6">
        <f>K488*0.0749/4.7</f>
        <v/>
      </c>
      <c r="Q488" s="5">
        <f>M488+N488+O488+P488</f>
        <v/>
      </c>
      <c r="R488" s="5">
        <f>L488-Q488</f>
        <v/>
      </c>
      <c r="S488" s="6">
        <f>R488*4.7</f>
        <v/>
      </c>
      <c r="T488" s="7">
        <f>IF(L488&gt;0,R488/L488,0)</f>
        <v/>
      </c>
      <c r="U488" s="3" t="inlineStr">
        <is>
          <t>19/05/2026 18:01:07</t>
        </is>
      </c>
    </row>
    <row r="489">
      <c r="A489" s="3" t="inlineStr">
        <is>
          <t>584100716933842610</t>
        </is>
      </c>
      <c r="B489" s="3" t="inlineStr">
        <is>
          <t>已完成</t>
        </is>
      </c>
      <c r="C489" s="3" t="inlineStr">
        <is>
          <t>C2</t>
        </is>
      </c>
      <c r="D489" s="3" t="inlineStr">
        <is>
          <t>魔芋笋2大袋</t>
        </is>
      </c>
      <c r="E4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9" s="3" t="inlineStr">
        <is>
          <t>รสเผ็ดหอม​, 20 ซอง 400g</t>
        </is>
      </c>
      <c r="G489" s="6" t="n">
        <v>1</v>
      </c>
      <c r="H489" s="6" t="n">
        <v>120</v>
      </c>
      <c r="I489" s="6" t="n">
        <v>0</v>
      </c>
      <c r="J489" s="6" t="n">
        <v>38</v>
      </c>
      <c r="K489" s="6">
        <f>H489+I489</f>
        <v/>
      </c>
      <c r="L489" s="5">
        <f>K489/4.7</f>
        <v/>
      </c>
      <c r="M489" s="6" t="n">
        <v>13.4</v>
      </c>
      <c r="N489" s="6" t="n">
        <v>1</v>
      </c>
      <c r="O489" s="6">
        <f>(K489*0.1229+1.05)/4.7</f>
        <v/>
      </c>
      <c r="P489" s="6">
        <f>K489*0.0749/4.7</f>
        <v/>
      </c>
      <c r="Q489" s="5">
        <f>M489+N489+O489+P489</f>
        <v/>
      </c>
      <c r="R489" s="5">
        <f>L489-Q489</f>
        <v/>
      </c>
      <c r="S489" s="6">
        <f>R489*4.7</f>
        <v/>
      </c>
      <c r="T489" s="7">
        <f>IF(L489&gt;0,R489/L489,0)</f>
        <v/>
      </c>
      <c r="U489" s="3" t="inlineStr">
        <is>
          <t>19/05/2026 16:52:31</t>
        </is>
      </c>
    </row>
    <row r="490">
      <c r="A490" s="3" t="inlineStr">
        <is>
          <t>584100604338144376</t>
        </is>
      </c>
      <c r="B490" s="3" t="inlineStr">
        <is>
          <t>已完成</t>
        </is>
      </c>
      <c r="C490" s="3" t="inlineStr">
        <is>
          <t>C1</t>
        </is>
      </c>
      <c r="D490" s="3" t="inlineStr">
        <is>
          <t>魔芋笋1大袋</t>
        </is>
      </c>
      <c r="E4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0" s="3" t="inlineStr">
        <is>
          <t>รสเผ็ดหอม​, 10 ซอง 200g</t>
        </is>
      </c>
      <c r="G490" s="6" t="n">
        <v>1</v>
      </c>
      <c r="H490" s="6" t="n">
        <v>69</v>
      </c>
      <c r="I490" s="6" t="n">
        <v>0</v>
      </c>
      <c r="J490" s="6" t="n">
        <v>38</v>
      </c>
      <c r="K490" s="6">
        <f>H490+I490</f>
        <v/>
      </c>
      <c r="L490" s="5">
        <f>K490/4.7</f>
        <v/>
      </c>
      <c r="M490" s="6" t="n">
        <v>6.699999999999999</v>
      </c>
      <c r="N490" s="6" t="n">
        <v>1</v>
      </c>
      <c r="O490" s="6">
        <f>(K490*0.1229+1.05)/4.7</f>
        <v/>
      </c>
      <c r="P490" s="6">
        <f>K490*0.0749/4.7</f>
        <v/>
      </c>
      <c r="Q490" s="5">
        <f>M490+N490+O490+P490</f>
        <v/>
      </c>
      <c r="R490" s="5">
        <f>L490-Q490</f>
        <v/>
      </c>
      <c r="S490" s="6">
        <f>R490*4.7</f>
        <v/>
      </c>
      <c r="T490" s="7">
        <f>IF(L490&gt;0,R490/L490,0)</f>
        <v/>
      </c>
      <c r="U490" s="3" t="inlineStr">
        <is>
          <t>19/05/2026 16:51:11</t>
        </is>
      </c>
    </row>
    <row r="491">
      <c r="A491" s="3" t="inlineStr">
        <is>
          <t>584099923247466118</t>
        </is>
      </c>
      <c r="B491" s="3" t="inlineStr">
        <is>
          <t>已完成</t>
        </is>
      </c>
      <c r="C491" s="3" t="inlineStr">
        <is>
          <t>B5s</t>
        </is>
      </c>
      <c r="D491" s="3" t="inlineStr">
        <is>
          <t>酸辣味5小袋</t>
        </is>
      </c>
      <c r="E4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1" s="3" t="inlineStr">
        <is>
          <t>รสเปรี้ยวเผ็ด​, 5 ซอง 100g</t>
        </is>
      </c>
      <c r="G491" s="6" t="n">
        <v>1</v>
      </c>
      <c r="H491" s="6" t="n">
        <v>114</v>
      </c>
      <c r="I491" s="6" t="n">
        <v>0</v>
      </c>
      <c r="J491" s="6" t="n">
        <v>28</v>
      </c>
      <c r="K491" s="6">
        <f>H491+I491</f>
        <v/>
      </c>
      <c r="L491" s="5">
        <f>K491/4.7</f>
        <v/>
      </c>
      <c r="M491" s="6" t="n">
        <v>3.35</v>
      </c>
      <c r="N491" s="6" t="n">
        <v>1</v>
      </c>
      <c r="O491" s="6">
        <f>(K491*0.1229+1.05)/4.7</f>
        <v/>
      </c>
      <c r="P491" s="6">
        <f>K491*0.0749/4.7</f>
        <v/>
      </c>
      <c r="Q491" s="5">
        <f>M491+N491+O491+P491</f>
        <v/>
      </c>
      <c r="R491" s="5">
        <f>L491-Q491</f>
        <v/>
      </c>
      <c r="S491" s="6">
        <f>R491*4.7</f>
        <v/>
      </c>
      <c r="T491" s="7">
        <f>IF(L491&gt;0,R491/L491,0)</f>
        <v/>
      </c>
      <c r="U491" s="3" t="inlineStr">
        <is>
          <t>19/05/2026 15:54:55</t>
        </is>
      </c>
    </row>
    <row r="492">
      <c r="A492" s="3" t="inlineStr">
        <is>
          <t>584099923247466118</t>
        </is>
      </c>
      <c r="B492" s="3" t="inlineStr">
        <is>
          <t>已完成</t>
        </is>
      </c>
      <c r="C492" s="3" t="inlineStr">
        <is>
          <t>C5s</t>
        </is>
      </c>
      <c r="D492" s="3" t="inlineStr">
        <is>
          <t>香辣味魔芋笋5小袋</t>
        </is>
      </c>
      <c r="E4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2" s="3" t="inlineStr">
        <is>
          <t>รสเผ็ดหอม​, 5 ซอง 100g</t>
        </is>
      </c>
      <c r="G492" s="6" t="n">
        <v>1</v>
      </c>
      <c r="H492" s="6" t="n">
        <v>114</v>
      </c>
      <c r="I492" s="6" t="n">
        <v>0</v>
      </c>
      <c r="J492" s="6" t="n">
        <v>28</v>
      </c>
      <c r="K492" s="6">
        <f>H492+I492</f>
        <v/>
      </c>
      <c r="L492" s="5">
        <f>K492/4.7</f>
        <v/>
      </c>
      <c r="M492" s="6" t="n">
        <v>3.35</v>
      </c>
      <c r="N492" s="6" t="n">
        <v>1</v>
      </c>
      <c r="O492" s="6">
        <f>(K492*0.1229+1.05)/4.7</f>
        <v/>
      </c>
      <c r="P492" s="6">
        <f>K492*0.0749/4.7</f>
        <v/>
      </c>
      <c r="Q492" s="5">
        <f>M492+N492+O492+P492</f>
        <v/>
      </c>
      <c r="R492" s="5">
        <f>L492-Q492</f>
        <v/>
      </c>
      <c r="S492" s="6">
        <f>R492*4.7</f>
        <v/>
      </c>
      <c r="T492" s="7">
        <f>IF(L492&gt;0,R492/L492,0)</f>
        <v/>
      </c>
      <c r="U492" s="3" t="inlineStr">
        <is>
          <t>19/05/2026 15:54:55</t>
        </is>
      </c>
    </row>
    <row r="493">
      <c r="A493" s="3" t="inlineStr">
        <is>
          <t>584099261013460130</t>
        </is>
      </c>
      <c r="B493" s="3" t="inlineStr">
        <is>
          <t>已完成</t>
        </is>
      </c>
      <c r="C493" s="3" t="inlineStr">
        <is>
          <t>C5s</t>
        </is>
      </c>
      <c r="D493" s="3" t="inlineStr">
        <is>
          <t>香辣味魔芋笋5小袋</t>
        </is>
      </c>
      <c r="E4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3" s="3" t="inlineStr">
        <is>
          <t>รสเผ็ดหอม​, 5 ซอง 100g</t>
        </is>
      </c>
      <c r="G493" s="6" t="n">
        <v>1</v>
      </c>
      <c r="H493" s="6" t="n">
        <v>56</v>
      </c>
      <c r="I493" s="6" t="n">
        <v>0</v>
      </c>
      <c r="J493" s="6" t="n">
        <v>20</v>
      </c>
      <c r="K493" s="6">
        <f>H493+I493</f>
        <v/>
      </c>
      <c r="L493" s="5">
        <f>K493/4.7</f>
        <v/>
      </c>
      <c r="M493" s="6" t="n">
        <v>3.35</v>
      </c>
      <c r="N493" s="6" t="n">
        <v>1</v>
      </c>
      <c r="O493" s="6">
        <f>(K493*0.1229+1.05)/4.7</f>
        <v/>
      </c>
      <c r="P493" s="6">
        <f>K493*0.0749/4.7</f>
        <v/>
      </c>
      <c r="Q493" s="5">
        <f>M493+N493+O493+P493</f>
        <v/>
      </c>
      <c r="R493" s="5">
        <f>L493-Q493</f>
        <v/>
      </c>
      <c r="S493" s="6">
        <f>R493*4.7</f>
        <v/>
      </c>
      <c r="T493" s="7">
        <f>IF(L493&gt;0,R493/L493,0)</f>
        <v/>
      </c>
      <c r="U493" s="3" t="inlineStr">
        <is>
          <t>19/05/2026 15:00:46</t>
        </is>
      </c>
    </row>
    <row r="494">
      <c r="A494" s="3" t="inlineStr">
        <is>
          <t>584098924056315257</t>
        </is>
      </c>
      <c r="B494" s="3" t="inlineStr">
        <is>
          <t>已完成</t>
        </is>
      </c>
      <c r="C494" s="3" t="inlineStr">
        <is>
          <t>CK</t>
        </is>
      </c>
      <c r="D494" s="3" t="inlineStr">
        <is>
          <t>黑松露黑麦苏打饼干</t>
        </is>
      </c>
      <c r="E49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94" s="3" t="inlineStr">
        <is>
          <t>ค่าเริ่มต้น</t>
        </is>
      </c>
      <c r="G494" s="6" t="n">
        <v>1</v>
      </c>
      <c r="H494" s="6" t="n">
        <v>108</v>
      </c>
      <c r="I494" s="6" t="n">
        <v>0</v>
      </c>
      <c r="J494" s="6" t="n">
        <v>30</v>
      </c>
      <c r="K494" s="6">
        <f>H494+I494</f>
        <v/>
      </c>
      <c r="L494" s="5">
        <f>K494/4.7</f>
        <v/>
      </c>
      <c r="M494" s="6" t="n">
        <v>10.72665050209467</v>
      </c>
      <c r="N494" s="6" t="n">
        <v>1</v>
      </c>
      <c r="O494" s="6">
        <f>(K494*0.1229+1.05)/4.7</f>
        <v/>
      </c>
      <c r="P494" s="6">
        <f>K494*0.0749/4.7</f>
        <v/>
      </c>
      <c r="Q494" s="5">
        <f>M494+N494+O494+P494</f>
        <v/>
      </c>
      <c r="R494" s="5">
        <f>L494-Q494</f>
        <v/>
      </c>
      <c r="S494" s="6">
        <f>R494*4.7</f>
        <v/>
      </c>
      <c r="T494" s="7">
        <f>IF(L494&gt;0,R494/L494,0)</f>
        <v/>
      </c>
      <c r="U494" s="3" t="inlineStr">
        <is>
          <t>19/05/2026 14:36:36</t>
        </is>
      </c>
    </row>
    <row r="495">
      <c r="A495" s="3" t="inlineStr">
        <is>
          <t>584098717408855053</t>
        </is>
      </c>
      <c r="B495" s="3" t="inlineStr">
        <is>
          <t>已完成</t>
        </is>
      </c>
      <c r="C495" s="3" t="inlineStr">
        <is>
          <t>B5s</t>
        </is>
      </c>
      <c r="D495" s="3" t="inlineStr">
        <is>
          <t>酸辣味5小袋</t>
        </is>
      </c>
      <c r="E4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5" s="3" t="inlineStr">
        <is>
          <t>รสเปรี้ยวเผ็ด​, 5 ซอง 100g</t>
        </is>
      </c>
      <c r="G495" s="6" t="n">
        <v>1</v>
      </c>
      <c r="H495" s="6" t="n">
        <v>47</v>
      </c>
      <c r="I495" s="6" t="n">
        <v>0</v>
      </c>
      <c r="J495" s="6" t="n">
        <v>35</v>
      </c>
      <c r="K495" s="6">
        <f>H495+I495</f>
        <v/>
      </c>
      <c r="L495" s="5">
        <f>K495/4.7</f>
        <v/>
      </c>
      <c r="M495" s="6" t="n">
        <v>3.35</v>
      </c>
      <c r="N495" s="6" t="n">
        <v>1</v>
      </c>
      <c r="O495" s="6">
        <f>(K495*0.1229+1.05)/4.7</f>
        <v/>
      </c>
      <c r="P495" s="6">
        <f>K495*0.0749/4.7</f>
        <v/>
      </c>
      <c r="Q495" s="5">
        <f>M495+N495+O495+P495</f>
        <v/>
      </c>
      <c r="R495" s="5">
        <f>L495-Q495</f>
        <v/>
      </c>
      <c r="S495" s="6">
        <f>R495*4.7</f>
        <v/>
      </c>
      <c r="T495" s="7">
        <f>IF(L495&gt;0,R495/L495,0)</f>
        <v/>
      </c>
      <c r="U495" s="3" t="inlineStr">
        <is>
          <t>19/05/2026 14:23:23</t>
        </is>
      </c>
    </row>
    <row r="496">
      <c r="A496" s="3" t="inlineStr">
        <is>
          <t>584098718379246605</t>
        </is>
      </c>
      <c r="B496" s="3" t="inlineStr">
        <is>
          <t>已完成</t>
        </is>
      </c>
      <c r="C496" s="3" t="inlineStr">
        <is>
          <t>C1</t>
        </is>
      </c>
      <c r="D496" s="3" t="inlineStr">
        <is>
          <t>魔芋笋1大袋</t>
        </is>
      </c>
      <c r="E4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6" s="3" t="inlineStr">
        <is>
          <t>รสเผ็ดหอม​, 10 ซอง 200g</t>
        </is>
      </c>
      <c r="G496" s="6" t="n">
        <v>1</v>
      </c>
      <c r="H496" s="6" t="n">
        <v>69</v>
      </c>
      <c r="I496" s="6" t="n">
        <v>0</v>
      </c>
      <c r="J496" s="6" t="n">
        <v>35</v>
      </c>
      <c r="K496" s="6">
        <f>H496+I496</f>
        <v/>
      </c>
      <c r="L496" s="5">
        <f>K496/4.7</f>
        <v/>
      </c>
      <c r="M496" s="6" t="n">
        <v>6.699999999999999</v>
      </c>
      <c r="N496" s="6" t="n">
        <v>1</v>
      </c>
      <c r="O496" s="6">
        <f>(K496*0.1229+1.05)/4.7</f>
        <v/>
      </c>
      <c r="P496" s="6">
        <f>K496*0.0749/4.7</f>
        <v/>
      </c>
      <c r="Q496" s="5">
        <f>M496+N496+O496+P496</f>
        <v/>
      </c>
      <c r="R496" s="5">
        <f>L496-Q496</f>
        <v/>
      </c>
      <c r="S496" s="6">
        <f>R496*4.7</f>
        <v/>
      </c>
      <c r="T496" s="7">
        <f>IF(L496&gt;0,R496/L496,0)</f>
        <v/>
      </c>
      <c r="U496" s="3" t="inlineStr">
        <is>
          <t>19/05/2026 14:22:42</t>
        </is>
      </c>
    </row>
    <row r="497">
      <c r="A497" s="3" t="inlineStr">
        <is>
          <t>584098037656421870</t>
        </is>
      </c>
      <c r="B497" s="3" t="inlineStr">
        <is>
          <t>已完成</t>
        </is>
      </c>
      <c r="C497" s="3" t="inlineStr">
        <is>
          <t>C2</t>
        </is>
      </c>
      <c r="D497" s="3" t="inlineStr">
        <is>
          <t>魔芋笋2大袋</t>
        </is>
      </c>
      <c r="E4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7" s="3" t="inlineStr">
        <is>
          <t>รสเผ็ดหอม​, 20 ซอง 400g</t>
        </is>
      </c>
      <c r="G497" s="6" t="n">
        <v>1</v>
      </c>
      <c r="H497" s="6" t="n">
        <v>125</v>
      </c>
      <c r="I497" s="6" t="n">
        <v>0</v>
      </c>
      <c r="J497" s="6" t="n">
        <v>38</v>
      </c>
      <c r="K497" s="6">
        <f>H497+I497</f>
        <v/>
      </c>
      <c r="L497" s="5">
        <f>K497/4.7</f>
        <v/>
      </c>
      <c r="M497" s="6" t="n">
        <v>13.4</v>
      </c>
      <c r="N497" s="6" t="n">
        <v>1</v>
      </c>
      <c r="O497" s="6">
        <f>(K497*0.1229+1.05)/4.7</f>
        <v/>
      </c>
      <c r="P497" s="6">
        <f>K497*0.0749/4.7</f>
        <v/>
      </c>
      <c r="Q497" s="5">
        <f>M497+N497+O497+P497</f>
        <v/>
      </c>
      <c r="R497" s="5">
        <f>L497-Q497</f>
        <v/>
      </c>
      <c r="S497" s="6">
        <f>R497*4.7</f>
        <v/>
      </c>
      <c r="T497" s="7">
        <f>IF(L497&gt;0,R497/L497,0)</f>
        <v/>
      </c>
      <c r="U497" s="3" t="inlineStr">
        <is>
          <t>19/05/2026 13:27:56</t>
        </is>
      </c>
    </row>
    <row r="498">
      <c r="A498" s="3" t="inlineStr">
        <is>
          <t>584095589895931640</t>
        </is>
      </c>
      <c r="B498" s="3" t="inlineStr">
        <is>
          <t>已完成</t>
        </is>
      </c>
      <c r="C498" s="3" t="inlineStr">
        <is>
          <t>ER-A</t>
        </is>
      </c>
      <c r="D498" s="3" t="inlineStr">
        <is>
          <t>广州酒家传统鸡蛋卷454g</t>
        </is>
      </c>
      <c r="E498" s="3" t="inlineStr">
        <is>
          <t>Egg Roll 2สูตร ทองม้วนไข่กล่องเหล็กพรีเมี่ยม!! GuangZhou Restaurant 454g/480g กล่องล่ะ 24 แท่ง</t>
        </is>
      </c>
      <c r="F498" s="3" t="inlineStr">
        <is>
          <t>Traditional สูตรดั้งเดิม ไข่ล้วน</t>
        </is>
      </c>
      <c r="G498" s="6" t="n">
        <v>1</v>
      </c>
      <c r="H498" s="6" t="n">
        <v>330</v>
      </c>
      <c r="I498" s="6" t="n">
        <v>30</v>
      </c>
      <c r="J498" s="6" t="n">
        <v>29</v>
      </c>
      <c r="K498" s="6">
        <f>H498+I498</f>
        <v/>
      </c>
      <c r="L498" s="5">
        <f>K498/4.7</f>
        <v/>
      </c>
      <c r="M498" s="6" t="n">
        <v>40.25338607190941</v>
      </c>
      <c r="N498" s="6" t="n">
        <v>2</v>
      </c>
      <c r="O498" s="6">
        <f>(K498*0.1229+1.05)/4.7</f>
        <v/>
      </c>
      <c r="P498" s="6">
        <f>K498*0.0749/4.7</f>
        <v/>
      </c>
      <c r="Q498" s="5">
        <f>M498+N498+O498+P498</f>
        <v/>
      </c>
      <c r="R498" s="5">
        <f>L498-Q498</f>
        <v/>
      </c>
      <c r="S498" s="6">
        <f>R498*4.7</f>
        <v/>
      </c>
      <c r="T498" s="7">
        <f>IF(L498&gt;0,R498/L498,0)</f>
        <v/>
      </c>
      <c r="U498" s="3" t="inlineStr">
        <is>
          <t>19/05/2026 10:28:03</t>
        </is>
      </c>
    </row>
    <row r="499">
      <c r="A499" s="3" t="inlineStr">
        <is>
          <t>584095072035440090</t>
        </is>
      </c>
      <c r="B499" s="3" t="inlineStr">
        <is>
          <t>已完成</t>
        </is>
      </c>
      <c r="C499" s="3" t="inlineStr">
        <is>
          <t>C3</t>
        </is>
      </c>
      <c r="D499" s="3" t="inlineStr">
        <is>
          <t>魔芋笋3大袋</t>
        </is>
      </c>
      <c r="E499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99" s="3" t="inlineStr">
        <is>
          <t>รสเผ็ดหอม​, 3pcs</t>
        </is>
      </c>
      <c r="G499" s="6" t="n">
        <v>1</v>
      </c>
      <c r="H499" s="6" t="n">
        <v>179</v>
      </c>
      <c r="I499" s="6" t="n">
        <v>0</v>
      </c>
      <c r="J499" s="6" t="n">
        <v>38</v>
      </c>
      <c r="K499" s="6">
        <f>H499+I499</f>
        <v/>
      </c>
      <c r="L499" s="5">
        <f>K499/4.7</f>
        <v/>
      </c>
      <c r="M499" s="6" t="n">
        <v>20.1</v>
      </c>
      <c r="N499" s="6" t="n">
        <v>1</v>
      </c>
      <c r="O499" s="6">
        <f>(K499*0.1229+1.05)/4.7</f>
        <v/>
      </c>
      <c r="P499" s="6">
        <f>K499*0.0749/4.7</f>
        <v/>
      </c>
      <c r="Q499" s="5">
        <f>M499+N499+O499+P499</f>
        <v/>
      </c>
      <c r="R499" s="5">
        <f>L499-Q499</f>
        <v/>
      </c>
      <c r="S499" s="6">
        <f>R499*4.7</f>
        <v/>
      </c>
      <c r="T499" s="7">
        <f>IF(L499&gt;0,R499/L499,0)</f>
        <v/>
      </c>
      <c r="U499" s="3" t="inlineStr">
        <is>
          <t>19/05/2026 09:51:30</t>
        </is>
      </c>
    </row>
    <row r="500">
      <c r="A500" s="3" t="inlineStr">
        <is>
          <t>584094929447389051</t>
        </is>
      </c>
      <c r="B500" s="3" t="inlineStr">
        <is>
          <t>已完成</t>
        </is>
      </c>
      <c r="C500" s="3" t="inlineStr">
        <is>
          <t>CK</t>
        </is>
      </c>
      <c r="D500" s="3" t="inlineStr">
        <is>
          <t>黑松露黑麦苏打饼干</t>
        </is>
      </c>
      <c r="E50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00" s="3" t="inlineStr">
        <is>
          <t>ค่าเริ่มต้น</t>
        </is>
      </c>
      <c r="G500" s="6" t="n">
        <v>2</v>
      </c>
      <c r="H500" s="6" t="n">
        <v>205</v>
      </c>
      <c r="I500" s="6" t="n">
        <v>0</v>
      </c>
      <c r="J500" s="6" t="n">
        <v>35</v>
      </c>
      <c r="K500" s="6">
        <f>H500+I500</f>
        <v/>
      </c>
      <c r="L500" s="5">
        <f>K500/4.7</f>
        <v/>
      </c>
      <c r="M500" s="6" t="n">
        <v>21.45330100418933</v>
      </c>
      <c r="N500" s="6" t="n">
        <v>1</v>
      </c>
      <c r="O500" s="6">
        <f>(K500*0.1229+1.05)/4.7</f>
        <v/>
      </c>
      <c r="P500" s="6">
        <f>K500*0.0749/4.7</f>
        <v/>
      </c>
      <c r="Q500" s="5">
        <f>M500+N500+O500+P500</f>
        <v/>
      </c>
      <c r="R500" s="5">
        <f>L500-Q500</f>
        <v/>
      </c>
      <c r="S500" s="6">
        <f>R500*4.7</f>
        <v/>
      </c>
      <c r="T500" s="7">
        <f>IF(L500&gt;0,R500/L500,0)</f>
        <v/>
      </c>
      <c r="U500" s="3" t="inlineStr">
        <is>
          <t>19/05/2026 09:39:35</t>
        </is>
      </c>
    </row>
    <row r="501">
      <c r="A501" s="3" t="inlineStr">
        <is>
          <t>584094170676168338</t>
        </is>
      </c>
      <c r="B501" s="3" t="inlineStr">
        <is>
          <t>已完成</t>
        </is>
      </c>
      <c r="C501" s="3" t="inlineStr">
        <is>
          <t>CK</t>
        </is>
      </c>
      <c r="D501" s="3" t="inlineStr">
        <is>
          <t>黑松露黑麦苏打饼干</t>
        </is>
      </c>
      <c r="E50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01" s="3" t="inlineStr">
        <is>
          <t>ค่าเริ่มต้น</t>
        </is>
      </c>
      <c r="G501" s="6" t="n">
        <v>1</v>
      </c>
      <c r="H501" s="6" t="n">
        <v>105</v>
      </c>
      <c r="I501" s="6" t="n">
        <v>0</v>
      </c>
      <c r="J501" s="6" t="n">
        <v>38</v>
      </c>
      <c r="K501" s="6">
        <f>H501+I501</f>
        <v/>
      </c>
      <c r="L501" s="5">
        <f>K501/4.7</f>
        <v/>
      </c>
      <c r="M501" s="6" t="n">
        <v>10.72665050209467</v>
      </c>
      <c r="N501" s="6" t="n">
        <v>1</v>
      </c>
      <c r="O501" s="6">
        <f>(K501*0.1229+1.05)/4.7</f>
        <v/>
      </c>
      <c r="P501" s="6">
        <f>K501*0.0749/4.7</f>
        <v/>
      </c>
      <c r="Q501" s="5">
        <f>M501+N501+O501+P501</f>
        <v/>
      </c>
      <c r="R501" s="5">
        <f>L501-Q501</f>
        <v/>
      </c>
      <c r="S501" s="6">
        <f>R501*4.7</f>
        <v/>
      </c>
      <c r="T501" s="7">
        <f>IF(L501&gt;0,R501/L501,0)</f>
        <v/>
      </c>
      <c r="U501" s="3" t="inlineStr">
        <is>
          <t>19/05/2026 08:39:41</t>
        </is>
      </c>
    </row>
    <row r="502">
      <c r="A502" s="3" t="inlineStr">
        <is>
          <t>584093150722622688</t>
        </is>
      </c>
      <c r="B502" s="3" t="inlineStr">
        <is>
          <t>已完成</t>
        </is>
      </c>
      <c r="C502" s="3" t="inlineStr">
        <is>
          <t>ER-B</t>
        </is>
      </c>
      <c r="D502" s="3" t="inlineStr">
        <is>
          <t>广州酒家黄油鸡蛋卷480g</t>
        </is>
      </c>
      <c r="E502" s="3" t="inlineStr">
        <is>
          <t>Egg Roll 2สูตร ทองม้วนไข่กล่องเหล็กพรีเมี่ยม!! GuangZhou Restaurant 454g/480g กล่องล่ะ 24 แท่ง</t>
        </is>
      </c>
      <c r="F502" s="3" t="inlineStr">
        <is>
          <t>Butter สูตรเนยสด พรีเมี่ยม</t>
        </is>
      </c>
      <c r="G502" s="6" t="n">
        <v>1</v>
      </c>
      <c r="H502" s="6" t="n">
        <v>325</v>
      </c>
      <c r="I502" s="6" t="n">
        <v>30</v>
      </c>
      <c r="J502" s="6" t="n">
        <v>35</v>
      </c>
      <c r="K502" s="6">
        <f>H502+I502</f>
        <v/>
      </c>
      <c r="L502" s="5">
        <f>K502/4.7</f>
        <v/>
      </c>
      <c r="M502" s="6" t="n">
        <v>45.49882436351998</v>
      </c>
      <c r="N502" s="6" t="n">
        <v>2</v>
      </c>
      <c r="O502" s="6">
        <f>(K502*0.1229+1.05)/4.7</f>
        <v/>
      </c>
      <c r="P502" s="6">
        <f>K502*0.0749/4.7</f>
        <v/>
      </c>
      <c r="Q502" s="5">
        <f>M502+N502+O502+P502</f>
        <v/>
      </c>
      <c r="R502" s="5">
        <f>L502-Q502</f>
        <v/>
      </c>
      <c r="S502" s="6">
        <f>R502*4.7</f>
        <v/>
      </c>
      <c r="T502" s="7">
        <f>IF(L502&gt;0,R502/L502,0)</f>
        <v/>
      </c>
      <c r="U502" s="3" t="inlineStr">
        <is>
          <t>19/05/2026 06:59:56</t>
        </is>
      </c>
    </row>
    <row r="503">
      <c r="A503" s="3" t="inlineStr">
        <is>
          <t>584092522203219343</t>
        </is>
      </c>
      <c r="B503" s="3" t="inlineStr">
        <is>
          <t>已完成</t>
        </is>
      </c>
      <c r="C503" s="3" t="inlineStr">
        <is>
          <t>C1</t>
        </is>
      </c>
      <c r="D503" s="3" t="inlineStr">
        <is>
          <t>魔芋笋1大袋</t>
        </is>
      </c>
      <c r="E5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3" s="3" t="inlineStr">
        <is>
          <t>รสเผ็ดหอม​, 10 ซอง 200g</t>
        </is>
      </c>
      <c r="G503" s="6" t="n">
        <v>2</v>
      </c>
      <c r="H503" s="6" t="n">
        <v>185</v>
      </c>
      <c r="I503" s="6" t="n">
        <v>0</v>
      </c>
      <c r="J503" s="6" t="n">
        <v>48</v>
      </c>
      <c r="K503" s="6">
        <f>H503+I503</f>
        <v/>
      </c>
      <c r="L503" s="5">
        <f>K503/4.7</f>
        <v/>
      </c>
      <c r="M503" s="6" t="n">
        <v>13.4</v>
      </c>
      <c r="N503" s="6" t="n">
        <v>1</v>
      </c>
      <c r="O503" s="6">
        <f>(K503*0.1229+1.05)/4.7</f>
        <v/>
      </c>
      <c r="P503" s="6">
        <f>K503*0.0749/4.7</f>
        <v/>
      </c>
      <c r="Q503" s="5">
        <f>M503+N503+O503+P503</f>
        <v/>
      </c>
      <c r="R503" s="5">
        <f>L503-Q503</f>
        <v/>
      </c>
      <c r="S503" s="6">
        <f>R503*4.7</f>
        <v/>
      </c>
      <c r="T503" s="7">
        <f>IF(L503&gt;0,R503/L503,0)</f>
        <v/>
      </c>
      <c r="U503" s="3" t="inlineStr">
        <is>
          <t>19/05/2026 05:29:32</t>
        </is>
      </c>
    </row>
    <row r="504">
      <c r="A504" s="3" t="inlineStr">
        <is>
          <t>584092522203219343</t>
        </is>
      </c>
      <c r="B504" s="3" t="inlineStr">
        <is>
          <t>已完成</t>
        </is>
      </c>
      <c r="C504" s="3" t="inlineStr">
        <is>
          <t>B5s</t>
        </is>
      </c>
      <c r="D504" s="3" t="inlineStr">
        <is>
          <t>酸辣味5小袋</t>
        </is>
      </c>
      <c r="E5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4" s="3" t="inlineStr">
        <is>
          <t>รสเปรี้ยวเผ็ด​, 5 ซอง 100g</t>
        </is>
      </c>
      <c r="G504" s="6" t="n">
        <v>1</v>
      </c>
      <c r="H504" s="6" t="n">
        <v>185</v>
      </c>
      <c r="I504" s="6" t="n">
        <v>0</v>
      </c>
      <c r="J504" s="6" t="n">
        <v>48</v>
      </c>
      <c r="K504" s="6">
        <f>H504+I504</f>
        <v/>
      </c>
      <c r="L504" s="5">
        <f>K504/4.7</f>
        <v/>
      </c>
      <c r="M504" s="6" t="n">
        <v>3.35</v>
      </c>
      <c r="N504" s="6" t="n">
        <v>1</v>
      </c>
      <c r="O504" s="6">
        <f>(K504*0.1229+1.05)/4.7</f>
        <v/>
      </c>
      <c r="P504" s="6">
        <f>K504*0.0749/4.7</f>
        <v/>
      </c>
      <c r="Q504" s="5">
        <f>M504+N504+O504+P504</f>
        <v/>
      </c>
      <c r="R504" s="5">
        <f>L504-Q504</f>
        <v/>
      </c>
      <c r="S504" s="6">
        <f>R504*4.7</f>
        <v/>
      </c>
      <c r="T504" s="7">
        <f>IF(L504&gt;0,R504/L504,0)</f>
        <v/>
      </c>
      <c r="U504" s="3" t="inlineStr">
        <is>
          <t>19/05/2026 05:29:32</t>
        </is>
      </c>
    </row>
    <row r="505">
      <c r="A505" s="3" t="inlineStr">
        <is>
          <t>584092178504123745</t>
        </is>
      </c>
      <c r="B505" s="3" t="inlineStr">
        <is>
          <t>已完成</t>
        </is>
      </c>
      <c r="C505" s="3" t="inlineStr">
        <is>
          <t>ER-B</t>
        </is>
      </c>
      <c r="D505" s="3" t="inlineStr">
        <is>
          <t>广州酒家黄油鸡蛋卷480g</t>
        </is>
      </c>
      <c r="E505" s="3" t="inlineStr">
        <is>
          <t>Egg Roll 2สูตร ทองม้วนไข่กล่องเหล็กพรีเมี่ยม!! GuangZhou Restaurant 454g/480g กล่องล่ะ 24 แท่ง</t>
        </is>
      </c>
      <c r="F505" s="3" t="inlineStr">
        <is>
          <t>Butter สูตรเนยสด พรีเมี่ยม</t>
        </is>
      </c>
      <c r="G505" s="6" t="n">
        <v>1</v>
      </c>
      <c r="H505" s="6" t="n">
        <v>355</v>
      </c>
      <c r="I505" s="6" t="n">
        <v>0</v>
      </c>
      <c r="J505" s="6" t="n">
        <v>35</v>
      </c>
      <c r="K505" s="6">
        <f>H505+I505</f>
        <v/>
      </c>
      <c r="L505" s="5">
        <f>K505/4.7</f>
        <v/>
      </c>
      <c r="M505" s="6" t="n">
        <v>45.49882436351998</v>
      </c>
      <c r="N505" s="6" t="n">
        <v>2</v>
      </c>
      <c r="O505" s="6">
        <f>(K505*0.1229+1.05)/4.7</f>
        <v/>
      </c>
      <c r="P505" s="6">
        <f>K505*0.0749/4.7</f>
        <v/>
      </c>
      <c r="Q505" s="5">
        <f>M505+N505+O505+P505</f>
        <v/>
      </c>
      <c r="R505" s="5">
        <f>L505-Q505</f>
        <v/>
      </c>
      <c r="S505" s="6">
        <f>R505*4.7</f>
        <v/>
      </c>
      <c r="T505" s="7">
        <f>IF(L505&gt;0,R505/L505,0)</f>
        <v/>
      </c>
      <c r="U505" s="3" t="inlineStr">
        <is>
          <t>19/05/2026 04:06:50</t>
        </is>
      </c>
    </row>
    <row r="506">
      <c r="A506" s="3" t="inlineStr">
        <is>
          <t>584091469758760161</t>
        </is>
      </c>
      <c r="B506" s="3" t="inlineStr">
        <is>
          <t>已发货</t>
        </is>
      </c>
      <c r="C506" s="3" t="inlineStr">
        <is>
          <t>B5s</t>
        </is>
      </c>
      <c r="D506" s="3" t="inlineStr">
        <is>
          <t>酸辣味5小袋</t>
        </is>
      </c>
      <c r="E5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6" s="3" t="inlineStr">
        <is>
          <t>รสเปรี้ยวเผ็ด​, 5 ซอง 100g</t>
        </is>
      </c>
      <c r="G506" s="6" t="n">
        <v>1</v>
      </c>
      <c r="H506" s="6" t="n">
        <v>129.79</v>
      </c>
      <c r="I506" s="6" t="n">
        <v>4.54</v>
      </c>
      <c r="J506" s="6" t="n">
        <v>18</v>
      </c>
      <c r="K506" s="6">
        <f>H506+I506</f>
        <v/>
      </c>
      <c r="L506" s="5">
        <f>K506/4.7</f>
        <v/>
      </c>
      <c r="M506" s="6" t="n">
        <v>3.35</v>
      </c>
      <c r="N506" s="6" t="n">
        <v>1</v>
      </c>
      <c r="O506" s="6">
        <f>(K506*0.1229+1.05)/4.7</f>
        <v/>
      </c>
      <c r="P506" s="6">
        <f>K506*0.0749/4.7</f>
        <v/>
      </c>
      <c r="Q506" s="5">
        <f>M506+N506+O506+P506</f>
        <v/>
      </c>
      <c r="R506" s="5">
        <f>L506-Q506</f>
        <v/>
      </c>
      <c r="S506" s="6">
        <f>R506*4.7</f>
        <v/>
      </c>
      <c r="T506" s="7">
        <f>IF(L506&gt;0,R506/L506,0)</f>
        <v/>
      </c>
      <c r="U506" s="3" t="inlineStr">
        <is>
          <t>19/05/2026 00:49:26</t>
        </is>
      </c>
    </row>
    <row r="507">
      <c r="A507" s="3" t="inlineStr">
        <is>
          <t>584091469758760161</t>
        </is>
      </c>
      <c r="B507" s="3" t="inlineStr">
        <is>
          <t>已发货</t>
        </is>
      </c>
      <c r="C507" s="3" t="inlineStr">
        <is>
          <t>C1</t>
        </is>
      </c>
      <c r="D507" s="3" t="inlineStr">
        <is>
          <t>魔芋笋1大袋</t>
        </is>
      </c>
      <c r="E5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7" s="3" t="inlineStr">
        <is>
          <t>รสเผ็ดหอม​, 10 ซอง 200g</t>
        </is>
      </c>
      <c r="G507" s="6" t="n">
        <v>1</v>
      </c>
      <c r="H507" s="6" t="n">
        <v>129.79</v>
      </c>
      <c r="I507" s="6" t="n">
        <v>6.67</v>
      </c>
      <c r="J507" s="6" t="n">
        <v>18</v>
      </c>
      <c r="K507" s="6">
        <f>H507+I507</f>
        <v/>
      </c>
      <c r="L507" s="5">
        <f>K507/4.7</f>
        <v/>
      </c>
      <c r="M507" s="6" t="n">
        <v>6.699999999999999</v>
      </c>
      <c r="N507" s="6" t="n">
        <v>1</v>
      </c>
      <c r="O507" s="6">
        <f>(K507*0.1229+1.05)/4.7</f>
        <v/>
      </c>
      <c r="P507" s="6">
        <f>K507*0.0749/4.7</f>
        <v/>
      </c>
      <c r="Q507" s="5">
        <f>M507+N507+O507+P507</f>
        <v/>
      </c>
      <c r="R507" s="5">
        <f>L507-Q507</f>
        <v/>
      </c>
      <c r="S507" s="6">
        <f>R507*4.7</f>
        <v/>
      </c>
      <c r="T507" s="7">
        <f>IF(L507&gt;0,R507/L507,0)</f>
        <v/>
      </c>
      <c r="U507" s="3" t="inlineStr">
        <is>
          <t>19/05/2026 00:49:26</t>
        </is>
      </c>
    </row>
    <row r="508">
      <c r="A508" s="3" t="inlineStr">
        <is>
          <t>584091287607543701</t>
        </is>
      </c>
      <c r="B508" s="3" t="inlineStr">
        <is>
          <t>已完成</t>
        </is>
      </c>
      <c r="C508" s="3" t="inlineStr">
        <is>
          <t>A2</t>
        </is>
      </c>
      <c r="D508" s="3" t="inlineStr">
        <is>
          <t>魔芋干2包</t>
        </is>
      </c>
      <c r="E508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08" s="3" t="inlineStr">
        <is>
          <t>20 ซอง 200g</t>
        </is>
      </c>
      <c r="G508" s="6" t="n">
        <v>1</v>
      </c>
      <c r="H508" s="6" t="n">
        <v>101</v>
      </c>
      <c r="I508" s="6" t="n">
        <v>1</v>
      </c>
      <c r="J508" s="6" t="n">
        <v>38</v>
      </c>
      <c r="K508" s="6">
        <f>H508+I508</f>
        <v/>
      </c>
      <c r="L508" s="5">
        <f>K508/4.7</f>
        <v/>
      </c>
      <c r="M508" s="6" t="n">
        <v>12.2</v>
      </c>
      <c r="N508" s="6" t="n">
        <v>0.5</v>
      </c>
      <c r="O508" s="6">
        <f>(K508*0.1229+1.05)/4.7</f>
        <v/>
      </c>
      <c r="P508" s="6">
        <f>K508*0.0749/4.7</f>
        <v/>
      </c>
      <c r="Q508" s="5">
        <f>M508+N508+O508+P508</f>
        <v/>
      </c>
      <c r="R508" s="5">
        <f>L508-Q508</f>
        <v/>
      </c>
      <c r="S508" s="6">
        <f>R508*4.7</f>
        <v/>
      </c>
      <c r="T508" s="7">
        <f>IF(L508&gt;0,R508/L508,0)</f>
        <v/>
      </c>
      <c r="U508" s="3" t="inlineStr">
        <is>
          <t>19/05/2026 00:20:32</t>
        </is>
      </c>
    </row>
    <row r="509">
      <c r="A509" s="3" t="inlineStr">
        <is>
          <t>584090828273976338</t>
        </is>
      </c>
      <c r="B509" s="3" t="inlineStr">
        <is>
          <t>已完成</t>
        </is>
      </c>
      <c r="C509" s="3" t="inlineStr">
        <is>
          <t>B3</t>
        </is>
      </c>
      <c r="D509" s="3" t="inlineStr">
        <is>
          <t>魔芋笋3大袋</t>
        </is>
      </c>
      <c r="E5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9" s="3" t="inlineStr">
        <is>
          <t>รสเปรี้ยวเผ็ด​, 30 ซอง 600g</t>
        </is>
      </c>
      <c r="G509" s="6" t="n">
        <v>1</v>
      </c>
      <c r="H509" s="6" t="n">
        <v>207</v>
      </c>
      <c r="I509" s="6" t="n">
        <v>0</v>
      </c>
      <c r="J509" s="6" t="n">
        <v>0</v>
      </c>
      <c r="K509" s="6">
        <f>H509+I509</f>
        <v/>
      </c>
      <c r="L509" s="5">
        <f>K509/4.7</f>
        <v/>
      </c>
      <c r="M509" s="6" t="n">
        <v>20.1</v>
      </c>
      <c r="N509" s="6" t="n">
        <v>1</v>
      </c>
      <c r="O509" s="6">
        <f>(K509*0.1229+1.05)/4.7</f>
        <v/>
      </c>
      <c r="P509" s="6">
        <f>K509*0.0749/4.7</f>
        <v/>
      </c>
      <c r="Q509" s="5">
        <f>M509+N509+O509+P509</f>
        <v/>
      </c>
      <c r="R509" s="5">
        <f>L509-Q509</f>
        <v/>
      </c>
      <c r="S509" s="6">
        <f>R509*4.7</f>
        <v/>
      </c>
      <c r="T509" s="7">
        <f>IF(L509&gt;0,R509/L509,0)</f>
        <v/>
      </c>
      <c r="U509" s="3" t="inlineStr">
        <is>
          <t>18/05/2026 23:29:19</t>
        </is>
      </c>
    </row>
    <row r="510">
      <c r="A510" s="3" t="inlineStr">
        <is>
          <t>584090859222828050</t>
        </is>
      </c>
      <c r="B510" s="3" t="inlineStr">
        <is>
          <t>已完成</t>
        </is>
      </c>
      <c r="C510" s="3" t="inlineStr">
        <is>
          <t>C3</t>
        </is>
      </c>
      <c r="D510" s="3" t="inlineStr">
        <is>
          <t>魔芋笋3大袋</t>
        </is>
      </c>
      <c r="E5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0" s="3" t="inlineStr">
        <is>
          <t>รสเผ็ดหอม​, 30 ซอง 600g</t>
        </is>
      </c>
      <c r="G510" s="6" t="n">
        <v>1</v>
      </c>
      <c r="H510" s="6" t="n">
        <v>207</v>
      </c>
      <c r="I510" s="6" t="n">
        <v>0</v>
      </c>
      <c r="J510" s="6" t="n">
        <v>0</v>
      </c>
      <c r="K510" s="6">
        <f>H510+I510</f>
        <v/>
      </c>
      <c r="L510" s="5">
        <f>K510/4.7</f>
        <v/>
      </c>
      <c r="M510" s="6" t="n">
        <v>20.1</v>
      </c>
      <c r="N510" s="6" t="n">
        <v>1</v>
      </c>
      <c r="O510" s="6">
        <f>(K510*0.1229+1.05)/4.7</f>
        <v/>
      </c>
      <c r="P510" s="6">
        <f>K510*0.0749/4.7</f>
        <v/>
      </c>
      <c r="Q510" s="5">
        <f>M510+N510+O510+P510</f>
        <v/>
      </c>
      <c r="R510" s="5">
        <f>L510-Q510</f>
        <v/>
      </c>
      <c r="S510" s="6">
        <f>R510*4.7</f>
        <v/>
      </c>
      <c r="T510" s="7">
        <f>IF(L510&gt;0,R510/L510,0)</f>
        <v/>
      </c>
      <c r="U510" s="3" t="inlineStr">
        <is>
          <t>18/05/2026 23:28:14</t>
        </is>
      </c>
    </row>
    <row r="511">
      <c r="A511" s="3" t="inlineStr">
        <is>
          <t>584090849401537554</t>
        </is>
      </c>
      <c r="B511" s="3" t="inlineStr">
        <is>
          <t>已取消</t>
        </is>
      </c>
      <c r="C511" s="3" t="inlineStr">
        <is>
          <t>B2</t>
        </is>
      </c>
      <c r="D511" s="3" t="inlineStr">
        <is>
          <t>魔芋笋2大袋</t>
        </is>
      </c>
      <c r="E5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1" s="3" t="inlineStr">
        <is>
          <t>รสเปรี้ยวเผ็ด​, 20 ซอง 400g</t>
        </is>
      </c>
      <c r="G511" s="6" t="n">
        <v>1</v>
      </c>
      <c r="H511" s="6" t="n">
        <v>155</v>
      </c>
      <c r="I511" s="6" t="n">
        <v>0</v>
      </c>
      <c r="J511" s="6" t="n">
        <v>0</v>
      </c>
      <c r="K511" s="6">
        <f>H511+I511</f>
        <v/>
      </c>
      <c r="L511" s="5">
        <f>K511/4.7</f>
        <v/>
      </c>
      <c r="M511" s="6" t="n">
        <v>13.4</v>
      </c>
      <c r="N511" s="6" t="n">
        <v>1</v>
      </c>
      <c r="O511" s="6">
        <f>(K511*0.1229+1.05)/4.7</f>
        <v/>
      </c>
      <c r="P511" s="6">
        <f>K511*0.0749/4.7</f>
        <v/>
      </c>
      <c r="Q511" s="5">
        <f>M511+N511+O511+P511</f>
        <v/>
      </c>
      <c r="R511" s="5">
        <f>L511-Q511</f>
        <v/>
      </c>
      <c r="S511" s="6">
        <f>R511*4.7</f>
        <v/>
      </c>
      <c r="T511" s="7">
        <f>IF(L511&gt;0,R511/L511,0)</f>
        <v/>
      </c>
      <c r="U511" s="3" t="inlineStr">
        <is>
          <t>18/05/2026 23:28:00</t>
        </is>
      </c>
    </row>
    <row r="512">
      <c r="A512" s="3" t="inlineStr">
        <is>
          <t>584090067923207572</t>
        </is>
      </c>
      <c r="B512" s="3" t="inlineStr">
        <is>
          <t>已完成</t>
        </is>
      </c>
      <c r="C512" s="3" t="inlineStr">
        <is>
          <t>C1</t>
        </is>
      </c>
      <c r="D512" s="3" t="inlineStr">
        <is>
          <t>魔芋笋1大袋</t>
        </is>
      </c>
      <c r="E5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2" s="3" t="inlineStr">
        <is>
          <t>รสเผ็ดหอม​, 10 ซอง 200g</t>
        </is>
      </c>
      <c r="G512" s="6" t="n">
        <v>1</v>
      </c>
      <c r="H512" s="6" t="n">
        <v>70</v>
      </c>
      <c r="I512" s="6" t="n">
        <v>0</v>
      </c>
      <c r="J512" s="6" t="n">
        <v>38</v>
      </c>
      <c r="K512" s="6">
        <f>H512+I512</f>
        <v/>
      </c>
      <c r="L512" s="5">
        <f>K512/4.7</f>
        <v/>
      </c>
      <c r="M512" s="6" t="n">
        <v>6.699999999999999</v>
      </c>
      <c r="N512" s="6" t="n">
        <v>1</v>
      </c>
      <c r="O512" s="6">
        <f>(K512*0.1229+1.05)/4.7</f>
        <v/>
      </c>
      <c r="P512" s="6">
        <f>K512*0.0749/4.7</f>
        <v/>
      </c>
      <c r="Q512" s="5">
        <f>M512+N512+O512+P512</f>
        <v/>
      </c>
      <c r="R512" s="5">
        <f>L512-Q512</f>
        <v/>
      </c>
      <c r="S512" s="6">
        <f>R512*4.7</f>
        <v/>
      </c>
      <c r="T512" s="7">
        <f>IF(L512&gt;0,R512/L512,0)</f>
        <v/>
      </c>
      <c r="U512" s="3" t="inlineStr">
        <is>
          <t>18/05/2026 22:23:45</t>
        </is>
      </c>
    </row>
    <row r="513">
      <c r="A513" s="3" t="inlineStr">
        <is>
          <t>584089601847362967</t>
        </is>
      </c>
      <c r="B513" s="3" t="inlineStr">
        <is>
          <t>已完成</t>
        </is>
      </c>
      <c r="C513" s="3" t="inlineStr">
        <is>
          <t>C1</t>
        </is>
      </c>
      <c r="D513" s="3" t="inlineStr">
        <is>
          <t>魔芋笋1大袋</t>
        </is>
      </c>
      <c r="E5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3" s="3" t="inlineStr">
        <is>
          <t>รสเผ็ดหอม​, 10 ซอง 200g</t>
        </is>
      </c>
      <c r="G513" s="6" t="n">
        <v>1</v>
      </c>
      <c r="H513" s="6" t="n">
        <v>59.1</v>
      </c>
      <c r="I513" s="6" t="n">
        <v>9.9</v>
      </c>
      <c r="J513" s="6" t="n">
        <v>38</v>
      </c>
      <c r="K513" s="6">
        <f>H513+I513</f>
        <v/>
      </c>
      <c r="L513" s="5">
        <f>K513/4.7</f>
        <v/>
      </c>
      <c r="M513" s="6" t="n">
        <v>6.699999999999999</v>
      </c>
      <c r="N513" s="6" t="n">
        <v>1</v>
      </c>
      <c r="O513" s="6">
        <f>(K513*0.1229+1.05)/4.7</f>
        <v/>
      </c>
      <c r="P513" s="6">
        <f>K513*0.0749/4.7</f>
        <v/>
      </c>
      <c r="Q513" s="5">
        <f>M513+N513+O513+P513</f>
        <v/>
      </c>
      <c r="R513" s="5">
        <f>L513-Q513</f>
        <v/>
      </c>
      <c r="S513" s="6">
        <f>R513*4.7</f>
        <v/>
      </c>
      <c r="T513" s="7">
        <f>IF(L513&gt;0,R513/L513,0)</f>
        <v/>
      </c>
      <c r="U513" s="3" t="inlineStr">
        <is>
          <t>18/05/2026 21:52:56</t>
        </is>
      </c>
    </row>
    <row r="514">
      <c r="A514" s="3" t="inlineStr">
        <is>
          <t>584089394322506855</t>
        </is>
      </c>
      <c r="B514" s="3" t="inlineStr">
        <is>
          <t>已完成</t>
        </is>
      </c>
      <c r="C514" s="3" t="inlineStr">
        <is>
          <t>B1</t>
        </is>
      </c>
      <c r="D514" s="3" t="inlineStr">
        <is>
          <t>魔芋笋1大袋</t>
        </is>
      </c>
      <c r="E5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4" s="3" t="inlineStr">
        <is>
          <t>รสเปรี้ยวเผ็ด​, 10 ซอง 200g</t>
        </is>
      </c>
      <c r="G514" s="6" t="n">
        <v>1</v>
      </c>
      <c r="H514" s="6" t="n">
        <v>69</v>
      </c>
      <c r="I514" s="6" t="n">
        <v>0</v>
      </c>
      <c r="J514" s="6" t="n">
        <v>38</v>
      </c>
      <c r="K514" s="6">
        <f>H514+I514</f>
        <v/>
      </c>
      <c r="L514" s="5">
        <f>K514/4.7</f>
        <v/>
      </c>
      <c r="M514" s="6" t="n">
        <v>6.699999999999999</v>
      </c>
      <c r="N514" s="6" t="n">
        <v>1</v>
      </c>
      <c r="O514" s="6">
        <f>(K514*0.1229+1.05)/4.7</f>
        <v/>
      </c>
      <c r="P514" s="6">
        <f>K514*0.0749/4.7</f>
        <v/>
      </c>
      <c r="Q514" s="5">
        <f>M514+N514+O514+P514</f>
        <v/>
      </c>
      <c r="R514" s="5">
        <f>L514-Q514</f>
        <v/>
      </c>
      <c r="S514" s="6">
        <f>R514*4.7</f>
        <v/>
      </c>
      <c r="T514" s="7">
        <f>IF(L514&gt;0,R514/L514,0)</f>
        <v/>
      </c>
      <c r="U514" s="3" t="inlineStr">
        <is>
          <t>18/05/2026 21:33:07</t>
        </is>
      </c>
    </row>
    <row r="515">
      <c r="A515" s="3" t="inlineStr">
        <is>
          <t>584008957621274416</t>
        </is>
      </c>
      <c r="B515" s="3" t="inlineStr">
        <is>
          <t>已取消</t>
        </is>
      </c>
      <c r="C515" s="3" t="inlineStr">
        <is>
          <t>C2</t>
        </is>
      </c>
      <c r="D515" s="3" t="inlineStr">
        <is>
          <t>魔芋笋2大袋</t>
        </is>
      </c>
      <c r="E5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5" s="3" t="inlineStr">
        <is>
          <t>รสเผ็ดหอม​, 20 ซอง 400g</t>
        </is>
      </c>
      <c r="G515" s="6" t="n">
        <v>1</v>
      </c>
      <c r="H515" s="6" t="n">
        <v>245</v>
      </c>
      <c r="I515" s="6" t="n">
        <v>0</v>
      </c>
      <c r="J515" s="6" t="n">
        <v>98</v>
      </c>
      <c r="K515" s="6">
        <f>H515+I515</f>
        <v/>
      </c>
      <c r="L515" s="5">
        <f>K515/4.7</f>
        <v/>
      </c>
      <c r="M515" s="6" t="n">
        <v>13.4</v>
      </c>
      <c r="N515" s="6" t="n">
        <v>1</v>
      </c>
      <c r="O515" s="6">
        <f>(K515*0.1229+1.05)/4.7</f>
        <v/>
      </c>
      <c r="P515" s="6">
        <f>K515*0.0749/4.7</f>
        <v/>
      </c>
      <c r="Q515" s="5">
        <f>M515+N515+O515+P515</f>
        <v/>
      </c>
      <c r="R515" s="5">
        <f>L515-Q515</f>
        <v/>
      </c>
      <c r="S515" s="6">
        <f>R515*4.7</f>
        <v/>
      </c>
      <c r="T515" s="7">
        <f>IF(L515&gt;0,R515/L515,0)</f>
        <v/>
      </c>
      <c r="U515" s="3" t="inlineStr">
        <is>
          <t>18/05/2026 20:49:38</t>
        </is>
      </c>
    </row>
    <row r="516">
      <c r="A516" s="3" t="inlineStr">
        <is>
          <t>584008957621274416</t>
        </is>
      </c>
      <c r="B516" s="3" t="inlineStr">
        <is>
          <t>已取消</t>
        </is>
      </c>
      <c r="C516" s="3" t="inlineStr">
        <is>
          <t>B2</t>
        </is>
      </c>
      <c r="D516" s="3" t="inlineStr">
        <is>
          <t>魔芋笋2大袋</t>
        </is>
      </c>
      <c r="E5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6" s="3" t="inlineStr">
        <is>
          <t>รสเปรี้ยวเผ็ด​, 20 ซอง 400g</t>
        </is>
      </c>
      <c r="G516" s="6" t="n">
        <v>1</v>
      </c>
      <c r="H516" s="6" t="n">
        <v>245</v>
      </c>
      <c r="I516" s="6" t="n">
        <v>0</v>
      </c>
      <c r="J516" s="6" t="n">
        <v>98</v>
      </c>
      <c r="K516" s="6">
        <f>H516+I516</f>
        <v/>
      </c>
      <c r="L516" s="5">
        <f>K516/4.7</f>
        <v/>
      </c>
      <c r="M516" s="6" t="n">
        <v>13.4</v>
      </c>
      <c r="N516" s="6" t="n">
        <v>1</v>
      </c>
      <c r="O516" s="6">
        <f>(K516*0.1229+1.05)/4.7</f>
        <v/>
      </c>
      <c r="P516" s="6">
        <f>K516*0.0749/4.7</f>
        <v/>
      </c>
      <c r="Q516" s="5">
        <f>M516+N516+O516+P516</f>
        <v/>
      </c>
      <c r="R516" s="5">
        <f>L516-Q516</f>
        <v/>
      </c>
      <c r="S516" s="6">
        <f>R516*4.7</f>
        <v/>
      </c>
      <c r="T516" s="7">
        <f>IF(L516&gt;0,R516/L516,0)</f>
        <v/>
      </c>
      <c r="U516" s="3" t="inlineStr">
        <is>
          <t>18/05/2026 20:49:38</t>
        </is>
      </c>
    </row>
    <row r="517">
      <c r="A517" s="3" t="inlineStr">
        <is>
          <t>584087021484409946</t>
        </is>
      </c>
      <c r="B517" s="3" t="inlineStr">
        <is>
          <t>已完成</t>
        </is>
      </c>
      <c r="C517" s="3" t="inlineStr">
        <is>
          <t>C1</t>
        </is>
      </c>
      <c r="D517" s="3" t="inlineStr">
        <is>
          <t>魔芋笋1大袋</t>
        </is>
      </c>
      <c r="E5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7" s="3" t="inlineStr">
        <is>
          <t>รสเผ็ดหอม​, 10 ซอง 200g</t>
        </is>
      </c>
      <c r="G517" s="6" t="n">
        <v>1</v>
      </c>
      <c r="H517" s="6" t="n">
        <v>69</v>
      </c>
      <c r="I517" s="6" t="n">
        <v>0</v>
      </c>
      <c r="J517" s="6" t="n">
        <v>35</v>
      </c>
      <c r="K517" s="6">
        <f>H517+I517</f>
        <v/>
      </c>
      <c r="L517" s="5">
        <f>K517/4.7</f>
        <v/>
      </c>
      <c r="M517" s="6" t="n">
        <v>6.699999999999999</v>
      </c>
      <c r="N517" s="6" t="n">
        <v>1</v>
      </c>
      <c r="O517" s="6">
        <f>(K517*0.1229+1.05)/4.7</f>
        <v/>
      </c>
      <c r="P517" s="6">
        <f>K517*0.0749/4.7</f>
        <v/>
      </c>
      <c r="Q517" s="5">
        <f>M517+N517+O517+P517</f>
        <v/>
      </c>
      <c r="R517" s="5">
        <f>L517-Q517</f>
        <v/>
      </c>
      <c r="S517" s="6">
        <f>R517*4.7</f>
        <v/>
      </c>
      <c r="T517" s="7">
        <f>IF(L517&gt;0,R517/L517,0)</f>
        <v/>
      </c>
      <c r="U517" s="3" t="inlineStr">
        <is>
          <t>18/05/2026 19:08:03</t>
        </is>
      </c>
    </row>
    <row r="518">
      <c r="A518" s="3" t="inlineStr">
        <is>
          <t>584086579603735558</t>
        </is>
      </c>
      <c r="B518" s="3" t="inlineStr">
        <is>
          <t>已完成</t>
        </is>
      </c>
      <c r="C518" s="3" t="inlineStr">
        <is>
          <t>C1</t>
        </is>
      </c>
      <c r="D518" s="3" t="inlineStr">
        <is>
          <t>魔芋笋1大袋</t>
        </is>
      </c>
      <c r="E5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8" s="3" t="inlineStr">
        <is>
          <t>รสเผ็ดหอม​, 10 ซอง 200g</t>
        </is>
      </c>
      <c r="G518" s="6" t="n">
        <v>1</v>
      </c>
      <c r="H518" s="6" t="n">
        <v>69</v>
      </c>
      <c r="I518" s="6" t="n">
        <v>0</v>
      </c>
      <c r="J518" s="6" t="n">
        <v>46</v>
      </c>
      <c r="K518" s="6">
        <f>H518+I518</f>
        <v/>
      </c>
      <c r="L518" s="5">
        <f>K518/4.7</f>
        <v/>
      </c>
      <c r="M518" s="6" t="n">
        <v>6.699999999999999</v>
      </c>
      <c r="N518" s="6" t="n">
        <v>1</v>
      </c>
      <c r="O518" s="6">
        <f>(K518*0.1229+1.05)/4.7</f>
        <v/>
      </c>
      <c r="P518" s="6">
        <f>K518*0.0749/4.7</f>
        <v/>
      </c>
      <c r="Q518" s="5">
        <f>M518+N518+O518+P518</f>
        <v/>
      </c>
      <c r="R518" s="5">
        <f>L518-Q518</f>
        <v/>
      </c>
      <c r="S518" s="6">
        <f>R518*4.7</f>
        <v/>
      </c>
      <c r="T518" s="7">
        <f>IF(L518&gt;0,R518/L518,0)</f>
        <v/>
      </c>
      <c r="U518" s="3" t="inlineStr">
        <is>
          <t>18/05/2026 18:42:48</t>
        </is>
      </c>
    </row>
    <row r="519">
      <c r="A519" s="3" t="inlineStr">
        <is>
          <t>584086624405456171</t>
        </is>
      </c>
      <c r="B519" s="3" t="inlineStr">
        <is>
          <t>已完成</t>
        </is>
      </c>
      <c r="C519" s="3" t="inlineStr">
        <is>
          <t>C5s</t>
        </is>
      </c>
      <c r="D519" s="3" t="inlineStr">
        <is>
          <t>香辣味魔芋笋5小袋</t>
        </is>
      </c>
      <c r="E5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9" s="3" t="inlineStr">
        <is>
          <t>รสเผ็ดหอม​, 5 ซอง 100g</t>
        </is>
      </c>
      <c r="G519" s="6" t="n">
        <v>1</v>
      </c>
      <c r="H519" s="6" t="n">
        <v>47</v>
      </c>
      <c r="I519" s="6" t="n">
        <v>0</v>
      </c>
      <c r="J519" s="6" t="n">
        <v>38</v>
      </c>
      <c r="K519" s="6">
        <f>H519+I519</f>
        <v/>
      </c>
      <c r="L519" s="5">
        <f>K519/4.7</f>
        <v/>
      </c>
      <c r="M519" s="6" t="n">
        <v>3.35</v>
      </c>
      <c r="N519" s="6" t="n">
        <v>1</v>
      </c>
      <c r="O519" s="6">
        <f>(K519*0.1229+1.05)/4.7</f>
        <v/>
      </c>
      <c r="P519" s="6">
        <f>K519*0.0749/4.7</f>
        <v/>
      </c>
      <c r="Q519" s="5">
        <f>M519+N519+O519+P519</f>
        <v/>
      </c>
      <c r="R519" s="5">
        <f>L519-Q519</f>
        <v/>
      </c>
      <c r="S519" s="6">
        <f>R519*4.7</f>
        <v/>
      </c>
      <c r="T519" s="7">
        <f>IF(L519&gt;0,R519/L519,0)</f>
        <v/>
      </c>
      <c r="U519" s="3" t="inlineStr">
        <is>
          <t>18/05/2026 18:40:52</t>
        </is>
      </c>
    </row>
    <row r="520">
      <c r="A520" s="3" t="inlineStr">
        <is>
          <t>584086082930639890</t>
        </is>
      </c>
      <c r="B520" s="3" t="inlineStr">
        <is>
          <t>已完成</t>
        </is>
      </c>
      <c r="C520" s="3" t="inlineStr">
        <is>
          <t>C5s</t>
        </is>
      </c>
      <c r="D520" s="3" t="inlineStr">
        <is>
          <t>香辣味魔芋笋5小袋</t>
        </is>
      </c>
      <c r="E5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0" s="3" t="inlineStr">
        <is>
          <t>รสเผ็ดหอม​, 5 ซอง 100g</t>
        </is>
      </c>
      <c r="G520" s="6" t="n">
        <v>1</v>
      </c>
      <c r="H520" s="6" t="n">
        <v>43.24</v>
      </c>
      <c r="I520" s="6" t="n">
        <v>3.76</v>
      </c>
      <c r="J520" s="6" t="n">
        <v>38</v>
      </c>
      <c r="K520" s="6">
        <f>H520+I520</f>
        <v/>
      </c>
      <c r="L520" s="5">
        <f>K520/4.7</f>
        <v/>
      </c>
      <c r="M520" s="6" t="n">
        <v>3.35</v>
      </c>
      <c r="N520" s="6" t="n">
        <v>1</v>
      </c>
      <c r="O520" s="6">
        <f>(K520*0.1229+1.05)/4.7</f>
        <v/>
      </c>
      <c r="P520" s="6">
        <f>K520*0.0749/4.7</f>
        <v/>
      </c>
      <c r="Q520" s="5">
        <f>M520+N520+O520+P520</f>
        <v/>
      </c>
      <c r="R520" s="5">
        <f>L520-Q520</f>
        <v/>
      </c>
      <c r="S520" s="6">
        <f>R520*4.7</f>
        <v/>
      </c>
      <c r="T520" s="7">
        <f>IF(L520&gt;0,R520/L520,0)</f>
        <v/>
      </c>
      <c r="U520" s="3" t="inlineStr">
        <is>
          <t>18/05/2026 18:03:03</t>
        </is>
      </c>
    </row>
    <row r="521">
      <c r="A521" s="3" t="inlineStr">
        <is>
          <t>584085868495209475</t>
        </is>
      </c>
      <c r="B521" s="3" t="inlineStr">
        <is>
          <t>已完成</t>
        </is>
      </c>
      <c r="C521" s="3" t="inlineStr">
        <is>
          <t>C5s</t>
        </is>
      </c>
      <c r="D521" s="3" t="inlineStr">
        <is>
          <t>香辣味魔芋笋5小袋</t>
        </is>
      </c>
      <c r="E5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1" s="3" t="inlineStr">
        <is>
          <t>รสเผ็ดหอม​, 5 ซอง 100g</t>
        </is>
      </c>
      <c r="G521" s="6" t="n">
        <v>1</v>
      </c>
      <c r="H521" s="6" t="n">
        <v>48</v>
      </c>
      <c r="I521" s="6" t="n">
        <v>0</v>
      </c>
      <c r="J521" s="6" t="n">
        <v>35</v>
      </c>
      <c r="K521" s="6">
        <f>H521+I521</f>
        <v/>
      </c>
      <c r="L521" s="5">
        <f>K521/4.7</f>
        <v/>
      </c>
      <c r="M521" s="6" t="n">
        <v>3.35</v>
      </c>
      <c r="N521" s="6" t="n">
        <v>1</v>
      </c>
      <c r="O521" s="6">
        <f>(K521*0.1229+1.05)/4.7</f>
        <v/>
      </c>
      <c r="P521" s="6">
        <f>K521*0.0749/4.7</f>
        <v/>
      </c>
      <c r="Q521" s="5">
        <f>M521+N521+O521+P521</f>
        <v/>
      </c>
      <c r="R521" s="5">
        <f>L521-Q521</f>
        <v/>
      </c>
      <c r="S521" s="6">
        <f>R521*4.7</f>
        <v/>
      </c>
      <c r="T521" s="7">
        <f>IF(L521&gt;0,R521/L521,0)</f>
        <v/>
      </c>
      <c r="U521" s="3" t="inlineStr">
        <is>
          <t>18/05/2026 17:48:24</t>
        </is>
      </c>
    </row>
    <row r="522">
      <c r="A522" s="3" t="inlineStr">
        <is>
          <t>584083864289183129</t>
        </is>
      </c>
      <c r="B522" s="3" t="inlineStr">
        <is>
          <t>已取消</t>
        </is>
      </c>
      <c r="C522" s="3" t="inlineStr">
        <is>
          <t>C3</t>
        </is>
      </c>
      <c r="D522" s="3" t="inlineStr">
        <is>
          <t>魔芋笋3大袋</t>
        </is>
      </c>
      <c r="E5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2" s="3" t="inlineStr">
        <is>
          <t>รสเผ็ดหอม​, 30 ซอง 600g</t>
        </is>
      </c>
      <c r="G522" s="6" t="n">
        <v>1</v>
      </c>
      <c r="H522" s="6" t="n">
        <v>167</v>
      </c>
      <c r="I522" s="6" t="n">
        <v>0</v>
      </c>
      <c r="J522" s="6" t="n">
        <v>42</v>
      </c>
      <c r="K522" s="6">
        <f>H522+I522</f>
        <v/>
      </c>
      <c r="L522" s="5">
        <f>K522/4.7</f>
        <v/>
      </c>
      <c r="M522" s="6" t="n">
        <v>20.1</v>
      </c>
      <c r="N522" s="6" t="n">
        <v>1</v>
      </c>
      <c r="O522" s="6">
        <f>(K522*0.1229+1.05)/4.7</f>
        <v/>
      </c>
      <c r="P522" s="6">
        <f>K522*0.0749/4.7</f>
        <v/>
      </c>
      <c r="Q522" s="5">
        <f>M522+N522+O522+P522</f>
        <v/>
      </c>
      <c r="R522" s="5">
        <f>L522-Q522</f>
        <v/>
      </c>
      <c r="S522" s="6">
        <f>R522*4.7</f>
        <v/>
      </c>
      <c r="T522" s="7">
        <f>IF(L522&gt;0,R522/L522,0)</f>
        <v/>
      </c>
      <c r="U522" s="3" t="inlineStr">
        <is>
          <t>18/05/2026 15:07:42</t>
        </is>
      </c>
    </row>
    <row r="523">
      <c r="A523" s="3" t="inlineStr">
        <is>
          <t>584081216972228306</t>
        </is>
      </c>
      <c r="B523" s="3" t="inlineStr">
        <is>
          <t>已完成</t>
        </is>
      </c>
      <c r="C523" s="3" t="inlineStr">
        <is>
          <t>CK</t>
        </is>
      </c>
      <c r="D523" s="3" t="inlineStr">
        <is>
          <t>黑松露黑麦苏打饼干</t>
        </is>
      </c>
      <c r="E52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23" s="3" t="inlineStr">
        <is>
          <t>ค่าเริ่มต้น</t>
        </is>
      </c>
      <c r="G523" s="6" t="n">
        <v>2</v>
      </c>
      <c r="H523" s="6" t="n">
        <v>205</v>
      </c>
      <c r="I523" s="6" t="n">
        <v>0</v>
      </c>
      <c r="J523" s="6" t="n">
        <v>38</v>
      </c>
      <c r="K523" s="6">
        <f>H523+I523</f>
        <v/>
      </c>
      <c r="L523" s="5">
        <f>K523/4.7</f>
        <v/>
      </c>
      <c r="M523" s="6" t="n">
        <v>21.45330100418933</v>
      </c>
      <c r="N523" s="6" t="n">
        <v>1</v>
      </c>
      <c r="O523" s="6">
        <f>(K523*0.1229+1.05)/4.7</f>
        <v/>
      </c>
      <c r="P523" s="6">
        <f>K523*0.0749/4.7</f>
        <v/>
      </c>
      <c r="Q523" s="5">
        <f>M523+N523+O523+P523</f>
        <v/>
      </c>
      <c r="R523" s="5">
        <f>L523-Q523</f>
        <v/>
      </c>
      <c r="S523" s="6">
        <f>R523*4.7</f>
        <v/>
      </c>
      <c r="T523" s="7">
        <f>IF(L523&gt;0,R523/L523,0)</f>
        <v/>
      </c>
      <c r="U523" s="3" t="inlineStr">
        <is>
          <t>18/05/2026 11:59:43</t>
        </is>
      </c>
    </row>
    <row r="524">
      <c r="A524" s="3" t="inlineStr">
        <is>
          <t>584080481602929866</t>
        </is>
      </c>
      <c r="B524" s="3" t="inlineStr">
        <is>
          <t>已完成</t>
        </is>
      </c>
      <c r="C524" s="3" t="inlineStr">
        <is>
          <t>CK</t>
        </is>
      </c>
      <c r="D524" s="3" t="inlineStr">
        <is>
          <t>黑松露黑麦苏打饼干</t>
        </is>
      </c>
      <c r="E52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24" s="3" t="inlineStr">
        <is>
          <t>ค่าเริ่มต้น</t>
        </is>
      </c>
      <c r="G524" s="6" t="n">
        <v>1</v>
      </c>
      <c r="H524" s="6" t="n">
        <v>60</v>
      </c>
      <c r="I524" s="6" t="n">
        <v>40</v>
      </c>
      <c r="J524" s="6" t="n">
        <v>38</v>
      </c>
      <c r="K524" s="6">
        <f>H524+I524</f>
        <v/>
      </c>
      <c r="L524" s="5">
        <f>K524/4.7</f>
        <v/>
      </c>
      <c r="M524" s="6" t="n">
        <v>10.72665050209467</v>
      </c>
      <c r="N524" s="6" t="n">
        <v>1</v>
      </c>
      <c r="O524" s="6">
        <f>(K524*0.1229+1.05)/4.7</f>
        <v/>
      </c>
      <c r="P524" s="6">
        <f>K524*0.0749/4.7</f>
        <v/>
      </c>
      <c r="Q524" s="5">
        <f>M524+N524+O524+P524</f>
        <v/>
      </c>
      <c r="R524" s="5">
        <f>L524-Q524</f>
        <v/>
      </c>
      <c r="S524" s="6">
        <f>R524*4.7</f>
        <v/>
      </c>
      <c r="T524" s="7">
        <f>IF(L524&gt;0,R524/L524,0)</f>
        <v/>
      </c>
      <c r="U524" s="3" t="inlineStr">
        <is>
          <t>18/05/2026 11:07:06</t>
        </is>
      </c>
    </row>
    <row r="525">
      <c r="A525" s="3" t="inlineStr">
        <is>
          <t>584080054269085379</t>
        </is>
      </c>
      <c r="B525" s="3" t="inlineStr">
        <is>
          <t>已完成</t>
        </is>
      </c>
      <c r="C525" s="3" t="inlineStr">
        <is>
          <t>B2</t>
        </is>
      </c>
      <c r="D525" s="3" t="inlineStr">
        <is>
          <t>魔芋笋2大袋</t>
        </is>
      </c>
      <c r="E5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5" s="3" t="inlineStr">
        <is>
          <t>รสเปรี้ยวเผ็ด​, 20 ซอง 400g</t>
        </is>
      </c>
      <c r="G525" s="6" t="n">
        <v>1</v>
      </c>
      <c r="H525" s="6" t="n">
        <v>125</v>
      </c>
      <c r="I525" s="6" t="n">
        <v>0</v>
      </c>
      <c r="J525" s="6" t="n">
        <v>35</v>
      </c>
      <c r="K525" s="6">
        <f>H525+I525</f>
        <v/>
      </c>
      <c r="L525" s="5">
        <f>K525/4.7</f>
        <v/>
      </c>
      <c r="M525" s="6" t="n">
        <v>13.4</v>
      </c>
      <c r="N525" s="6" t="n">
        <v>1</v>
      </c>
      <c r="O525" s="6">
        <f>(K525*0.1229+1.05)/4.7</f>
        <v/>
      </c>
      <c r="P525" s="6">
        <f>K525*0.0749/4.7</f>
        <v/>
      </c>
      <c r="Q525" s="5">
        <f>M525+N525+O525+P525</f>
        <v/>
      </c>
      <c r="R525" s="5">
        <f>L525-Q525</f>
        <v/>
      </c>
      <c r="S525" s="6">
        <f>R525*4.7</f>
        <v/>
      </c>
      <c r="T525" s="7">
        <f>IF(L525&gt;0,R525/L525,0)</f>
        <v/>
      </c>
      <c r="U525" s="3" t="inlineStr">
        <is>
          <t>18/05/2026 10:37:17</t>
        </is>
      </c>
    </row>
    <row r="526">
      <c r="A526" s="3" t="inlineStr">
        <is>
          <t>584078263175316497</t>
        </is>
      </c>
      <c r="B526" s="3" t="inlineStr">
        <is>
          <t>已完成</t>
        </is>
      </c>
      <c r="C526" s="3" t="inlineStr">
        <is>
          <t>CK</t>
        </is>
      </c>
      <c r="D526" s="3" t="inlineStr">
        <is>
          <t>黑松露黑麦苏打饼干</t>
        </is>
      </c>
      <c r="E52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26" s="3" t="inlineStr">
        <is>
          <t>ค่าเริ่มต้น</t>
        </is>
      </c>
      <c r="G526" s="6" t="n">
        <v>1</v>
      </c>
      <c r="H526" s="6" t="n">
        <v>84</v>
      </c>
      <c r="I526" s="6" t="n">
        <v>21</v>
      </c>
      <c r="J526" s="6" t="n">
        <v>35</v>
      </c>
      <c r="K526" s="6">
        <f>H526+I526</f>
        <v/>
      </c>
      <c r="L526" s="5">
        <f>K526/4.7</f>
        <v/>
      </c>
      <c r="M526" s="6" t="n">
        <v>10.72665050209467</v>
      </c>
      <c r="N526" s="6" t="n">
        <v>1</v>
      </c>
      <c r="O526" s="6">
        <f>(K526*0.1229+1.05)/4.7</f>
        <v/>
      </c>
      <c r="P526" s="6">
        <f>K526*0.0749/4.7</f>
        <v/>
      </c>
      <c r="Q526" s="5">
        <f>M526+N526+O526+P526</f>
        <v/>
      </c>
      <c r="R526" s="5">
        <f>L526-Q526</f>
        <v/>
      </c>
      <c r="S526" s="6">
        <f>R526*4.7</f>
        <v/>
      </c>
      <c r="T526" s="7">
        <f>IF(L526&gt;0,R526/L526,0)</f>
        <v/>
      </c>
      <c r="U526" s="3" t="inlineStr">
        <is>
          <t>18/05/2026 08:11:59</t>
        </is>
      </c>
    </row>
    <row r="527">
      <c r="A527" s="3" t="inlineStr">
        <is>
          <t>584077541474600805</t>
        </is>
      </c>
      <c r="B527" s="3" t="inlineStr">
        <is>
          <t>已完成</t>
        </is>
      </c>
      <c r="C527" s="3" t="inlineStr">
        <is>
          <t>ER-B</t>
        </is>
      </c>
      <c r="D527" s="3" t="inlineStr">
        <is>
          <t>广州酒家黄油鸡蛋卷480g</t>
        </is>
      </c>
      <c r="E527" s="3" t="inlineStr">
        <is>
          <t>Egg Roll 2สูตร ทองม้วนไข่กล่องเหล็กพรีเมี่ยม!! GuangZhou Restaurant 454g/480g กล่องล่ะ 24 แท่ง</t>
        </is>
      </c>
      <c r="F527" s="3" t="inlineStr">
        <is>
          <t>Butter สูตรเนยสด พรีเมี่ยม</t>
        </is>
      </c>
      <c r="G527" s="6" t="n">
        <v>1</v>
      </c>
      <c r="H527" s="6" t="n">
        <v>360</v>
      </c>
      <c r="I527" s="6" t="n">
        <v>0</v>
      </c>
      <c r="J527" s="6" t="n">
        <v>35</v>
      </c>
      <c r="K527" s="6">
        <f>H527+I527</f>
        <v/>
      </c>
      <c r="L527" s="5">
        <f>K527/4.7</f>
        <v/>
      </c>
      <c r="M527" s="6" t="n">
        <v>45.49882436351998</v>
      </c>
      <c r="N527" s="6" t="n">
        <v>2</v>
      </c>
      <c r="O527" s="6">
        <f>(K527*0.1229+1.05)/4.7</f>
        <v/>
      </c>
      <c r="P527" s="6">
        <f>K527*0.0749/4.7</f>
        <v/>
      </c>
      <c r="Q527" s="5">
        <f>M527+N527+O527+P527</f>
        <v/>
      </c>
      <c r="R527" s="5">
        <f>L527-Q527</f>
        <v/>
      </c>
      <c r="S527" s="6">
        <f>R527*4.7</f>
        <v/>
      </c>
      <c r="T527" s="7">
        <f>IF(L527&gt;0,R527/L527,0)</f>
        <v/>
      </c>
      <c r="U527" s="3" t="inlineStr">
        <is>
          <t>18/05/2026 06:55:41</t>
        </is>
      </c>
    </row>
    <row r="528">
      <c r="A528" s="3" t="inlineStr">
        <is>
          <t>584076310611461501</t>
        </is>
      </c>
      <c r="B528" s="3" t="inlineStr">
        <is>
          <t>已完成</t>
        </is>
      </c>
      <c r="C528" s="3" t="inlineStr">
        <is>
          <t>C1</t>
        </is>
      </c>
      <c r="D528" s="3" t="inlineStr">
        <is>
          <t>魔芋笋1大袋</t>
        </is>
      </c>
      <c r="E5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8" s="3" t="inlineStr">
        <is>
          <t>รสเผ็ดหอม​, 10 ซอง 200g</t>
        </is>
      </c>
      <c r="G528" s="6" t="n">
        <v>1</v>
      </c>
      <c r="H528" s="6" t="n">
        <v>68.90000000000001</v>
      </c>
      <c r="I528" s="6" t="n">
        <v>0.1</v>
      </c>
      <c r="J528" s="6" t="n">
        <v>38</v>
      </c>
      <c r="K528" s="6">
        <f>H528+I528</f>
        <v/>
      </c>
      <c r="L528" s="5">
        <f>K528/4.7</f>
        <v/>
      </c>
      <c r="M528" s="6" t="n">
        <v>6.699999999999999</v>
      </c>
      <c r="N528" s="6" t="n">
        <v>1</v>
      </c>
      <c r="O528" s="6">
        <f>(K528*0.1229+1.05)/4.7</f>
        <v/>
      </c>
      <c r="P528" s="6">
        <f>K528*0.0749/4.7</f>
        <v/>
      </c>
      <c r="Q528" s="5">
        <f>M528+N528+O528+P528</f>
        <v/>
      </c>
      <c r="R528" s="5">
        <f>L528-Q528</f>
        <v/>
      </c>
      <c r="S528" s="6">
        <f>R528*4.7</f>
        <v/>
      </c>
      <c r="T528" s="7">
        <f>IF(L528&gt;0,R528/L528,0)</f>
        <v/>
      </c>
      <c r="U528" s="3" t="inlineStr">
        <is>
          <t>18/05/2026 02:40:20</t>
        </is>
      </c>
    </row>
    <row r="529">
      <c r="A529" s="3" t="inlineStr">
        <is>
          <t>584076331449091470</t>
        </is>
      </c>
      <c r="B529" s="3" t="inlineStr">
        <is>
          <t>已完成</t>
        </is>
      </c>
      <c r="C529" s="3" t="inlineStr">
        <is>
          <t>C1</t>
        </is>
      </c>
      <c r="D529" s="3" t="inlineStr">
        <is>
          <t>魔芋笋1大袋</t>
        </is>
      </c>
      <c r="E5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9" s="3" t="inlineStr">
        <is>
          <t>รสเผ็ดหอม​, 10 ซอง 200g</t>
        </is>
      </c>
      <c r="G529" s="6" t="n">
        <v>1</v>
      </c>
      <c r="H529" s="6" t="n">
        <v>133</v>
      </c>
      <c r="I529" s="6" t="n">
        <v>0</v>
      </c>
      <c r="J529" s="6" t="n">
        <v>48</v>
      </c>
      <c r="K529" s="6">
        <f>H529+I529</f>
        <v/>
      </c>
      <c r="L529" s="5">
        <f>K529/4.7</f>
        <v/>
      </c>
      <c r="M529" s="6" t="n">
        <v>6.699999999999999</v>
      </c>
      <c r="N529" s="6" t="n">
        <v>1</v>
      </c>
      <c r="O529" s="6">
        <f>(K529*0.1229+1.05)/4.7</f>
        <v/>
      </c>
      <c r="P529" s="6">
        <f>K529*0.0749/4.7</f>
        <v/>
      </c>
      <c r="Q529" s="5">
        <f>M529+N529+O529+P529</f>
        <v/>
      </c>
      <c r="R529" s="5">
        <f>L529-Q529</f>
        <v/>
      </c>
      <c r="S529" s="6">
        <f>R529*4.7</f>
        <v/>
      </c>
      <c r="T529" s="7">
        <f>IF(L529&gt;0,R529/L529,0)</f>
        <v/>
      </c>
      <c r="U529" s="3" t="inlineStr">
        <is>
          <t>18/05/2026 02:37:20</t>
        </is>
      </c>
    </row>
    <row r="530">
      <c r="A530" s="3" t="inlineStr">
        <is>
          <t>584076331449091470</t>
        </is>
      </c>
      <c r="B530" s="3" t="inlineStr">
        <is>
          <t>已完成</t>
        </is>
      </c>
      <c r="C530" s="3" t="inlineStr">
        <is>
          <t>B1</t>
        </is>
      </c>
      <c r="D530" s="3" t="inlineStr">
        <is>
          <t>魔芋笋1大袋</t>
        </is>
      </c>
      <c r="E5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0" s="3" t="inlineStr">
        <is>
          <t>รสเปรี้ยวเผ็ด​, 10 ซอง 200g</t>
        </is>
      </c>
      <c r="G530" s="6" t="n">
        <v>1</v>
      </c>
      <c r="H530" s="6" t="n">
        <v>133</v>
      </c>
      <c r="I530" s="6" t="n">
        <v>0</v>
      </c>
      <c r="J530" s="6" t="n">
        <v>48</v>
      </c>
      <c r="K530" s="6">
        <f>H530+I530</f>
        <v/>
      </c>
      <c r="L530" s="5">
        <f>K530/4.7</f>
        <v/>
      </c>
      <c r="M530" s="6" t="n">
        <v>6.699999999999999</v>
      </c>
      <c r="N530" s="6" t="n">
        <v>1</v>
      </c>
      <c r="O530" s="6">
        <f>(K530*0.1229+1.05)/4.7</f>
        <v/>
      </c>
      <c r="P530" s="6">
        <f>K530*0.0749/4.7</f>
        <v/>
      </c>
      <c r="Q530" s="5">
        <f>M530+N530+O530+P530</f>
        <v/>
      </c>
      <c r="R530" s="5">
        <f>L530-Q530</f>
        <v/>
      </c>
      <c r="S530" s="6">
        <f>R530*4.7</f>
        <v/>
      </c>
      <c r="T530" s="7">
        <f>IF(L530&gt;0,R530/L530,0)</f>
        <v/>
      </c>
      <c r="U530" s="3" t="inlineStr">
        <is>
          <t>18/05/2026 02:37:20</t>
        </is>
      </c>
    </row>
    <row r="531">
      <c r="A531" s="3" t="inlineStr">
        <is>
          <t>584075329366819966</t>
        </is>
      </c>
      <c r="B531" s="3" t="inlineStr">
        <is>
          <t>已完成</t>
        </is>
      </c>
      <c r="C531" s="3" t="inlineStr">
        <is>
          <t>ER-B</t>
        </is>
      </c>
      <c r="D531" s="3" t="inlineStr">
        <is>
          <t>广州酒家黄油鸡蛋卷480g</t>
        </is>
      </c>
      <c r="E531" s="3" t="inlineStr">
        <is>
          <t>Egg Roll 2สูตร ทองม้วนไข่กล่องเหล็กพรีเมี่ยม!! GuangZhou Restaurant 454g/480g กล่องล่ะ 24 แท่ง</t>
        </is>
      </c>
      <c r="F531" s="3" t="inlineStr">
        <is>
          <t>Butter สูตรเนยสด พรีเมี่ยม</t>
        </is>
      </c>
      <c r="G531" s="6" t="n">
        <v>1</v>
      </c>
      <c r="H531" s="6" t="n">
        <v>319.5</v>
      </c>
      <c r="I531" s="6" t="n">
        <v>35.5</v>
      </c>
      <c r="J531" s="6" t="n">
        <v>35</v>
      </c>
      <c r="K531" s="6">
        <f>H531+I531</f>
        <v/>
      </c>
      <c r="L531" s="5">
        <f>K531/4.7</f>
        <v/>
      </c>
      <c r="M531" s="6" t="n">
        <v>45.49882436351998</v>
      </c>
      <c r="N531" s="6" t="n">
        <v>2</v>
      </c>
      <c r="O531" s="6">
        <f>(K531*0.1229+1.05)/4.7</f>
        <v/>
      </c>
      <c r="P531" s="6">
        <f>K531*0.0749/4.7</f>
        <v/>
      </c>
      <c r="Q531" s="5">
        <f>M531+N531+O531+P531</f>
        <v/>
      </c>
      <c r="R531" s="5">
        <f>L531-Q531</f>
        <v/>
      </c>
      <c r="S531" s="6">
        <f>R531*4.7</f>
        <v/>
      </c>
      <c r="T531" s="7">
        <f>IF(L531&gt;0,R531/L531,0)</f>
        <v/>
      </c>
      <c r="U531" s="3" t="inlineStr">
        <is>
          <t>17/05/2026 23:39:48</t>
        </is>
      </c>
    </row>
    <row r="532">
      <c r="A532" s="3" t="inlineStr">
        <is>
          <t>584075302113477651</t>
        </is>
      </c>
      <c r="B532" s="3" t="inlineStr">
        <is>
          <t>已完成</t>
        </is>
      </c>
      <c r="C532" s="3" t="inlineStr">
        <is>
          <t>C1</t>
        </is>
      </c>
      <c r="D532" s="3" t="inlineStr">
        <is>
          <t>魔芋笋1大袋</t>
        </is>
      </c>
      <c r="E5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2" s="3" t="inlineStr">
        <is>
          <t>รสเผ็ดหอม​, 10 ซอง 200g</t>
        </is>
      </c>
      <c r="G532" s="6" t="n">
        <v>2</v>
      </c>
      <c r="H532" s="6" t="n">
        <v>133</v>
      </c>
      <c r="I532" s="6" t="n">
        <v>0</v>
      </c>
      <c r="J532" s="6" t="n">
        <v>48</v>
      </c>
      <c r="K532" s="6">
        <f>H532+I532</f>
        <v/>
      </c>
      <c r="L532" s="5">
        <f>K532/4.7</f>
        <v/>
      </c>
      <c r="M532" s="6" t="n">
        <v>13.4</v>
      </c>
      <c r="N532" s="6" t="n">
        <v>1</v>
      </c>
      <c r="O532" s="6">
        <f>(K532*0.1229+1.05)/4.7</f>
        <v/>
      </c>
      <c r="P532" s="6">
        <f>K532*0.0749/4.7</f>
        <v/>
      </c>
      <c r="Q532" s="5">
        <f>M532+N532+O532+P532</f>
        <v/>
      </c>
      <c r="R532" s="5">
        <f>L532-Q532</f>
        <v/>
      </c>
      <c r="S532" s="6">
        <f>R532*4.7</f>
        <v/>
      </c>
      <c r="T532" s="7">
        <f>IF(L532&gt;0,R532/L532,0)</f>
        <v/>
      </c>
      <c r="U532" s="3" t="inlineStr">
        <is>
          <t>17/05/2026 23:38:18</t>
        </is>
      </c>
    </row>
    <row r="533">
      <c r="A533" s="3" t="inlineStr">
        <is>
          <t>584075061359970194</t>
        </is>
      </c>
      <c r="B533" s="3" t="inlineStr">
        <is>
          <t>已完成</t>
        </is>
      </c>
      <c r="C533" s="3" t="inlineStr">
        <is>
          <t>ER-B</t>
        </is>
      </c>
      <c r="D533" s="3" t="inlineStr">
        <is>
          <t>广州酒家黄油鸡蛋卷480g</t>
        </is>
      </c>
      <c r="E533" s="3" t="inlineStr">
        <is>
          <t>Egg Roll 2สูตร ทองม้วนไข่กล่องเหล็กพรีเมี่ยม!! GuangZhou Restaurant 454g/480g กล่องล่ะ 24 แท่ง</t>
        </is>
      </c>
      <c r="F533" s="3" t="inlineStr">
        <is>
          <t>Butter สูตรเนยสด พรีเมี่ยม</t>
        </is>
      </c>
      <c r="G533" s="6" t="n">
        <v>1</v>
      </c>
      <c r="H533" s="6" t="n">
        <v>355</v>
      </c>
      <c r="I533" s="6" t="n">
        <v>0</v>
      </c>
      <c r="J533" s="6" t="n">
        <v>35</v>
      </c>
      <c r="K533" s="6">
        <f>H533+I533</f>
        <v/>
      </c>
      <c r="L533" s="5">
        <f>K533/4.7</f>
        <v/>
      </c>
      <c r="M533" s="6" t="n">
        <v>45.49882436351998</v>
      </c>
      <c r="N533" s="6" t="n">
        <v>2</v>
      </c>
      <c r="O533" s="6">
        <f>(K533*0.1229+1.05)/4.7</f>
        <v/>
      </c>
      <c r="P533" s="6">
        <f>K533*0.0749/4.7</f>
        <v/>
      </c>
      <c r="Q533" s="5">
        <f>M533+N533+O533+P533</f>
        <v/>
      </c>
      <c r="R533" s="5">
        <f>L533-Q533</f>
        <v/>
      </c>
      <c r="S533" s="6">
        <f>R533*4.7</f>
        <v/>
      </c>
      <c r="T533" s="7">
        <f>IF(L533&gt;0,R533/L533,0)</f>
        <v/>
      </c>
      <c r="U533" s="3" t="inlineStr">
        <is>
          <t>17/05/2026 23:17:29</t>
        </is>
      </c>
    </row>
    <row r="534">
      <c r="A534" s="3" t="inlineStr">
        <is>
          <t>584075016552219872</t>
        </is>
      </c>
      <c r="B534" s="3" t="inlineStr">
        <is>
          <t>已完成</t>
        </is>
      </c>
      <c r="C534" s="3" t="inlineStr">
        <is>
          <t>ER-B</t>
        </is>
      </c>
      <c r="D534" s="3" t="inlineStr">
        <is>
          <t>广州酒家黄油鸡蛋卷480g</t>
        </is>
      </c>
      <c r="E534" s="3" t="inlineStr">
        <is>
          <t>Egg Roll 2สูตร ทองม้วนไข่กล่องเหล็กพรีเมี่ยม!! GuangZhou Restaurant 454g/480g กล่องล่ะ 24 แท่ง</t>
        </is>
      </c>
      <c r="F534" s="3" t="inlineStr">
        <is>
          <t>Butter สูตรเนยสด พรีเมี่ยม</t>
        </is>
      </c>
      <c r="G534" s="6" t="n">
        <v>1</v>
      </c>
      <c r="H534" s="6" t="n">
        <v>715</v>
      </c>
      <c r="I534" s="6" t="n">
        <v>0</v>
      </c>
      <c r="J534" s="6" t="n">
        <v>29</v>
      </c>
      <c r="K534" s="6">
        <f>H534+I534</f>
        <v/>
      </c>
      <c r="L534" s="5">
        <f>K534/4.7</f>
        <v/>
      </c>
      <c r="M534" s="6" t="n">
        <v>45.49882436351998</v>
      </c>
      <c r="N534" s="6" t="n">
        <v>2</v>
      </c>
      <c r="O534" s="6">
        <f>(K534*0.1229+1.05)/4.7</f>
        <v/>
      </c>
      <c r="P534" s="6">
        <f>K534*0.0749/4.7</f>
        <v/>
      </c>
      <c r="Q534" s="5">
        <f>M534+N534+O534+P534</f>
        <v/>
      </c>
      <c r="R534" s="5">
        <f>L534-Q534</f>
        <v/>
      </c>
      <c r="S534" s="6">
        <f>R534*4.7</f>
        <v/>
      </c>
      <c r="T534" s="7">
        <f>IF(L534&gt;0,R534/L534,0)</f>
        <v/>
      </c>
      <c r="U534" s="3" t="inlineStr">
        <is>
          <t>17/05/2026 23:03:19</t>
        </is>
      </c>
    </row>
    <row r="535">
      <c r="A535" s="3" t="inlineStr">
        <is>
          <t>584075016552219872</t>
        </is>
      </c>
      <c r="B535" s="3" t="inlineStr">
        <is>
          <t>已完成</t>
        </is>
      </c>
      <c r="C535" s="3" t="inlineStr">
        <is>
          <t>ER-A</t>
        </is>
      </c>
      <c r="D535" s="3" t="inlineStr">
        <is>
          <t>广州酒家传统鸡蛋卷454g</t>
        </is>
      </c>
      <c r="E535" s="3" t="inlineStr">
        <is>
          <t>Egg Roll 2สูตร ทองม้วนไข่กล่องเหล็กพรีเมี่ยม!! GuangZhou Restaurant 454g/480g กล่องล่ะ 24 แท่ง</t>
        </is>
      </c>
      <c r="F535" s="3" t="inlineStr">
        <is>
          <t>Traditional สูตรดั้งเดิม ไข่ล้วน</t>
        </is>
      </c>
      <c r="G535" s="6" t="n">
        <v>1</v>
      </c>
      <c r="H535" s="6" t="n">
        <v>715</v>
      </c>
      <c r="I535" s="6" t="n">
        <v>0</v>
      </c>
      <c r="J535" s="6" t="n">
        <v>29</v>
      </c>
      <c r="K535" s="6">
        <f>H535+I535</f>
        <v/>
      </c>
      <c r="L535" s="5">
        <f>K535/4.7</f>
        <v/>
      </c>
      <c r="M535" s="6" t="n">
        <v>40.25338607190941</v>
      </c>
      <c r="N535" s="6" t="n">
        <v>2</v>
      </c>
      <c r="O535" s="6">
        <f>(K535*0.1229+1.05)/4.7</f>
        <v/>
      </c>
      <c r="P535" s="6">
        <f>K535*0.0749/4.7</f>
        <v/>
      </c>
      <c r="Q535" s="5">
        <f>M535+N535+O535+P535</f>
        <v/>
      </c>
      <c r="R535" s="5">
        <f>L535-Q535</f>
        <v/>
      </c>
      <c r="S535" s="6">
        <f>R535*4.7</f>
        <v/>
      </c>
      <c r="T535" s="7">
        <f>IF(L535&gt;0,R535/L535,0)</f>
        <v/>
      </c>
      <c r="U535" s="3" t="inlineStr">
        <is>
          <t>17/05/2026 23:03:19</t>
        </is>
      </c>
    </row>
    <row r="536">
      <c r="A536" s="3" t="inlineStr">
        <is>
          <t>584074552617764263</t>
        </is>
      </c>
      <c r="B536" s="3" t="inlineStr">
        <is>
          <t>已完成</t>
        </is>
      </c>
      <c r="C536" s="3" t="inlineStr">
        <is>
          <t>ER-A</t>
        </is>
      </c>
      <c r="D536" s="3" t="inlineStr">
        <is>
          <t>广州酒家传统鸡蛋卷454g</t>
        </is>
      </c>
      <c r="E536" s="3" t="inlineStr">
        <is>
          <t>Egg Roll 2สูตร ทองม้วนไข่กล่องเหล็กพรีเมี่ยม!! GuangZhou Restaurant 454g/480g กล่องล่ะ 24 แท่ง</t>
        </is>
      </c>
      <c r="F536" s="3" t="inlineStr">
        <is>
          <t>Traditional สูตรดั้งเดิม ไข่ล้วน</t>
        </is>
      </c>
      <c r="G536" s="6" t="n">
        <v>1</v>
      </c>
      <c r="H536" s="6" t="n">
        <v>360</v>
      </c>
      <c r="I536" s="6" t="n">
        <v>0</v>
      </c>
      <c r="J536" s="6" t="n">
        <v>35</v>
      </c>
      <c r="K536" s="6">
        <f>H536+I536</f>
        <v/>
      </c>
      <c r="L536" s="5">
        <f>K536/4.7</f>
        <v/>
      </c>
      <c r="M536" s="6" t="n">
        <v>40.25338607190941</v>
      </c>
      <c r="N536" s="6" t="n">
        <v>2</v>
      </c>
      <c r="O536" s="6">
        <f>(K536*0.1229+1.05)/4.7</f>
        <v/>
      </c>
      <c r="P536" s="6">
        <f>K536*0.0749/4.7</f>
        <v/>
      </c>
      <c r="Q536" s="5">
        <f>M536+N536+O536+P536</f>
        <v/>
      </c>
      <c r="R536" s="5">
        <f>L536-Q536</f>
        <v/>
      </c>
      <c r="S536" s="6">
        <f>R536*4.7</f>
        <v/>
      </c>
      <c r="T536" s="7">
        <f>IF(L536&gt;0,R536/L536,0)</f>
        <v/>
      </c>
      <c r="U536" s="3" t="inlineStr">
        <is>
          <t>17/05/2026 22:31:48</t>
        </is>
      </c>
    </row>
    <row r="537">
      <c r="A537" s="3" t="inlineStr">
        <is>
          <t>584074505542665639</t>
        </is>
      </c>
      <c r="B537" s="3" t="inlineStr">
        <is>
          <t>已完成</t>
        </is>
      </c>
      <c r="C537" s="3" t="inlineStr">
        <is>
          <t>ER-B</t>
        </is>
      </c>
      <c r="D537" s="3" t="inlineStr">
        <is>
          <t>广州酒家黄油鸡蛋卷480g</t>
        </is>
      </c>
      <c r="E537" s="3" t="inlineStr">
        <is>
          <t>Egg Roll 2สูตร ทองม้วนไข่กล่องเหล็กพรีเมี่ยม!! GuangZhou Restaurant 454g/480g กล่องล่ะ 24 แท่ง</t>
        </is>
      </c>
      <c r="F537" s="3" t="inlineStr">
        <is>
          <t>Butter สูตรเนยสด พรีเมี่ยม</t>
        </is>
      </c>
      <c r="G537" s="6" t="n">
        <v>1</v>
      </c>
      <c r="H537" s="6" t="n">
        <v>355</v>
      </c>
      <c r="I537" s="6" t="n">
        <v>0</v>
      </c>
      <c r="J537" s="6" t="n">
        <v>35</v>
      </c>
      <c r="K537" s="6">
        <f>H537+I537</f>
        <v/>
      </c>
      <c r="L537" s="5">
        <f>K537/4.7</f>
        <v/>
      </c>
      <c r="M537" s="6" t="n">
        <v>45.49882436351998</v>
      </c>
      <c r="N537" s="6" t="n">
        <v>2</v>
      </c>
      <c r="O537" s="6">
        <f>(K537*0.1229+1.05)/4.7</f>
        <v/>
      </c>
      <c r="P537" s="6">
        <f>K537*0.0749/4.7</f>
        <v/>
      </c>
      <c r="Q537" s="5">
        <f>M537+N537+O537+P537</f>
        <v/>
      </c>
      <c r="R537" s="5">
        <f>L537-Q537</f>
        <v/>
      </c>
      <c r="S537" s="6">
        <f>R537*4.7</f>
        <v/>
      </c>
      <c r="T537" s="7">
        <f>IF(L537&gt;0,R537/L537,0)</f>
        <v/>
      </c>
      <c r="U537" s="3" t="inlineStr">
        <is>
          <t>17/05/2026 22:29:36</t>
        </is>
      </c>
    </row>
    <row r="538">
      <c r="A538" s="3" t="inlineStr">
        <is>
          <t>584074279256098083</t>
        </is>
      </c>
      <c r="B538" s="3" t="inlineStr">
        <is>
          <t>已完成</t>
        </is>
      </c>
      <c r="C538" s="3" t="inlineStr">
        <is>
          <t>C1</t>
        </is>
      </c>
      <c r="D538" s="3" t="inlineStr">
        <is>
          <t>魔芋笋1大袋</t>
        </is>
      </c>
      <c r="E5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8" s="3" t="inlineStr">
        <is>
          <t>รสเผ็ดหอม​, 10 ซอง 200g</t>
        </is>
      </c>
      <c r="G538" s="6" t="n">
        <v>1</v>
      </c>
      <c r="H538" s="6" t="n">
        <v>69</v>
      </c>
      <c r="I538" s="6" t="n">
        <v>0</v>
      </c>
      <c r="J538" s="6" t="n">
        <v>35</v>
      </c>
      <c r="K538" s="6">
        <f>H538+I538</f>
        <v/>
      </c>
      <c r="L538" s="5">
        <f>K538/4.7</f>
        <v/>
      </c>
      <c r="M538" s="6" t="n">
        <v>6.699999999999999</v>
      </c>
      <c r="N538" s="6" t="n">
        <v>1</v>
      </c>
      <c r="O538" s="6">
        <f>(K538*0.1229+1.05)/4.7</f>
        <v/>
      </c>
      <c r="P538" s="6">
        <f>K538*0.0749/4.7</f>
        <v/>
      </c>
      <c r="Q538" s="5">
        <f>M538+N538+O538+P538</f>
        <v/>
      </c>
      <c r="R538" s="5">
        <f>L538-Q538</f>
        <v/>
      </c>
      <c r="S538" s="6">
        <f>R538*4.7</f>
        <v/>
      </c>
      <c r="T538" s="7">
        <f>IF(L538&gt;0,R538/L538,0)</f>
        <v/>
      </c>
      <c r="U538" s="3" t="inlineStr">
        <is>
          <t>17/05/2026 22:11:17</t>
        </is>
      </c>
    </row>
    <row r="539">
      <c r="A539" s="3" t="inlineStr">
        <is>
          <t>584071676778611940</t>
        </is>
      </c>
      <c r="B539" s="3" t="inlineStr">
        <is>
          <t>已完成</t>
        </is>
      </c>
      <c r="C539" s="3" t="inlineStr">
        <is>
          <t>C3</t>
        </is>
      </c>
      <c r="D539" s="3" t="inlineStr">
        <is>
          <t>魔芋笋3大袋</t>
        </is>
      </c>
      <c r="E5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9" s="3" t="inlineStr">
        <is>
          <t>รสเผ็ดหอม​, 30 ซอง 600g</t>
        </is>
      </c>
      <c r="G539" s="6" t="n">
        <v>1</v>
      </c>
      <c r="H539" s="6" t="n">
        <v>172</v>
      </c>
      <c r="I539" s="6" t="n">
        <v>0</v>
      </c>
      <c r="J539" s="6" t="n">
        <v>38</v>
      </c>
      <c r="K539" s="6">
        <f>H539+I539</f>
        <v/>
      </c>
      <c r="L539" s="5">
        <f>K539/4.7</f>
        <v/>
      </c>
      <c r="M539" s="6" t="n">
        <v>20.1</v>
      </c>
      <c r="N539" s="6" t="n">
        <v>1</v>
      </c>
      <c r="O539" s="6">
        <f>(K539*0.1229+1.05)/4.7</f>
        <v/>
      </c>
      <c r="P539" s="6">
        <f>K539*0.0749/4.7</f>
        <v/>
      </c>
      <c r="Q539" s="5">
        <f>M539+N539+O539+P539</f>
        <v/>
      </c>
      <c r="R539" s="5">
        <f>L539-Q539</f>
        <v/>
      </c>
      <c r="S539" s="6">
        <f>R539*4.7</f>
        <v/>
      </c>
      <c r="T539" s="7">
        <f>IF(L539&gt;0,R539/L539,0)</f>
        <v/>
      </c>
      <c r="U539" s="3" t="inlineStr">
        <is>
          <t>17/05/2026 19:28:31</t>
        </is>
      </c>
    </row>
    <row r="540">
      <c r="A540" s="3" t="inlineStr">
        <is>
          <t>584071567367505124</t>
        </is>
      </c>
      <c r="B540" s="3" t="inlineStr">
        <is>
          <t>已取消</t>
        </is>
      </c>
      <c r="C540" s="3" t="inlineStr">
        <is>
          <t>C3</t>
        </is>
      </c>
      <c r="D540" s="3" t="inlineStr">
        <is>
          <t>魔芋笋3大袋</t>
        </is>
      </c>
      <c r="E540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540" s="3" t="inlineStr">
        <is>
          <t>รสเผ็ดหอม​, 3pcs</t>
        </is>
      </c>
      <c r="G540" s="6" t="n">
        <v>1</v>
      </c>
      <c r="H540" s="6" t="n">
        <v>179</v>
      </c>
      <c r="I540" s="6" t="n">
        <v>0</v>
      </c>
      <c r="J540" s="6" t="n">
        <v>38</v>
      </c>
      <c r="K540" s="6">
        <f>H540+I540</f>
        <v/>
      </c>
      <c r="L540" s="5">
        <f>K540/4.7</f>
        <v/>
      </c>
      <c r="M540" s="6" t="n">
        <v>20.1</v>
      </c>
      <c r="N540" s="6" t="n">
        <v>1</v>
      </c>
      <c r="O540" s="6">
        <f>(K540*0.1229+1.05)/4.7</f>
        <v/>
      </c>
      <c r="P540" s="6">
        <f>K540*0.0749/4.7</f>
        <v/>
      </c>
      <c r="Q540" s="5">
        <f>M540+N540+O540+P540</f>
        <v/>
      </c>
      <c r="R540" s="5">
        <f>L540-Q540</f>
        <v/>
      </c>
      <c r="S540" s="6">
        <f>R540*4.7</f>
        <v/>
      </c>
      <c r="T540" s="7">
        <f>IF(L540&gt;0,R540/L540,0)</f>
        <v/>
      </c>
      <c r="U540" s="3" t="inlineStr">
        <is>
          <t>17/05/2026 19:22:55</t>
        </is>
      </c>
    </row>
    <row r="541">
      <c r="A541" s="3" t="inlineStr">
        <is>
          <t>584071476795180470</t>
        </is>
      </c>
      <c r="B541" s="3" t="inlineStr">
        <is>
          <t>已完成</t>
        </is>
      </c>
      <c r="C541" s="3" t="inlineStr">
        <is>
          <t>CK</t>
        </is>
      </c>
      <c r="D541" s="3" t="inlineStr">
        <is>
          <t>黑松露黑麦苏打饼干</t>
        </is>
      </c>
      <c r="E54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41" s="3" t="inlineStr">
        <is>
          <t>ค่าเริ่มต้น</t>
        </is>
      </c>
      <c r="G541" s="6" t="n">
        <v>1</v>
      </c>
      <c r="H541" s="6" t="n">
        <v>55</v>
      </c>
      <c r="I541" s="6" t="n">
        <v>50</v>
      </c>
      <c r="J541" s="6" t="n">
        <v>35</v>
      </c>
      <c r="K541" s="6">
        <f>H541+I541</f>
        <v/>
      </c>
      <c r="L541" s="5">
        <f>K541/4.7</f>
        <v/>
      </c>
      <c r="M541" s="6" t="n">
        <v>10.72665050209467</v>
      </c>
      <c r="N541" s="6" t="n">
        <v>1</v>
      </c>
      <c r="O541" s="6">
        <f>(K541*0.1229+1.05)/4.7</f>
        <v/>
      </c>
      <c r="P541" s="6">
        <f>K541*0.0749/4.7</f>
        <v/>
      </c>
      <c r="Q541" s="5">
        <f>M541+N541+O541+P541</f>
        <v/>
      </c>
      <c r="R541" s="5">
        <f>L541-Q541</f>
        <v/>
      </c>
      <c r="S541" s="6">
        <f>R541*4.7</f>
        <v/>
      </c>
      <c r="T541" s="7">
        <f>IF(L541&gt;0,R541/L541,0)</f>
        <v/>
      </c>
      <c r="U541" s="3" t="inlineStr">
        <is>
          <t>17/05/2026 19:14:05</t>
        </is>
      </c>
    </row>
    <row r="542">
      <c r="A542" s="3" t="inlineStr">
        <is>
          <t>584069644013372561</t>
        </is>
      </c>
      <c r="B542" s="3" t="inlineStr">
        <is>
          <t>已完成</t>
        </is>
      </c>
      <c r="C542" s="3" t="inlineStr">
        <is>
          <t>C2</t>
        </is>
      </c>
      <c r="D542" s="3" t="inlineStr">
        <is>
          <t>魔芋笋2大袋</t>
        </is>
      </c>
      <c r="E5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2" s="3" t="inlineStr">
        <is>
          <t>รสเผ็ดหอม​, 20 ซอง 400g</t>
        </is>
      </c>
      <c r="G542" s="6" t="n">
        <v>1</v>
      </c>
      <c r="H542" s="6" t="n">
        <v>225</v>
      </c>
      <c r="I542" s="6" t="n">
        <v>12.5</v>
      </c>
      <c r="J542" s="6" t="n">
        <v>48</v>
      </c>
      <c r="K542" s="6">
        <f>H542+I542</f>
        <v/>
      </c>
      <c r="L542" s="5">
        <f>K542/4.7</f>
        <v/>
      </c>
      <c r="M542" s="6" t="n">
        <v>13.4</v>
      </c>
      <c r="N542" s="6" t="n">
        <v>1</v>
      </c>
      <c r="O542" s="6">
        <f>(K542*0.1229+1.05)/4.7</f>
        <v/>
      </c>
      <c r="P542" s="6">
        <f>K542*0.0749/4.7</f>
        <v/>
      </c>
      <c r="Q542" s="5">
        <f>M542+N542+O542+P542</f>
        <v/>
      </c>
      <c r="R542" s="5">
        <f>L542-Q542</f>
        <v/>
      </c>
      <c r="S542" s="6">
        <f>R542*4.7</f>
        <v/>
      </c>
      <c r="T542" s="7">
        <f>IF(L542&gt;0,R542/L542,0)</f>
        <v/>
      </c>
      <c r="U542" s="3" t="inlineStr">
        <is>
          <t>17/05/2026 17:04:56</t>
        </is>
      </c>
    </row>
    <row r="543">
      <c r="A543" s="3" t="inlineStr">
        <is>
          <t>584069644013372561</t>
        </is>
      </c>
      <c r="B543" s="3" t="inlineStr">
        <is>
          <t>已完成</t>
        </is>
      </c>
      <c r="C543" s="3" t="inlineStr">
        <is>
          <t>B2</t>
        </is>
      </c>
      <c r="D543" s="3" t="inlineStr">
        <is>
          <t>魔芋笋2大袋</t>
        </is>
      </c>
      <c r="E5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3" s="3" t="inlineStr">
        <is>
          <t>รสเปรี้ยวเผ็ด​, 20 ซอง 400g</t>
        </is>
      </c>
      <c r="G543" s="6" t="n">
        <v>1</v>
      </c>
      <c r="H543" s="6" t="n">
        <v>225</v>
      </c>
      <c r="I543" s="6" t="n">
        <v>12.5</v>
      </c>
      <c r="J543" s="6" t="n">
        <v>48</v>
      </c>
      <c r="K543" s="6">
        <f>H543+I543</f>
        <v/>
      </c>
      <c r="L543" s="5">
        <f>K543/4.7</f>
        <v/>
      </c>
      <c r="M543" s="6" t="n">
        <v>13.4</v>
      </c>
      <c r="N543" s="6" t="n">
        <v>1</v>
      </c>
      <c r="O543" s="6">
        <f>(K543*0.1229+1.05)/4.7</f>
        <v/>
      </c>
      <c r="P543" s="6">
        <f>K543*0.0749/4.7</f>
        <v/>
      </c>
      <c r="Q543" s="5">
        <f>M543+N543+O543+P543</f>
        <v/>
      </c>
      <c r="R543" s="5">
        <f>L543-Q543</f>
        <v/>
      </c>
      <c r="S543" s="6">
        <f>R543*4.7</f>
        <v/>
      </c>
      <c r="T543" s="7">
        <f>IF(L543&gt;0,R543/L543,0)</f>
        <v/>
      </c>
      <c r="U543" s="3" t="inlineStr">
        <is>
          <t>17/05/2026 17:04:56</t>
        </is>
      </c>
    </row>
    <row r="544">
      <c r="A544" s="3" t="inlineStr">
        <is>
          <t>584068728060413435</t>
        </is>
      </c>
      <c r="B544" s="3" t="inlineStr">
        <is>
          <t>已完成</t>
        </is>
      </c>
      <c r="C544" s="3" t="inlineStr">
        <is>
          <t>C1</t>
        </is>
      </c>
      <c r="D544" s="3" t="inlineStr">
        <is>
          <t>魔芋笋1大袋</t>
        </is>
      </c>
      <c r="E5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4" s="3" t="inlineStr">
        <is>
          <t>รสเผ็ดหอม​, 10 ซอง 200g</t>
        </is>
      </c>
      <c r="G544" s="6" t="n">
        <v>1</v>
      </c>
      <c r="H544" s="6" t="n">
        <v>69</v>
      </c>
      <c r="I544" s="6" t="n">
        <v>0</v>
      </c>
      <c r="J544" s="6" t="n">
        <v>38</v>
      </c>
      <c r="K544" s="6">
        <f>H544+I544</f>
        <v/>
      </c>
      <c r="L544" s="5">
        <f>K544/4.7</f>
        <v/>
      </c>
      <c r="M544" s="6" t="n">
        <v>6.699999999999999</v>
      </c>
      <c r="N544" s="6" t="n">
        <v>1</v>
      </c>
      <c r="O544" s="6">
        <f>(K544*0.1229+1.05)/4.7</f>
        <v/>
      </c>
      <c r="P544" s="6">
        <f>K544*0.0749/4.7</f>
        <v/>
      </c>
      <c r="Q544" s="5">
        <f>M544+N544+O544+P544</f>
        <v/>
      </c>
      <c r="R544" s="5">
        <f>L544-Q544</f>
        <v/>
      </c>
      <c r="S544" s="6">
        <f>R544*4.7</f>
        <v/>
      </c>
      <c r="T544" s="7">
        <f>IF(L544&gt;0,R544/L544,0)</f>
        <v/>
      </c>
      <c r="U544" s="3" t="inlineStr">
        <is>
          <t>17/05/2026 15:52:43</t>
        </is>
      </c>
    </row>
    <row r="545">
      <c r="A545" s="3" t="inlineStr">
        <is>
          <t>584066169875367030</t>
        </is>
      </c>
      <c r="B545" s="3" t="inlineStr">
        <is>
          <t>已完成</t>
        </is>
      </c>
      <c r="C545" s="3" t="inlineStr">
        <is>
          <t>C5s</t>
        </is>
      </c>
      <c r="D545" s="3" t="inlineStr">
        <is>
          <t>香辣味魔芋笋5小袋</t>
        </is>
      </c>
      <c r="E5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5" s="3" t="inlineStr">
        <is>
          <t>รสเผ็ดหอม​, 5 ซอง 100g</t>
        </is>
      </c>
      <c r="G545" s="6" t="n">
        <v>1</v>
      </c>
      <c r="H545" s="6" t="n">
        <v>47</v>
      </c>
      <c r="I545" s="6" t="n">
        <v>0</v>
      </c>
      <c r="J545" s="6" t="n">
        <v>35</v>
      </c>
      <c r="K545" s="6">
        <f>H545+I545</f>
        <v/>
      </c>
      <c r="L545" s="5">
        <f>K545/4.7</f>
        <v/>
      </c>
      <c r="M545" s="6" t="n">
        <v>3.35</v>
      </c>
      <c r="N545" s="6" t="n">
        <v>1</v>
      </c>
      <c r="O545" s="6">
        <f>(K545*0.1229+1.05)/4.7</f>
        <v/>
      </c>
      <c r="P545" s="6">
        <f>K545*0.0749/4.7</f>
        <v/>
      </c>
      <c r="Q545" s="5">
        <f>M545+N545+O545+P545</f>
        <v/>
      </c>
      <c r="R545" s="5">
        <f>L545-Q545</f>
        <v/>
      </c>
      <c r="S545" s="6">
        <f>R545*4.7</f>
        <v/>
      </c>
      <c r="T545" s="7">
        <f>IF(L545&gt;0,R545/L545,0)</f>
        <v/>
      </c>
      <c r="U545" s="3" t="inlineStr">
        <is>
          <t>17/05/2026 12:55:13</t>
        </is>
      </c>
    </row>
    <row r="546">
      <c r="A546" s="3" t="inlineStr">
        <is>
          <t>584065721308448325</t>
        </is>
      </c>
      <c r="B546" s="3" t="inlineStr">
        <is>
          <t>已完成</t>
        </is>
      </c>
      <c r="C546" s="3" t="inlineStr">
        <is>
          <t>CK</t>
        </is>
      </c>
      <c r="D546" s="3" t="inlineStr">
        <is>
          <t>黑松露黑麦苏打饼干</t>
        </is>
      </c>
      <c r="E54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46" s="3" t="inlineStr">
        <is>
          <t>ค่าเริ่มต้น</t>
        </is>
      </c>
      <c r="G546" s="6" t="n">
        <v>1</v>
      </c>
      <c r="H546" s="6" t="n">
        <v>105</v>
      </c>
      <c r="I546" s="6" t="n">
        <v>0</v>
      </c>
      <c r="J546" s="6" t="n">
        <v>38</v>
      </c>
      <c r="K546" s="6">
        <f>H546+I546</f>
        <v/>
      </c>
      <c r="L546" s="5">
        <f>K546/4.7</f>
        <v/>
      </c>
      <c r="M546" s="6" t="n">
        <v>10.72665050209467</v>
      </c>
      <c r="N546" s="6" t="n">
        <v>1</v>
      </c>
      <c r="O546" s="6">
        <f>(K546*0.1229+1.05)/4.7</f>
        <v/>
      </c>
      <c r="P546" s="6">
        <f>K546*0.0749/4.7</f>
        <v/>
      </c>
      <c r="Q546" s="5">
        <f>M546+N546+O546+P546</f>
        <v/>
      </c>
      <c r="R546" s="5">
        <f>L546-Q546</f>
        <v/>
      </c>
      <c r="S546" s="6">
        <f>R546*4.7</f>
        <v/>
      </c>
      <c r="T546" s="7">
        <f>IF(L546&gt;0,R546/L546,0)</f>
        <v/>
      </c>
      <c r="U546" s="3" t="inlineStr">
        <is>
          <t>17/05/2026 12:23:26</t>
        </is>
      </c>
    </row>
    <row r="547">
      <c r="A547" s="3" t="inlineStr">
        <is>
          <t>584065522567120286</t>
        </is>
      </c>
      <c r="B547" s="3" t="inlineStr">
        <is>
          <t>已完成</t>
        </is>
      </c>
      <c r="C547" s="3" t="inlineStr">
        <is>
          <t>B1</t>
        </is>
      </c>
      <c r="D547" s="3" t="inlineStr">
        <is>
          <t>魔芋笋1大袋</t>
        </is>
      </c>
      <c r="E5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7" s="3" t="inlineStr">
        <is>
          <t>รสเปรี้ยวเผ็ด​, 10 ซอง 200g</t>
        </is>
      </c>
      <c r="G547" s="6" t="n">
        <v>1</v>
      </c>
      <c r="H547" s="6" t="n">
        <v>69</v>
      </c>
      <c r="I547" s="6" t="n">
        <v>0</v>
      </c>
      <c r="J547" s="6" t="n">
        <v>38</v>
      </c>
      <c r="K547" s="6">
        <f>H547+I547</f>
        <v/>
      </c>
      <c r="L547" s="5">
        <f>K547/4.7</f>
        <v/>
      </c>
      <c r="M547" s="6" t="n">
        <v>6.699999999999999</v>
      </c>
      <c r="N547" s="6" t="n">
        <v>1</v>
      </c>
      <c r="O547" s="6">
        <f>(K547*0.1229+1.05)/4.7</f>
        <v/>
      </c>
      <c r="P547" s="6">
        <f>K547*0.0749/4.7</f>
        <v/>
      </c>
      <c r="Q547" s="5">
        <f>M547+N547+O547+P547</f>
        <v/>
      </c>
      <c r="R547" s="5">
        <f>L547-Q547</f>
        <v/>
      </c>
      <c r="S547" s="6">
        <f>R547*4.7</f>
        <v/>
      </c>
      <c r="T547" s="7">
        <f>IF(L547&gt;0,R547/L547,0)</f>
        <v/>
      </c>
      <c r="U547" s="3" t="inlineStr">
        <is>
          <t>17/05/2026 12:08:38</t>
        </is>
      </c>
    </row>
    <row r="548">
      <c r="A548" s="3" t="inlineStr">
        <is>
          <t>584065343794415587</t>
        </is>
      </c>
      <c r="B548" s="3" t="inlineStr">
        <is>
          <t>已完成</t>
        </is>
      </c>
      <c r="C548" s="3" t="inlineStr">
        <is>
          <t>C1</t>
        </is>
      </c>
      <c r="D548" s="3" t="inlineStr">
        <is>
          <t>魔芋笋1大袋</t>
        </is>
      </c>
      <c r="E5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8" s="3" t="inlineStr">
        <is>
          <t>รสเผ็ดหอม​, 10 ซอง 200g</t>
        </is>
      </c>
      <c r="G548" s="6" t="n">
        <v>1</v>
      </c>
      <c r="H548" s="6" t="n">
        <v>88</v>
      </c>
      <c r="I548" s="6" t="n">
        <v>0</v>
      </c>
      <c r="J548" s="6" t="n">
        <v>0</v>
      </c>
      <c r="K548" s="6">
        <f>H548+I548</f>
        <v/>
      </c>
      <c r="L548" s="5">
        <f>K548/4.7</f>
        <v/>
      </c>
      <c r="M548" s="6" t="n">
        <v>6.699999999999999</v>
      </c>
      <c r="N548" s="6" t="n">
        <v>1</v>
      </c>
      <c r="O548" s="6">
        <f>(K548*0.1229+1.05)/4.7</f>
        <v/>
      </c>
      <c r="P548" s="6">
        <f>K548*0.0749/4.7</f>
        <v/>
      </c>
      <c r="Q548" s="5">
        <f>M548+N548+O548+P548</f>
        <v/>
      </c>
      <c r="R548" s="5">
        <f>L548-Q548</f>
        <v/>
      </c>
      <c r="S548" s="6">
        <f>R548*4.7</f>
        <v/>
      </c>
      <c r="T548" s="7">
        <f>IF(L548&gt;0,R548/L548,0)</f>
        <v/>
      </c>
      <c r="U548" s="3" t="inlineStr">
        <is>
          <t>17/05/2026 11:56:54</t>
        </is>
      </c>
    </row>
    <row r="549">
      <c r="A549" s="3" t="inlineStr">
        <is>
          <t>584064185219974575</t>
        </is>
      </c>
      <c r="B549" s="3" t="inlineStr">
        <is>
          <t>已完成</t>
        </is>
      </c>
      <c r="C549" s="3" t="inlineStr">
        <is>
          <t>C5s</t>
        </is>
      </c>
      <c r="D549" s="3" t="inlineStr">
        <is>
          <t>香辣味魔芋笋5小袋</t>
        </is>
      </c>
      <c r="E5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9" s="3" t="inlineStr">
        <is>
          <t>รสเผ็ดหอม​, 5 ซอง 100g</t>
        </is>
      </c>
      <c r="G549" s="6" t="n">
        <v>1</v>
      </c>
      <c r="H549" s="6" t="n">
        <v>47</v>
      </c>
      <c r="I549" s="6" t="n">
        <v>0</v>
      </c>
      <c r="J549" s="6" t="n">
        <v>20</v>
      </c>
      <c r="K549" s="6">
        <f>H549+I549</f>
        <v/>
      </c>
      <c r="L549" s="5">
        <f>K549/4.7</f>
        <v/>
      </c>
      <c r="M549" s="6" t="n">
        <v>3.35</v>
      </c>
      <c r="N549" s="6" t="n">
        <v>1</v>
      </c>
      <c r="O549" s="6">
        <f>(K549*0.1229+1.05)/4.7</f>
        <v/>
      </c>
      <c r="P549" s="6">
        <f>K549*0.0749/4.7</f>
        <v/>
      </c>
      <c r="Q549" s="5">
        <f>M549+N549+O549+P549</f>
        <v/>
      </c>
      <c r="R549" s="5">
        <f>L549-Q549</f>
        <v/>
      </c>
      <c r="S549" s="6">
        <f>R549*4.7</f>
        <v/>
      </c>
      <c r="T549" s="7">
        <f>IF(L549&gt;0,R549/L549,0)</f>
        <v/>
      </c>
      <c r="U549" s="3" t="inlineStr">
        <is>
          <t>17/05/2026 10:37:28</t>
        </is>
      </c>
    </row>
    <row r="550">
      <c r="A550" s="3" t="inlineStr">
        <is>
          <t>584062144600900994</t>
        </is>
      </c>
      <c r="B550" s="3" t="inlineStr">
        <is>
          <t>已完成</t>
        </is>
      </c>
      <c r="C550" s="3" t="inlineStr">
        <is>
          <t>C2</t>
        </is>
      </c>
      <c r="D550" s="3" t="inlineStr">
        <is>
          <t>魔芋笋2大袋</t>
        </is>
      </c>
      <c r="E5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0" s="3" t="inlineStr">
        <is>
          <t>รสเผ็ดหอม​, 20 ซอง 400g</t>
        </is>
      </c>
      <c r="G550" s="6" t="n">
        <v>1</v>
      </c>
      <c r="H550" s="6" t="n">
        <v>155</v>
      </c>
      <c r="I550" s="6" t="n">
        <v>0</v>
      </c>
      <c r="J550" s="6" t="n">
        <v>0</v>
      </c>
      <c r="K550" s="6">
        <f>H550+I550</f>
        <v/>
      </c>
      <c r="L550" s="5">
        <f>K550/4.7</f>
        <v/>
      </c>
      <c r="M550" s="6" t="n">
        <v>13.4</v>
      </c>
      <c r="N550" s="6" t="n">
        <v>1</v>
      </c>
      <c r="O550" s="6">
        <f>(K550*0.1229+1.05)/4.7</f>
        <v/>
      </c>
      <c r="P550" s="6">
        <f>K550*0.0749/4.7</f>
        <v/>
      </c>
      <c r="Q550" s="5">
        <f>M550+N550+O550+P550</f>
        <v/>
      </c>
      <c r="R550" s="5">
        <f>L550-Q550</f>
        <v/>
      </c>
      <c r="S550" s="6">
        <f>R550*4.7</f>
        <v/>
      </c>
      <c r="T550" s="7">
        <f>IF(L550&gt;0,R550/L550,0)</f>
        <v/>
      </c>
      <c r="U550" s="3" t="inlineStr">
        <is>
          <t>17/05/2026 07:47:55</t>
        </is>
      </c>
    </row>
    <row r="551">
      <c r="A551" s="3" t="inlineStr">
        <is>
          <t>584061848940873049</t>
        </is>
      </c>
      <c r="B551" s="3" t="inlineStr">
        <is>
          <t>已取消</t>
        </is>
      </c>
      <c r="C551" s="3" t="inlineStr">
        <is>
          <t>C1</t>
        </is>
      </c>
      <c r="D551" s="3" t="inlineStr">
        <is>
          <t>魔芋笋1大袋</t>
        </is>
      </c>
      <c r="E5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1" s="3" t="inlineStr">
        <is>
          <t>รสเผ็ดหอม​, 10 ซอง 200g</t>
        </is>
      </c>
      <c r="G551" s="6" t="n">
        <v>1</v>
      </c>
      <c r="H551" s="6" t="n">
        <v>69</v>
      </c>
      <c r="I551" s="6" t="n">
        <v>0</v>
      </c>
      <c r="J551" s="6" t="n">
        <v>38</v>
      </c>
      <c r="K551" s="6">
        <f>H551+I551</f>
        <v/>
      </c>
      <c r="L551" s="5">
        <f>K551/4.7</f>
        <v/>
      </c>
      <c r="M551" s="6" t="n">
        <v>6.699999999999999</v>
      </c>
      <c r="N551" s="6" t="n">
        <v>1</v>
      </c>
      <c r="O551" s="6">
        <f>(K551*0.1229+1.05)/4.7</f>
        <v/>
      </c>
      <c r="P551" s="6">
        <f>K551*0.0749/4.7</f>
        <v/>
      </c>
      <c r="Q551" s="5">
        <f>M551+N551+O551+P551</f>
        <v/>
      </c>
      <c r="R551" s="5">
        <f>L551-Q551</f>
        <v/>
      </c>
      <c r="S551" s="6">
        <f>R551*4.7</f>
        <v/>
      </c>
      <c r="T551" s="7">
        <f>IF(L551&gt;0,R551/L551,0)</f>
        <v/>
      </c>
      <c r="U551" s="3" t="inlineStr">
        <is>
          <t>17/05/2026 07:18:00</t>
        </is>
      </c>
    </row>
    <row r="552">
      <c r="A552" s="3" t="inlineStr">
        <is>
          <t>584061678994425446</t>
        </is>
      </c>
      <c r="B552" s="3" t="inlineStr">
        <is>
          <t>已取消</t>
        </is>
      </c>
      <c r="C552" s="3" t="inlineStr">
        <is>
          <t>C1</t>
        </is>
      </c>
      <c r="D552" s="3" t="inlineStr">
        <is>
          <t>魔芋笋1大袋</t>
        </is>
      </c>
      <c r="E5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2" s="3" t="inlineStr">
        <is>
          <t>รสเผ็ดหอม​, 10 ซอง 200g</t>
        </is>
      </c>
      <c r="G552" s="6" t="n">
        <v>1</v>
      </c>
      <c r="H552" s="6" t="n">
        <v>127.73</v>
      </c>
      <c r="I552" s="6" t="n">
        <v>2.64</v>
      </c>
      <c r="J552" s="6" t="n">
        <v>48</v>
      </c>
      <c r="K552" s="6">
        <f>H552+I552</f>
        <v/>
      </c>
      <c r="L552" s="5">
        <f>K552/4.7</f>
        <v/>
      </c>
      <c r="M552" s="6" t="n">
        <v>6.699999999999999</v>
      </c>
      <c r="N552" s="6" t="n">
        <v>1</v>
      </c>
      <c r="O552" s="6">
        <f>(K552*0.1229+1.05)/4.7</f>
        <v/>
      </c>
      <c r="P552" s="6">
        <f>K552*0.0749/4.7</f>
        <v/>
      </c>
      <c r="Q552" s="5">
        <f>M552+N552+O552+P552</f>
        <v/>
      </c>
      <c r="R552" s="5">
        <f>L552-Q552</f>
        <v/>
      </c>
      <c r="S552" s="6">
        <f>R552*4.7</f>
        <v/>
      </c>
      <c r="T552" s="7">
        <f>IF(L552&gt;0,R552/L552,0)</f>
        <v/>
      </c>
      <c r="U552" s="3" t="inlineStr">
        <is>
          <t>17/05/2026 06:55:00</t>
        </is>
      </c>
    </row>
    <row r="553">
      <c r="A553" s="3" t="inlineStr">
        <is>
          <t>584061678994425446</t>
        </is>
      </c>
      <c r="B553" s="3" t="inlineStr">
        <is>
          <t>已取消</t>
        </is>
      </c>
      <c r="C553" s="3" t="inlineStr">
        <is>
          <t>B1</t>
        </is>
      </c>
      <c r="D553" s="3" t="inlineStr">
        <is>
          <t>魔芋笋1大袋</t>
        </is>
      </c>
      <c r="E5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3" s="3" t="inlineStr">
        <is>
          <t>รสเปรี้ยวเผ็ด​, 10 ซอง 200g</t>
        </is>
      </c>
      <c r="G553" s="6" t="n">
        <v>1</v>
      </c>
      <c r="H553" s="6" t="n">
        <v>127.73</v>
      </c>
      <c r="I553" s="6" t="n">
        <v>2.63</v>
      </c>
      <c r="J553" s="6" t="n">
        <v>48</v>
      </c>
      <c r="K553" s="6">
        <f>H553+I553</f>
        <v/>
      </c>
      <c r="L553" s="5">
        <f>K553/4.7</f>
        <v/>
      </c>
      <c r="M553" s="6" t="n">
        <v>6.699999999999999</v>
      </c>
      <c r="N553" s="6" t="n">
        <v>1</v>
      </c>
      <c r="O553" s="6">
        <f>(K553*0.1229+1.05)/4.7</f>
        <v/>
      </c>
      <c r="P553" s="6">
        <f>K553*0.0749/4.7</f>
        <v/>
      </c>
      <c r="Q553" s="5">
        <f>M553+N553+O553+P553</f>
        <v/>
      </c>
      <c r="R553" s="5">
        <f>L553-Q553</f>
        <v/>
      </c>
      <c r="S553" s="6">
        <f>R553*4.7</f>
        <v/>
      </c>
      <c r="T553" s="7">
        <f>IF(L553&gt;0,R553/L553,0)</f>
        <v/>
      </c>
      <c r="U553" s="3" t="inlineStr">
        <is>
          <t>17/05/2026 06:55:00</t>
        </is>
      </c>
    </row>
    <row r="554">
      <c r="A554" s="3" t="inlineStr">
        <is>
          <t>584061531942585978</t>
        </is>
      </c>
      <c r="B554" s="3" t="inlineStr">
        <is>
          <t>已完成</t>
        </is>
      </c>
      <c r="C554" s="3" t="inlineStr">
        <is>
          <t>C1</t>
        </is>
      </c>
      <c r="D554" s="3" t="inlineStr">
        <is>
          <t>魔芋笋1大袋</t>
        </is>
      </c>
      <c r="E5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4" s="3" t="inlineStr">
        <is>
          <t>รสเผ็ดหอม​, 10 ซอง 200g</t>
        </is>
      </c>
      <c r="G554" s="6" t="n">
        <v>1</v>
      </c>
      <c r="H554" s="6" t="n">
        <v>70</v>
      </c>
      <c r="I554" s="6" t="n">
        <v>0</v>
      </c>
      <c r="J554" s="6" t="n">
        <v>38</v>
      </c>
      <c r="K554" s="6">
        <f>H554+I554</f>
        <v/>
      </c>
      <c r="L554" s="5">
        <f>K554/4.7</f>
        <v/>
      </c>
      <c r="M554" s="6" t="n">
        <v>6.699999999999999</v>
      </c>
      <c r="N554" s="6" t="n">
        <v>1</v>
      </c>
      <c r="O554" s="6">
        <f>(K554*0.1229+1.05)/4.7</f>
        <v/>
      </c>
      <c r="P554" s="6">
        <f>K554*0.0749/4.7</f>
        <v/>
      </c>
      <c r="Q554" s="5">
        <f>M554+N554+O554+P554</f>
        <v/>
      </c>
      <c r="R554" s="5">
        <f>L554-Q554</f>
        <v/>
      </c>
      <c r="S554" s="6">
        <f>R554*4.7</f>
        <v/>
      </c>
      <c r="T554" s="7">
        <f>IF(L554&gt;0,R554/L554,0)</f>
        <v/>
      </c>
      <c r="U554" s="3" t="inlineStr">
        <is>
          <t>17/05/2026 06:39:20</t>
        </is>
      </c>
    </row>
    <row r="555">
      <c r="A555" s="3" t="inlineStr">
        <is>
          <t>584061400981341900</t>
        </is>
      </c>
      <c r="B555" s="3" t="inlineStr">
        <is>
          <t>已完成</t>
        </is>
      </c>
      <c r="C555" s="3" t="inlineStr">
        <is>
          <t>C3</t>
        </is>
      </c>
      <c r="D555" s="3" t="inlineStr">
        <is>
          <t>魔芋笋3大袋</t>
        </is>
      </c>
      <c r="E5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5" s="3" t="inlineStr">
        <is>
          <t>รสเผ็ดหอม​, 30 ซอง 600g</t>
        </is>
      </c>
      <c r="G555" s="6" t="n">
        <v>1</v>
      </c>
      <c r="H555" s="6" t="n">
        <v>167</v>
      </c>
      <c r="I555" s="6" t="n">
        <v>0</v>
      </c>
      <c r="J555" s="6" t="n">
        <v>38</v>
      </c>
      <c r="K555" s="6">
        <f>H555+I555</f>
        <v/>
      </c>
      <c r="L555" s="5">
        <f>K555/4.7</f>
        <v/>
      </c>
      <c r="M555" s="6" t="n">
        <v>20.1</v>
      </c>
      <c r="N555" s="6" t="n">
        <v>1</v>
      </c>
      <c r="O555" s="6">
        <f>(K555*0.1229+1.05)/4.7</f>
        <v/>
      </c>
      <c r="P555" s="6">
        <f>K555*0.0749/4.7</f>
        <v/>
      </c>
      <c r="Q555" s="5">
        <f>M555+N555+O555+P555</f>
        <v/>
      </c>
      <c r="R555" s="5">
        <f>L555-Q555</f>
        <v/>
      </c>
      <c r="S555" s="6">
        <f>R555*4.7</f>
        <v/>
      </c>
      <c r="T555" s="7">
        <f>IF(L555&gt;0,R555/L555,0)</f>
        <v/>
      </c>
      <c r="U555" s="3" t="inlineStr">
        <is>
          <t>17/05/2026 06:21:47</t>
        </is>
      </c>
    </row>
    <row r="556">
      <c r="A556" s="3" t="inlineStr">
        <is>
          <t>584060942379156684</t>
        </is>
      </c>
      <c r="B556" s="3" t="inlineStr">
        <is>
          <t>已完成</t>
        </is>
      </c>
      <c r="C556" s="3" t="inlineStr">
        <is>
          <t>CK</t>
        </is>
      </c>
      <c r="D556" s="3" t="inlineStr">
        <is>
          <t>黑松露黑麦苏打饼干</t>
        </is>
      </c>
      <c r="E55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56" s="3" t="inlineStr">
        <is>
          <t>ค่าเริ่มต้น</t>
        </is>
      </c>
      <c r="G556" s="6" t="n">
        <v>1</v>
      </c>
      <c r="H556" s="6" t="n">
        <v>78.2</v>
      </c>
      <c r="I556" s="6" t="n">
        <v>21.8</v>
      </c>
      <c r="J556" s="6" t="n">
        <v>35</v>
      </c>
      <c r="K556" s="6">
        <f>H556+I556</f>
        <v/>
      </c>
      <c r="L556" s="5">
        <f>K556/4.7</f>
        <v/>
      </c>
      <c r="M556" s="6" t="n">
        <v>10.72665050209467</v>
      </c>
      <c r="N556" s="6" t="n">
        <v>1</v>
      </c>
      <c r="O556" s="6">
        <f>(K556*0.1229+1.05)/4.7</f>
        <v/>
      </c>
      <c r="P556" s="6">
        <f>K556*0.0749/4.7</f>
        <v/>
      </c>
      <c r="Q556" s="5">
        <f>M556+N556+O556+P556</f>
        <v/>
      </c>
      <c r="R556" s="5">
        <f>L556-Q556</f>
        <v/>
      </c>
      <c r="S556" s="6">
        <f>R556*4.7</f>
        <v/>
      </c>
      <c r="T556" s="7">
        <f>IF(L556&gt;0,R556/L556,0)</f>
        <v/>
      </c>
      <c r="U556" s="3" t="inlineStr">
        <is>
          <t>17/05/2026 04:46:02</t>
        </is>
      </c>
    </row>
    <row r="557">
      <c r="A557" s="3" t="inlineStr">
        <is>
          <t>584060714162227034</t>
        </is>
      </c>
      <c r="B557" s="3" t="inlineStr">
        <is>
          <t>已完成</t>
        </is>
      </c>
      <c r="C557" s="3" t="inlineStr">
        <is>
          <t>C1</t>
        </is>
      </c>
      <c r="D557" s="3" t="inlineStr">
        <is>
          <t>魔芋笋1大袋</t>
        </is>
      </c>
      <c r="E5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7" s="3" t="inlineStr">
        <is>
          <t>รสเผ็ดหอม​, 10 ซอง 200g</t>
        </is>
      </c>
      <c r="G557" s="6" t="n">
        <v>1</v>
      </c>
      <c r="H557" s="6" t="n">
        <v>69</v>
      </c>
      <c r="I557" s="6" t="n">
        <v>0</v>
      </c>
      <c r="J557" s="6" t="n">
        <v>14</v>
      </c>
      <c r="K557" s="6">
        <f>H557+I557</f>
        <v/>
      </c>
      <c r="L557" s="5">
        <f>K557/4.7</f>
        <v/>
      </c>
      <c r="M557" s="6" t="n">
        <v>6.699999999999999</v>
      </c>
      <c r="N557" s="6" t="n">
        <v>1</v>
      </c>
      <c r="O557" s="6">
        <f>(K557*0.1229+1.05)/4.7</f>
        <v/>
      </c>
      <c r="P557" s="6">
        <f>K557*0.0749/4.7</f>
        <v/>
      </c>
      <c r="Q557" s="5">
        <f>M557+N557+O557+P557</f>
        <v/>
      </c>
      <c r="R557" s="5">
        <f>L557-Q557</f>
        <v/>
      </c>
      <c r="S557" s="6">
        <f>R557*4.7</f>
        <v/>
      </c>
      <c r="T557" s="7">
        <f>IF(L557&gt;0,R557/L557,0)</f>
        <v/>
      </c>
      <c r="U557" s="3" t="inlineStr">
        <is>
          <t>17/05/2026 03:34:14</t>
        </is>
      </c>
    </row>
    <row r="558">
      <c r="A558" s="3" t="inlineStr">
        <is>
          <t>584060387505046833</t>
        </is>
      </c>
      <c r="B558" s="3" t="inlineStr">
        <is>
          <t>已完成</t>
        </is>
      </c>
      <c r="C558" s="3" t="inlineStr">
        <is>
          <t>B3</t>
        </is>
      </c>
      <c r="D558" s="3" t="inlineStr">
        <is>
          <t>魔芋笋3大袋</t>
        </is>
      </c>
      <c r="E5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8" s="3" t="inlineStr">
        <is>
          <t>รสเปรี้ยวเผ็ด​, 30 ซอง 600g</t>
        </is>
      </c>
      <c r="G558" s="6" t="n">
        <v>2</v>
      </c>
      <c r="H558" s="6" t="n">
        <v>516</v>
      </c>
      <c r="I558" s="6" t="n">
        <v>0</v>
      </c>
      <c r="J558" s="6" t="n">
        <v>33</v>
      </c>
      <c r="K558" s="6">
        <f>H558+I558</f>
        <v/>
      </c>
      <c r="L558" s="5">
        <f>K558/4.7</f>
        <v/>
      </c>
      <c r="M558" s="6" t="n">
        <v>40.2</v>
      </c>
      <c r="N558" s="6" t="n">
        <v>1</v>
      </c>
      <c r="O558" s="6">
        <f>(K558*0.1229+1.05)/4.7</f>
        <v/>
      </c>
      <c r="P558" s="6">
        <f>K558*0.0749/4.7</f>
        <v/>
      </c>
      <c r="Q558" s="5">
        <f>M558+N558+O558+P558</f>
        <v/>
      </c>
      <c r="R558" s="5">
        <f>L558-Q558</f>
        <v/>
      </c>
      <c r="S558" s="6">
        <f>R558*4.7</f>
        <v/>
      </c>
      <c r="T558" s="7">
        <f>IF(L558&gt;0,R558/L558,0)</f>
        <v/>
      </c>
      <c r="U558" s="3" t="inlineStr">
        <is>
          <t>17/05/2026 01:53:49</t>
        </is>
      </c>
    </row>
    <row r="559">
      <c r="A559" s="3" t="inlineStr">
        <is>
          <t>584060387505046833</t>
        </is>
      </c>
      <c r="B559" s="3" t="inlineStr">
        <is>
          <t>已完成</t>
        </is>
      </c>
      <c r="C559" s="3" t="inlineStr">
        <is>
          <t>C3</t>
        </is>
      </c>
      <c r="D559" s="3" t="inlineStr">
        <is>
          <t>魔芋笋3大袋</t>
        </is>
      </c>
      <c r="E5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9" s="3" t="inlineStr">
        <is>
          <t>รสเผ็ดหอม​, 30 ซอง 600g</t>
        </is>
      </c>
      <c r="G559" s="6" t="n">
        <v>1</v>
      </c>
      <c r="H559" s="6" t="n">
        <v>516</v>
      </c>
      <c r="I559" s="6" t="n">
        <v>0</v>
      </c>
      <c r="J559" s="6" t="n">
        <v>33</v>
      </c>
      <c r="K559" s="6">
        <f>H559+I559</f>
        <v/>
      </c>
      <c r="L559" s="5">
        <f>K559/4.7</f>
        <v/>
      </c>
      <c r="M559" s="6" t="n">
        <v>20.1</v>
      </c>
      <c r="N559" s="6" t="n">
        <v>1</v>
      </c>
      <c r="O559" s="6">
        <f>(K559*0.1229+1.05)/4.7</f>
        <v/>
      </c>
      <c r="P559" s="6">
        <f>K559*0.0749/4.7</f>
        <v/>
      </c>
      <c r="Q559" s="5">
        <f>M559+N559+O559+P559</f>
        <v/>
      </c>
      <c r="R559" s="5">
        <f>L559-Q559</f>
        <v/>
      </c>
      <c r="S559" s="6">
        <f>R559*4.7</f>
        <v/>
      </c>
      <c r="T559" s="7">
        <f>IF(L559&gt;0,R559/L559,0)</f>
        <v/>
      </c>
      <c r="U559" s="3" t="inlineStr">
        <is>
          <t>17/05/2026 01:53:49</t>
        </is>
      </c>
    </row>
    <row r="560">
      <c r="A560" s="3" t="inlineStr">
        <is>
          <t>584060090184664991</t>
        </is>
      </c>
      <c r="B560" s="3" t="inlineStr">
        <is>
          <t>已完成</t>
        </is>
      </c>
      <c r="C560" s="3" t="inlineStr">
        <is>
          <t>B1</t>
        </is>
      </c>
      <c r="D560" s="3" t="inlineStr">
        <is>
          <t>魔芋笋1大袋</t>
        </is>
      </c>
      <c r="E5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0" s="3" t="inlineStr">
        <is>
          <t>รสเปรี้ยวเผ็ด​, 10 ซอง 200g</t>
        </is>
      </c>
      <c r="G560" s="6" t="n">
        <v>1</v>
      </c>
      <c r="H560" s="6" t="n">
        <v>133</v>
      </c>
      <c r="I560" s="6" t="n">
        <v>0</v>
      </c>
      <c r="J560" s="6" t="n">
        <v>48</v>
      </c>
      <c r="K560" s="6">
        <f>H560+I560</f>
        <v/>
      </c>
      <c r="L560" s="5">
        <f>K560/4.7</f>
        <v/>
      </c>
      <c r="M560" s="6" t="n">
        <v>6.699999999999999</v>
      </c>
      <c r="N560" s="6" t="n">
        <v>1</v>
      </c>
      <c r="O560" s="6">
        <f>(K560*0.1229+1.05)/4.7</f>
        <v/>
      </c>
      <c r="P560" s="6">
        <f>K560*0.0749/4.7</f>
        <v/>
      </c>
      <c r="Q560" s="5">
        <f>M560+N560+O560+P560</f>
        <v/>
      </c>
      <c r="R560" s="5">
        <f>L560-Q560</f>
        <v/>
      </c>
      <c r="S560" s="6">
        <f>R560*4.7</f>
        <v/>
      </c>
      <c r="T560" s="7">
        <f>IF(L560&gt;0,R560/L560,0)</f>
        <v/>
      </c>
      <c r="U560" s="3" t="inlineStr">
        <is>
          <t>17/05/2026 00:59:34</t>
        </is>
      </c>
    </row>
    <row r="561">
      <c r="A561" s="3" t="inlineStr">
        <is>
          <t>584060090184664991</t>
        </is>
      </c>
      <c r="B561" s="3" t="inlineStr">
        <is>
          <t>已完成</t>
        </is>
      </c>
      <c r="C561" s="3" t="inlineStr">
        <is>
          <t>C1</t>
        </is>
      </c>
      <c r="D561" s="3" t="inlineStr">
        <is>
          <t>魔芋笋1大袋</t>
        </is>
      </c>
      <c r="E5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1" s="3" t="inlineStr">
        <is>
          <t>รสเผ็ดหอม​, 10 ซอง 200g</t>
        </is>
      </c>
      <c r="G561" s="6" t="n">
        <v>1</v>
      </c>
      <c r="H561" s="6" t="n">
        <v>133</v>
      </c>
      <c r="I561" s="6" t="n">
        <v>0</v>
      </c>
      <c r="J561" s="6" t="n">
        <v>48</v>
      </c>
      <c r="K561" s="6">
        <f>H561+I561</f>
        <v/>
      </c>
      <c r="L561" s="5">
        <f>K561/4.7</f>
        <v/>
      </c>
      <c r="M561" s="6" t="n">
        <v>6.699999999999999</v>
      </c>
      <c r="N561" s="6" t="n">
        <v>1</v>
      </c>
      <c r="O561" s="6">
        <f>(K561*0.1229+1.05)/4.7</f>
        <v/>
      </c>
      <c r="P561" s="6">
        <f>K561*0.0749/4.7</f>
        <v/>
      </c>
      <c r="Q561" s="5">
        <f>M561+N561+O561+P561</f>
        <v/>
      </c>
      <c r="R561" s="5">
        <f>L561-Q561</f>
        <v/>
      </c>
      <c r="S561" s="6">
        <f>R561*4.7</f>
        <v/>
      </c>
      <c r="T561" s="7">
        <f>IF(L561&gt;0,R561/L561,0)</f>
        <v/>
      </c>
      <c r="U561" s="3" t="inlineStr">
        <is>
          <t>17/05/2026 00:59:34</t>
        </is>
      </c>
    </row>
    <row r="562">
      <c r="A562" s="3" t="inlineStr">
        <is>
          <t>584055723115054270</t>
        </is>
      </c>
      <c r="B562" s="3" t="inlineStr">
        <is>
          <t>已完成</t>
        </is>
      </c>
      <c r="C562" s="3" t="inlineStr">
        <is>
          <t>B5s</t>
        </is>
      </c>
      <c r="D562" s="3" t="inlineStr">
        <is>
          <t>酸辣味5小袋</t>
        </is>
      </c>
      <c r="E5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2" s="3" t="inlineStr">
        <is>
          <t>รสเปรี้ยวเผ็ด​, 5 ซอง 100g</t>
        </is>
      </c>
      <c r="G562" s="6" t="n">
        <v>1</v>
      </c>
      <c r="H562" s="6" t="n">
        <v>47</v>
      </c>
      <c r="I562" s="6" t="n">
        <v>0</v>
      </c>
      <c r="J562" s="6" t="n">
        <v>38</v>
      </c>
      <c r="K562" s="6">
        <f>H562+I562</f>
        <v/>
      </c>
      <c r="L562" s="5">
        <f>K562/4.7</f>
        <v/>
      </c>
      <c r="M562" s="6" t="n">
        <v>3.35</v>
      </c>
      <c r="N562" s="6" t="n">
        <v>1</v>
      </c>
      <c r="O562" s="6">
        <f>(K562*0.1229+1.05)/4.7</f>
        <v/>
      </c>
      <c r="P562" s="6">
        <f>K562*0.0749/4.7</f>
        <v/>
      </c>
      <c r="Q562" s="5">
        <f>M562+N562+O562+P562</f>
        <v/>
      </c>
      <c r="R562" s="5">
        <f>L562-Q562</f>
        <v/>
      </c>
      <c r="S562" s="6">
        <f>R562*4.7</f>
        <v/>
      </c>
      <c r="T562" s="7">
        <f>IF(L562&gt;0,R562/L562,0)</f>
        <v/>
      </c>
      <c r="U562" s="3" t="inlineStr">
        <is>
          <t>16/05/2026 19:09:17</t>
        </is>
      </c>
    </row>
    <row r="563">
      <c r="A563" s="3" t="inlineStr">
        <is>
          <t>584055763066586302</t>
        </is>
      </c>
      <c r="B563" s="3" t="inlineStr">
        <is>
          <t>已完成</t>
        </is>
      </c>
      <c r="C563" s="3" t="inlineStr">
        <is>
          <t>C5s</t>
        </is>
      </c>
      <c r="D563" s="3" t="inlineStr">
        <is>
          <t>香辣味魔芋笋5小袋</t>
        </is>
      </c>
      <c r="E5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3" s="3" t="inlineStr">
        <is>
          <t>รสเผ็ดหอม​, 5 ซอง 100g</t>
        </is>
      </c>
      <c r="G563" s="6" t="n">
        <v>1</v>
      </c>
      <c r="H563" s="6" t="n">
        <v>47</v>
      </c>
      <c r="I563" s="6" t="n">
        <v>0</v>
      </c>
      <c r="J563" s="6" t="n">
        <v>38</v>
      </c>
      <c r="K563" s="6">
        <f>H563+I563</f>
        <v/>
      </c>
      <c r="L563" s="5">
        <f>K563/4.7</f>
        <v/>
      </c>
      <c r="M563" s="6" t="n">
        <v>3.35</v>
      </c>
      <c r="N563" s="6" t="n">
        <v>1</v>
      </c>
      <c r="O563" s="6">
        <f>(K563*0.1229+1.05)/4.7</f>
        <v/>
      </c>
      <c r="P563" s="6">
        <f>K563*0.0749/4.7</f>
        <v/>
      </c>
      <c r="Q563" s="5">
        <f>M563+N563+O563+P563</f>
        <v/>
      </c>
      <c r="R563" s="5">
        <f>L563-Q563</f>
        <v/>
      </c>
      <c r="S563" s="6">
        <f>R563*4.7</f>
        <v/>
      </c>
      <c r="T563" s="7">
        <f>IF(L563&gt;0,R563/L563,0)</f>
        <v/>
      </c>
      <c r="U563" s="3" t="inlineStr">
        <is>
          <t>16/05/2026 19:08:57</t>
        </is>
      </c>
    </row>
    <row r="564">
      <c r="A564" s="3" t="inlineStr">
        <is>
          <t>584055452870084062</t>
        </is>
      </c>
      <c r="B564" s="3" t="inlineStr">
        <is>
          <t>已完成</t>
        </is>
      </c>
      <c r="C564" s="3" t="inlineStr">
        <is>
          <t>CK</t>
        </is>
      </c>
      <c r="D564" s="3" t="inlineStr">
        <is>
          <t>黑松露黑麦苏打饼干</t>
        </is>
      </c>
      <c r="E56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64" s="3" t="inlineStr">
        <is>
          <t>ค่าเริ่มต้น</t>
        </is>
      </c>
      <c r="G564" s="6" t="n">
        <v>1</v>
      </c>
      <c r="H564" s="6" t="n">
        <v>80</v>
      </c>
      <c r="I564" s="6" t="n">
        <v>20</v>
      </c>
      <c r="J564" s="6" t="n">
        <v>35</v>
      </c>
      <c r="K564" s="6">
        <f>H564+I564</f>
        <v/>
      </c>
      <c r="L564" s="5">
        <f>K564/4.7</f>
        <v/>
      </c>
      <c r="M564" s="6" t="n">
        <v>10.72665050209467</v>
      </c>
      <c r="N564" s="6" t="n">
        <v>1</v>
      </c>
      <c r="O564" s="6">
        <f>(K564*0.1229+1.05)/4.7</f>
        <v/>
      </c>
      <c r="P564" s="6">
        <f>K564*0.0749/4.7</f>
        <v/>
      </c>
      <c r="Q564" s="5">
        <f>M564+N564+O564+P564</f>
        <v/>
      </c>
      <c r="R564" s="5">
        <f>L564-Q564</f>
        <v/>
      </c>
      <c r="S564" s="6">
        <f>R564*4.7</f>
        <v/>
      </c>
      <c r="T564" s="7">
        <f>IF(L564&gt;0,R564/L564,0)</f>
        <v/>
      </c>
      <c r="U564" s="3" t="inlineStr">
        <is>
          <t>16/05/2026 18:51:50</t>
        </is>
      </c>
    </row>
    <row r="565">
      <c r="A565" s="3" t="inlineStr">
        <is>
          <t>584055175063832527</t>
        </is>
      </c>
      <c r="B565" s="3" t="inlineStr">
        <is>
          <t>已取消</t>
        </is>
      </c>
      <c r="C565" s="3" t="inlineStr">
        <is>
          <t>C1</t>
        </is>
      </c>
      <c r="D565" s="3" t="inlineStr">
        <is>
          <t>魔芋笋1大袋</t>
        </is>
      </c>
      <c r="E5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5" s="3" t="inlineStr">
        <is>
          <t>รสเผ็ดหอม​, 10 ซอง 200g</t>
        </is>
      </c>
      <c r="G565" s="6" t="n">
        <v>1</v>
      </c>
      <c r="H565" s="6" t="n">
        <v>69</v>
      </c>
      <c r="I565" s="6" t="n">
        <v>0</v>
      </c>
      <c r="J565" s="6" t="n">
        <v>3</v>
      </c>
      <c r="K565" s="6">
        <f>H565+I565</f>
        <v/>
      </c>
      <c r="L565" s="5">
        <f>K565/4.7</f>
        <v/>
      </c>
      <c r="M565" s="6" t="n">
        <v>6.699999999999999</v>
      </c>
      <c r="N565" s="6" t="n">
        <v>1</v>
      </c>
      <c r="O565" s="6">
        <f>(K565*0.1229+1.05)/4.7</f>
        <v/>
      </c>
      <c r="P565" s="6">
        <f>K565*0.0749/4.7</f>
        <v/>
      </c>
      <c r="Q565" s="5">
        <f>M565+N565+O565+P565</f>
        <v/>
      </c>
      <c r="R565" s="5">
        <f>L565-Q565</f>
        <v/>
      </c>
      <c r="S565" s="6">
        <f>R565*4.7</f>
        <v/>
      </c>
      <c r="T565" s="7">
        <f>IF(L565&gt;0,R565/L565,0)</f>
        <v/>
      </c>
      <c r="U565" s="3" t="inlineStr">
        <is>
          <t>16/05/2026 18:31:21</t>
        </is>
      </c>
    </row>
    <row r="566">
      <c r="A566" s="3" t="inlineStr">
        <is>
          <t>584054109260055948</t>
        </is>
      </c>
      <c r="B566" s="3" t="inlineStr">
        <is>
          <t>已完成</t>
        </is>
      </c>
      <c r="C566" s="3" t="inlineStr">
        <is>
          <t>CK</t>
        </is>
      </c>
      <c r="D566" s="3" t="inlineStr">
        <is>
          <t>黑松露黑麦苏打饼干</t>
        </is>
      </c>
      <c r="E56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66" s="3" t="inlineStr">
        <is>
          <t>ค่าเริ่มต้น</t>
        </is>
      </c>
      <c r="G566" s="6" t="n">
        <v>1</v>
      </c>
      <c r="H566" s="6" t="n">
        <v>85</v>
      </c>
      <c r="I566" s="6" t="n">
        <v>15</v>
      </c>
      <c r="J566" s="6" t="n">
        <v>35</v>
      </c>
      <c r="K566" s="6">
        <f>H566+I566</f>
        <v/>
      </c>
      <c r="L566" s="5">
        <f>K566/4.7</f>
        <v/>
      </c>
      <c r="M566" s="6" t="n">
        <v>10.72665050209467</v>
      </c>
      <c r="N566" s="6" t="n">
        <v>1</v>
      </c>
      <c r="O566" s="6">
        <f>(K566*0.1229+1.05)/4.7</f>
        <v/>
      </c>
      <c r="P566" s="6">
        <f>K566*0.0749/4.7</f>
        <v/>
      </c>
      <c r="Q566" s="5">
        <f>M566+N566+O566+P566</f>
        <v/>
      </c>
      <c r="R566" s="5">
        <f>L566-Q566</f>
        <v/>
      </c>
      <c r="S566" s="6">
        <f>R566*4.7</f>
        <v/>
      </c>
      <c r="T566" s="7">
        <f>IF(L566&gt;0,R566/L566,0)</f>
        <v/>
      </c>
      <c r="U566" s="3" t="inlineStr">
        <is>
          <t>16/05/2026 17:08:57</t>
        </is>
      </c>
    </row>
    <row r="567">
      <c r="A567" s="3" t="inlineStr">
        <is>
          <t>584054059419534964</t>
        </is>
      </c>
      <c r="B567" s="3" t="inlineStr">
        <is>
          <t>已完成</t>
        </is>
      </c>
      <c r="C567" s="3" t="inlineStr">
        <is>
          <t>CK</t>
        </is>
      </c>
      <c r="D567" s="3" t="inlineStr">
        <is>
          <t>黑松露黑麦苏打饼干</t>
        </is>
      </c>
      <c r="E56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67" s="3" t="inlineStr">
        <is>
          <t>ค่าเริ่มต้น</t>
        </is>
      </c>
      <c r="G567" s="6" t="n">
        <v>1</v>
      </c>
      <c r="H567" s="6" t="n">
        <v>65</v>
      </c>
      <c r="I567" s="6" t="n">
        <v>40</v>
      </c>
      <c r="J567" s="6" t="n">
        <v>38</v>
      </c>
      <c r="K567" s="6">
        <f>H567+I567</f>
        <v/>
      </c>
      <c r="L567" s="5">
        <f>K567/4.7</f>
        <v/>
      </c>
      <c r="M567" s="6" t="n">
        <v>10.72665050209467</v>
      </c>
      <c r="N567" s="6" t="n">
        <v>1</v>
      </c>
      <c r="O567" s="6">
        <f>(K567*0.1229+1.05)/4.7</f>
        <v/>
      </c>
      <c r="P567" s="6">
        <f>K567*0.0749/4.7</f>
        <v/>
      </c>
      <c r="Q567" s="5">
        <f>M567+N567+O567+P567</f>
        <v/>
      </c>
      <c r="R567" s="5">
        <f>L567-Q567</f>
        <v/>
      </c>
      <c r="S567" s="6">
        <f>R567*4.7</f>
        <v/>
      </c>
      <c r="T567" s="7">
        <f>IF(L567&gt;0,R567/L567,0)</f>
        <v/>
      </c>
      <c r="U567" s="3" t="inlineStr">
        <is>
          <t>16/05/2026 17:04:07</t>
        </is>
      </c>
    </row>
    <row r="568">
      <c r="A568" s="3" t="inlineStr">
        <is>
          <t>584054054542608289</t>
        </is>
      </c>
      <c r="B568" s="3" t="inlineStr">
        <is>
          <t>已完成</t>
        </is>
      </c>
      <c r="C568" s="3" t="inlineStr">
        <is>
          <t>C2</t>
        </is>
      </c>
      <c r="D568" s="3" t="inlineStr">
        <is>
          <t>魔芋笋2大袋</t>
        </is>
      </c>
      <c r="E5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8" s="3" t="inlineStr">
        <is>
          <t>รสเผ็ดหอม​, 20 ซอง 400g</t>
        </is>
      </c>
      <c r="G568" s="6" t="n">
        <v>1</v>
      </c>
      <c r="H568" s="6" t="n">
        <v>149</v>
      </c>
      <c r="I568" s="6" t="n">
        <v>0</v>
      </c>
      <c r="J568" s="6" t="n">
        <v>0</v>
      </c>
      <c r="K568" s="6">
        <f>H568+I568</f>
        <v/>
      </c>
      <c r="L568" s="5">
        <f>K568/4.7</f>
        <v/>
      </c>
      <c r="M568" s="6" t="n">
        <v>13.4</v>
      </c>
      <c r="N568" s="6" t="n">
        <v>1</v>
      </c>
      <c r="O568" s="6">
        <f>(K568*0.1229+1.05)/4.7</f>
        <v/>
      </c>
      <c r="P568" s="6">
        <f>K568*0.0749/4.7</f>
        <v/>
      </c>
      <c r="Q568" s="5">
        <f>M568+N568+O568+P568</f>
        <v/>
      </c>
      <c r="R568" s="5">
        <f>L568-Q568</f>
        <v/>
      </c>
      <c r="S568" s="6">
        <f>R568*4.7</f>
        <v/>
      </c>
      <c r="T568" s="7">
        <f>IF(L568&gt;0,R568/L568,0)</f>
        <v/>
      </c>
      <c r="U568" s="3" t="inlineStr">
        <is>
          <t>16/05/2026 17:00:44</t>
        </is>
      </c>
    </row>
    <row r="569">
      <c r="A569" s="3" t="inlineStr">
        <is>
          <t>584054001690904016</t>
        </is>
      </c>
      <c r="B569" s="3" t="inlineStr">
        <is>
          <t>已完成</t>
        </is>
      </c>
      <c r="C569" s="3" t="inlineStr">
        <is>
          <t>B2</t>
        </is>
      </c>
      <c r="D569" s="3" t="inlineStr">
        <is>
          <t>魔芋笋2大袋</t>
        </is>
      </c>
      <c r="E569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569" s="3" t="inlineStr">
        <is>
          <t>รสเปรี้ยวเผ็ด​, 2pcs</t>
        </is>
      </c>
      <c r="G569" s="6" t="n">
        <v>1</v>
      </c>
      <c r="H569" s="6" t="n">
        <v>166</v>
      </c>
      <c r="I569" s="6" t="n">
        <v>0</v>
      </c>
      <c r="J569" s="6" t="n">
        <v>0</v>
      </c>
      <c r="K569" s="6">
        <f>H569+I569</f>
        <v/>
      </c>
      <c r="L569" s="5">
        <f>K569/4.7</f>
        <v/>
      </c>
      <c r="M569" s="6" t="n">
        <v>13.4</v>
      </c>
      <c r="N569" s="6" t="n">
        <v>1</v>
      </c>
      <c r="O569" s="6">
        <f>(K569*0.1229+1.05)/4.7</f>
        <v/>
      </c>
      <c r="P569" s="6">
        <f>K569*0.0749/4.7</f>
        <v/>
      </c>
      <c r="Q569" s="5">
        <f>M569+N569+O569+P569</f>
        <v/>
      </c>
      <c r="R569" s="5">
        <f>L569-Q569</f>
        <v/>
      </c>
      <c r="S569" s="6">
        <f>R569*4.7</f>
        <v/>
      </c>
      <c r="T569" s="7">
        <f>IF(L569&gt;0,R569/L569,0)</f>
        <v/>
      </c>
      <c r="U569" s="3" t="inlineStr">
        <is>
          <t>16/05/2026 16:58:51</t>
        </is>
      </c>
    </row>
    <row r="570">
      <c r="A570" s="3" t="inlineStr">
        <is>
          <t>584053918958060818</t>
        </is>
      </c>
      <c r="B570" s="3" t="inlineStr">
        <is>
          <t>已完成</t>
        </is>
      </c>
      <c r="C570" s="3" t="inlineStr">
        <is>
          <t>C1</t>
        </is>
      </c>
      <c r="D570" s="3" t="inlineStr">
        <is>
          <t>魔芋笋1大袋</t>
        </is>
      </c>
      <c r="E5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0" s="3" t="inlineStr">
        <is>
          <t>รสเผ็ดหอม​, 10 ซอง 200g</t>
        </is>
      </c>
      <c r="G570" s="6" t="n">
        <v>1</v>
      </c>
      <c r="H570" s="6" t="n">
        <v>60.72</v>
      </c>
      <c r="I570" s="6" t="n">
        <v>8.279999999999999</v>
      </c>
      <c r="J570" s="6" t="n">
        <v>35</v>
      </c>
      <c r="K570" s="6">
        <f>H570+I570</f>
        <v/>
      </c>
      <c r="L570" s="5">
        <f>K570/4.7</f>
        <v/>
      </c>
      <c r="M570" s="6" t="n">
        <v>6.699999999999999</v>
      </c>
      <c r="N570" s="6" t="n">
        <v>1</v>
      </c>
      <c r="O570" s="6">
        <f>(K570*0.1229+1.05)/4.7</f>
        <v/>
      </c>
      <c r="P570" s="6">
        <f>K570*0.0749/4.7</f>
        <v/>
      </c>
      <c r="Q570" s="5">
        <f>M570+N570+O570+P570</f>
        <v/>
      </c>
      <c r="R570" s="5">
        <f>L570-Q570</f>
        <v/>
      </c>
      <c r="S570" s="6">
        <f>R570*4.7</f>
        <v/>
      </c>
      <c r="T570" s="7">
        <f>IF(L570&gt;0,R570/L570,0)</f>
        <v/>
      </c>
      <c r="U570" s="3" t="inlineStr">
        <is>
          <t>16/05/2026 16:52:30</t>
        </is>
      </c>
    </row>
    <row r="571">
      <c r="A571" s="3" t="inlineStr">
        <is>
          <t>584053611757340079</t>
        </is>
      </c>
      <c r="B571" s="3" t="inlineStr">
        <is>
          <t>已完成</t>
        </is>
      </c>
      <c r="C571" s="3" t="inlineStr">
        <is>
          <t>C3</t>
        </is>
      </c>
      <c r="D571" s="3" t="inlineStr">
        <is>
          <t>魔芋笋3大袋</t>
        </is>
      </c>
      <c r="E5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1" s="3" t="inlineStr">
        <is>
          <t>รสเผ็ดหอม​, 30 ซอง 600g</t>
        </is>
      </c>
      <c r="G571" s="6" t="n">
        <v>1</v>
      </c>
      <c r="H571" s="6" t="n">
        <v>172</v>
      </c>
      <c r="I571" s="6" t="n">
        <v>0</v>
      </c>
      <c r="J571" s="6" t="n">
        <v>20</v>
      </c>
      <c r="K571" s="6">
        <f>H571+I571</f>
        <v/>
      </c>
      <c r="L571" s="5">
        <f>K571/4.7</f>
        <v/>
      </c>
      <c r="M571" s="6" t="n">
        <v>20.1</v>
      </c>
      <c r="N571" s="6" t="n">
        <v>1</v>
      </c>
      <c r="O571" s="6">
        <f>(K571*0.1229+1.05)/4.7</f>
        <v/>
      </c>
      <c r="P571" s="6">
        <f>K571*0.0749/4.7</f>
        <v/>
      </c>
      <c r="Q571" s="5">
        <f>M571+N571+O571+P571</f>
        <v/>
      </c>
      <c r="R571" s="5">
        <f>L571-Q571</f>
        <v/>
      </c>
      <c r="S571" s="6">
        <f>R571*4.7</f>
        <v/>
      </c>
      <c r="T571" s="7">
        <f>IF(L571&gt;0,R571/L571,0)</f>
        <v/>
      </c>
      <c r="U571" s="3" t="inlineStr">
        <is>
          <t>16/05/2026 16:24:39</t>
        </is>
      </c>
    </row>
    <row r="572">
      <c r="A572" s="3" t="inlineStr">
        <is>
          <t>584053549793248687</t>
        </is>
      </c>
      <c r="B572" s="3" t="inlineStr">
        <is>
          <t>已取消</t>
        </is>
      </c>
      <c r="C572" s="3" t="inlineStr">
        <is>
          <t>C3</t>
        </is>
      </c>
      <c r="D572" s="3" t="inlineStr">
        <is>
          <t>魔芋笋3大袋</t>
        </is>
      </c>
      <c r="E5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2" s="3" t="inlineStr">
        <is>
          <t>รสเผ็ดหอม​, 30 ซอง 600g</t>
        </is>
      </c>
      <c r="G572" s="6" t="n">
        <v>1</v>
      </c>
      <c r="H572" s="6" t="n">
        <v>167</v>
      </c>
      <c r="I572" s="6" t="n">
        <v>0</v>
      </c>
      <c r="J572" s="6" t="n">
        <v>20</v>
      </c>
      <c r="K572" s="6">
        <f>H572+I572</f>
        <v/>
      </c>
      <c r="L572" s="5">
        <f>K572/4.7</f>
        <v/>
      </c>
      <c r="M572" s="6" t="n">
        <v>20.1</v>
      </c>
      <c r="N572" s="6" t="n">
        <v>1</v>
      </c>
      <c r="O572" s="6">
        <f>(K572*0.1229+1.05)/4.7</f>
        <v/>
      </c>
      <c r="P572" s="6">
        <f>K572*0.0749/4.7</f>
        <v/>
      </c>
      <c r="Q572" s="5">
        <f>M572+N572+O572+P572</f>
        <v/>
      </c>
      <c r="R572" s="5">
        <f>L572-Q572</f>
        <v/>
      </c>
      <c r="S572" s="6">
        <f>R572*4.7</f>
        <v/>
      </c>
      <c r="T572" s="7">
        <f>IF(L572&gt;0,R572/L572,0)</f>
        <v/>
      </c>
      <c r="U572" s="3" t="inlineStr">
        <is>
          <t>16/05/2026 16:23:44</t>
        </is>
      </c>
    </row>
    <row r="573">
      <c r="A573" s="3" t="inlineStr">
        <is>
          <t>584053263896839796</t>
        </is>
      </c>
      <c r="B573" s="3" t="inlineStr">
        <is>
          <t>已完成</t>
        </is>
      </c>
      <c r="C573" s="3" t="inlineStr">
        <is>
          <t>CK</t>
        </is>
      </c>
      <c r="D573" s="3" t="inlineStr">
        <is>
          <t>黑松露黑麦苏打饼干</t>
        </is>
      </c>
      <c r="E57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73" s="3" t="inlineStr">
        <is>
          <t>ค่าเริ่มต้น</t>
        </is>
      </c>
      <c r="G573" s="6" t="n">
        <v>2</v>
      </c>
      <c r="H573" s="6" t="n">
        <v>180</v>
      </c>
      <c r="I573" s="6" t="n">
        <v>30</v>
      </c>
      <c r="J573" s="6" t="n">
        <v>38</v>
      </c>
      <c r="K573" s="6">
        <f>H573+I573</f>
        <v/>
      </c>
      <c r="L573" s="5">
        <f>K573/4.7</f>
        <v/>
      </c>
      <c r="M573" s="6" t="n">
        <v>21.45330100418933</v>
      </c>
      <c r="N573" s="6" t="n">
        <v>1</v>
      </c>
      <c r="O573" s="6">
        <f>(K573*0.1229+1.05)/4.7</f>
        <v/>
      </c>
      <c r="P573" s="6">
        <f>K573*0.0749/4.7</f>
        <v/>
      </c>
      <c r="Q573" s="5">
        <f>M573+N573+O573+P573</f>
        <v/>
      </c>
      <c r="R573" s="5">
        <f>L573-Q573</f>
        <v/>
      </c>
      <c r="S573" s="6">
        <f>R573*4.7</f>
        <v/>
      </c>
      <c r="T573" s="7">
        <f>IF(L573&gt;0,R573/L573,0)</f>
        <v/>
      </c>
      <c r="U573" s="3" t="inlineStr">
        <is>
          <t>16/05/2026 15:56:38</t>
        </is>
      </c>
    </row>
    <row r="574">
      <c r="A574" s="3" t="inlineStr">
        <is>
          <t>584053107448775852</t>
        </is>
      </c>
      <c r="B574" s="3" t="inlineStr">
        <is>
          <t>已完成</t>
        </is>
      </c>
      <c r="C574" s="3" t="inlineStr">
        <is>
          <t>C3</t>
        </is>
      </c>
      <c r="D574" s="3" t="inlineStr">
        <is>
          <t>魔芋笋3大袋</t>
        </is>
      </c>
      <c r="E5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4" s="3" t="inlineStr">
        <is>
          <t>รสเผ็ดหอม​, 30 ซอง 600g</t>
        </is>
      </c>
      <c r="G574" s="6" t="n">
        <v>1</v>
      </c>
      <c r="H574" s="6" t="n">
        <v>181.9</v>
      </c>
      <c r="I574" s="6" t="n">
        <v>25.21</v>
      </c>
      <c r="J574" s="6" t="n">
        <v>48</v>
      </c>
      <c r="K574" s="6">
        <f>H574+I574</f>
        <v/>
      </c>
      <c r="L574" s="5">
        <f>K574/4.7</f>
        <v/>
      </c>
      <c r="M574" s="6" t="n">
        <v>20.1</v>
      </c>
      <c r="N574" s="6" t="n">
        <v>1</v>
      </c>
      <c r="O574" s="6">
        <f>(K574*0.1229+1.05)/4.7</f>
        <v/>
      </c>
      <c r="P574" s="6">
        <f>K574*0.0749/4.7</f>
        <v/>
      </c>
      <c r="Q574" s="5">
        <f>M574+N574+O574+P574</f>
        <v/>
      </c>
      <c r="R574" s="5">
        <f>L574-Q574</f>
        <v/>
      </c>
      <c r="S574" s="6">
        <f>R574*4.7</f>
        <v/>
      </c>
      <c r="T574" s="7">
        <f>IF(L574&gt;0,R574/L574,0)</f>
        <v/>
      </c>
      <c r="U574" s="3" t="inlineStr">
        <is>
          <t>16/05/2026 15:47:12</t>
        </is>
      </c>
    </row>
    <row r="575">
      <c r="A575" s="3" t="inlineStr">
        <is>
          <t>584053107448775852</t>
        </is>
      </c>
      <c r="B575" s="3" t="inlineStr">
        <is>
          <t>已完成</t>
        </is>
      </c>
      <c r="C575" s="3" t="inlineStr">
        <is>
          <t>B5s</t>
        </is>
      </c>
      <c r="D575" s="3" t="inlineStr">
        <is>
          <t>酸辣味5小袋</t>
        </is>
      </c>
      <c r="E5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5" s="3" t="inlineStr">
        <is>
          <t>รสเปรี้ยวเผ็ด​, 5 ซอง 100g</t>
        </is>
      </c>
      <c r="G575" s="6" t="n">
        <v>1</v>
      </c>
      <c r="H575" s="6" t="n">
        <v>181.9</v>
      </c>
      <c r="I575" s="6" t="n">
        <v>6.89</v>
      </c>
      <c r="J575" s="6" t="n">
        <v>48</v>
      </c>
      <c r="K575" s="6">
        <f>H575+I575</f>
        <v/>
      </c>
      <c r="L575" s="5">
        <f>K575/4.7</f>
        <v/>
      </c>
      <c r="M575" s="6" t="n">
        <v>3.35</v>
      </c>
      <c r="N575" s="6" t="n">
        <v>1</v>
      </c>
      <c r="O575" s="6">
        <f>(K575*0.1229+1.05)/4.7</f>
        <v/>
      </c>
      <c r="P575" s="6">
        <f>K575*0.0749/4.7</f>
        <v/>
      </c>
      <c r="Q575" s="5">
        <f>M575+N575+O575+P575</f>
        <v/>
      </c>
      <c r="R575" s="5">
        <f>L575-Q575</f>
        <v/>
      </c>
      <c r="S575" s="6">
        <f>R575*4.7</f>
        <v/>
      </c>
      <c r="T575" s="7">
        <f>IF(L575&gt;0,R575/L575,0)</f>
        <v/>
      </c>
      <c r="U575" s="3" t="inlineStr">
        <is>
          <t>16/05/2026 15:47:12</t>
        </is>
      </c>
    </row>
    <row r="576">
      <c r="A576" s="3" t="inlineStr">
        <is>
          <t>584052984858903650</t>
        </is>
      </c>
      <c r="B576" s="3" t="inlineStr">
        <is>
          <t>已取消</t>
        </is>
      </c>
      <c r="C576" s="3" t="inlineStr">
        <is>
          <t>C1</t>
        </is>
      </c>
      <c r="D576" s="3" t="inlineStr">
        <is>
          <t>魔芋笋1大袋</t>
        </is>
      </c>
      <c r="E5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6" s="3" t="inlineStr">
        <is>
          <t>รสเผ็ดหอม​, 10 ซอง 200g</t>
        </is>
      </c>
      <c r="G576" s="6" t="n">
        <v>1</v>
      </c>
      <c r="H576" s="6" t="n">
        <v>69</v>
      </c>
      <c r="I576" s="6" t="n">
        <v>0</v>
      </c>
      <c r="J576" s="6" t="n">
        <v>38</v>
      </c>
      <c r="K576" s="6">
        <f>H576+I576</f>
        <v/>
      </c>
      <c r="L576" s="5">
        <f>K576/4.7</f>
        <v/>
      </c>
      <c r="M576" s="6" t="n">
        <v>6.699999999999999</v>
      </c>
      <c r="N576" s="6" t="n">
        <v>1</v>
      </c>
      <c r="O576" s="6">
        <f>(K576*0.1229+1.05)/4.7</f>
        <v/>
      </c>
      <c r="P576" s="6">
        <f>K576*0.0749/4.7</f>
        <v/>
      </c>
      <c r="Q576" s="5">
        <f>M576+N576+O576+P576</f>
        <v/>
      </c>
      <c r="R576" s="5">
        <f>L576-Q576</f>
        <v/>
      </c>
      <c r="S576" s="6">
        <f>R576*4.7</f>
        <v/>
      </c>
      <c r="T576" s="7">
        <f>IF(L576&gt;0,R576/L576,0)</f>
        <v/>
      </c>
      <c r="U576" s="3" t="inlineStr">
        <is>
          <t>16/05/2026 15:36:51</t>
        </is>
      </c>
    </row>
    <row r="577">
      <c r="A577" s="3" t="inlineStr">
        <is>
          <t>584051527176258608</t>
        </is>
      </c>
      <c r="B577" s="3" t="inlineStr">
        <is>
          <t>已完成</t>
        </is>
      </c>
      <c r="C577" s="3" t="inlineStr">
        <is>
          <t>CK</t>
        </is>
      </c>
      <c r="D577" s="3" t="inlineStr">
        <is>
          <t>黑松露黑麦苏打饼干</t>
        </is>
      </c>
      <c r="E57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77" s="3" t="inlineStr">
        <is>
          <t>ค่าเริ่มต้น</t>
        </is>
      </c>
      <c r="G577" s="6" t="n">
        <v>2</v>
      </c>
      <c r="H577" s="6" t="n">
        <v>194.75</v>
      </c>
      <c r="I577" s="6" t="n">
        <v>10.25</v>
      </c>
      <c r="J577" s="6" t="n">
        <v>38</v>
      </c>
      <c r="K577" s="6">
        <f>H577+I577</f>
        <v/>
      </c>
      <c r="L577" s="5">
        <f>K577/4.7</f>
        <v/>
      </c>
      <c r="M577" s="6" t="n">
        <v>21.45330100418933</v>
      </c>
      <c r="N577" s="6" t="n">
        <v>1</v>
      </c>
      <c r="O577" s="6">
        <f>(K577*0.1229+1.05)/4.7</f>
        <v/>
      </c>
      <c r="P577" s="6">
        <f>K577*0.0749/4.7</f>
        <v/>
      </c>
      <c r="Q577" s="5">
        <f>M577+N577+O577+P577</f>
        <v/>
      </c>
      <c r="R577" s="5">
        <f>L577-Q577</f>
        <v/>
      </c>
      <c r="S577" s="6">
        <f>R577*4.7</f>
        <v/>
      </c>
      <c r="T577" s="7">
        <f>IF(L577&gt;0,R577/L577,0)</f>
        <v/>
      </c>
      <c r="U577" s="3" t="inlineStr">
        <is>
          <t>16/05/2026 13:47:16</t>
        </is>
      </c>
    </row>
    <row r="578">
      <c r="A578" s="3" t="inlineStr">
        <is>
          <t>584050711903766260</t>
        </is>
      </c>
      <c r="B578" s="3" t="inlineStr">
        <is>
          <t>已完成</t>
        </is>
      </c>
      <c r="C578" s="3" t="inlineStr">
        <is>
          <t>CK</t>
        </is>
      </c>
      <c r="D578" s="3" t="inlineStr">
        <is>
          <t>黑松露黑麦苏打饼干</t>
        </is>
      </c>
      <c r="E57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78" s="3" t="inlineStr">
        <is>
          <t>ค่าเริ่มต้น</t>
        </is>
      </c>
      <c r="G578" s="6" t="n">
        <v>1</v>
      </c>
      <c r="H578" s="6" t="n">
        <v>95</v>
      </c>
      <c r="I578" s="6" t="n">
        <v>5</v>
      </c>
      <c r="J578" s="6" t="n">
        <v>35</v>
      </c>
      <c r="K578" s="6">
        <f>H578+I578</f>
        <v/>
      </c>
      <c r="L578" s="5">
        <f>K578/4.7</f>
        <v/>
      </c>
      <c r="M578" s="6" t="n">
        <v>10.72665050209467</v>
      </c>
      <c r="N578" s="6" t="n">
        <v>1</v>
      </c>
      <c r="O578" s="6">
        <f>(K578*0.1229+1.05)/4.7</f>
        <v/>
      </c>
      <c r="P578" s="6">
        <f>K578*0.0749/4.7</f>
        <v/>
      </c>
      <c r="Q578" s="5">
        <f>M578+N578+O578+P578</f>
        <v/>
      </c>
      <c r="R578" s="5">
        <f>L578-Q578</f>
        <v/>
      </c>
      <c r="S578" s="6">
        <f>R578*4.7</f>
        <v/>
      </c>
      <c r="T578" s="7">
        <f>IF(L578&gt;0,R578/L578,0)</f>
        <v/>
      </c>
      <c r="U578" s="3" t="inlineStr">
        <is>
          <t>16/05/2026 12:43:36</t>
        </is>
      </c>
    </row>
    <row r="579">
      <c r="A579" s="3" t="inlineStr">
        <is>
          <t>584050440414004825</t>
        </is>
      </c>
      <c r="B579" s="3" t="inlineStr">
        <is>
          <t>已完成</t>
        </is>
      </c>
      <c r="C579" s="3" t="inlineStr">
        <is>
          <t>C3</t>
        </is>
      </c>
      <c r="D579" s="3" t="inlineStr">
        <is>
          <t>魔芋笋3大袋</t>
        </is>
      </c>
      <c r="E5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9" s="3" t="inlineStr">
        <is>
          <t>รสเผ็ดหอม​, 30 ซอง 600g</t>
        </is>
      </c>
      <c r="G579" s="6" t="n">
        <v>1</v>
      </c>
      <c r="H579" s="6" t="n">
        <v>167</v>
      </c>
      <c r="I579" s="6" t="n">
        <v>0</v>
      </c>
      <c r="J579" s="6" t="n">
        <v>38</v>
      </c>
      <c r="K579" s="6">
        <f>H579+I579</f>
        <v/>
      </c>
      <c r="L579" s="5">
        <f>K579/4.7</f>
        <v/>
      </c>
      <c r="M579" s="6" t="n">
        <v>20.1</v>
      </c>
      <c r="N579" s="6" t="n">
        <v>1</v>
      </c>
      <c r="O579" s="6">
        <f>(K579*0.1229+1.05)/4.7</f>
        <v/>
      </c>
      <c r="P579" s="6">
        <f>K579*0.0749/4.7</f>
        <v/>
      </c>
      <c r="Q579" s="5">
        <f>M579+N579+O579+P579</f>
        <v/>
      </c>
      <c r="R579" s="5">
        <f>L579-Q579</f>
        <v/>
      </c>
      <c r="S579" s="6">
        <f>R579*4.7</f>
        <v/>
      </c>
      <c r="T579" s="7">
        <f>IF(L579&gt;0,R579/L579,0)</f>
        <v/>
      </c>
      <c r="U579" s="3" t="inlineStr">
        <is>
          <t>16/05/2026 12:26:18</t>
        </is>
      </c>
    </row>
    <row r="580">
      <c r="A580" s="3" t="inlineStr">
        <is>
          <t>584049398505440415</t>
        </is>
      </c>
      <c r="B580" s="3" t="inlineStr">
        <is>
          <t>已完成</t>
        </is>
      </c>
      <c r="C580" s="3" t="inlineStr">
        <is>
          <t>CK</t>
        </is>
      </c>
      <c r="D580" s="3" t="inlineStr">
        <is>
          <t>黑松露黑麦苏打饼干</t>
        </is>
      </c>
      <c r="E58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80" s="3" t="inlineStr">
        <is>
          <t>ค่าเริ่มต้น</t>
        </is>
      </c>
      <c r="G580" s="6" t="n">
        <v>1</v>
      </c>
      <c r="H580" s="6" t="n">
        <v>85</v>
      </c>
      <c r="I580" s="6" t="n">
        <v>15</v>
      </c>
      <c r="J580" s="6" t="n">
        <v>38</v>
      </c>
      <c r="K580" s="6">
        <f>H580+I580</f>
        <v/>
      </c>
      <c r="L580" s="5">
        <f>K580/4.7</f>
        <v/>
      </c>
      <c r="M580" s="6" t="n">
        <v>10.72665050209467</v>
      </c>
      <c r="N580" s="6" t="n">
        <v>1</v>
      </c>
      <c r="O580" s="6">
        <f>(K580*0.1229+1.05)/4.7</f>
        <v/>
      </c>
      <c r="P580" s="6">
        <f>K580*0.0749/4.7</f>
        <v/>
      </c>
      <c r="Q580" s="5">
        <f>M580+N580+O580+P580</f>
        <v/>
      </c>
      <c r="R580" s="5">
        <f>L580-Q580</f>
        <v/>
      </c>
      <c r="S580" s="6">
        <f>R580*4.7</f>
        <v/>
      </c>
      <c r="T580" s="7">
        <f>IF(L580&gt;0,R580/L580,0)</f>
        <v/>
      </c>
      <c r="U580" s="3" t="inlineStr">
        <is>
          <t>16/05/2026 11:12:32</t>
        </is>
      </c>
    </row>
    <row r="581">
      <c r="A581" s="3" t="inlineStr">
        <is>
          <t>584049380888249432</t>
        </is>
      </c>
      <c r="B581" s="3" t="inlineStr">
        <is>
          <t>已完成</t>
        </is>
      </c>
      <c r="C581" s="3" t="inlineStr">
        <is>
          <t>C1</t>
        </is>
      </c>
      <c r="D581" s="3" t="inlineStr">
        <is>
          <t>魔芋笋1大袋</t>
        </is>
      </c>
      <c r="E5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1" s="3" t="inlineStr">
        <is>
          <t>รสเผ็ดหอม​, 10 ซอง 200g</t>
        </is>
      </c>
      <c r="G581" s="6" t="n">
        <v>1</v>
      </c>
      <c r="H581" s="6" t="n">
        <v>88</v>
      </c>
      <c r="I581" s="6" t="n">
        <v>0</v>
      </c>
      <c r="J581" s="6" t="n">
        <v>20</v>
      </c>
      <c r="K581" s="6">
        <f>H581+I581</f>
        <v/>
      </c>
      <c r="L581" s="5">
        <f>K581/4.7</f>
        <v/>
      </c>
      <c r="M581" s="6" t="n">
        <v>6.699999999999999</v>
      </c>
      <c r="N581" s="6" t="n">
        <v>1</v>
      </c>
      <c r="O581" s="6">
        <f>(K581*0.1229+1.05)/4.7</f>
        <v/>
      </c>
      <c r="P581" s="6">
        <f>K581*0.0749/4.7</f>
        <v/>
      </c>
      <c r="Q581" s="5">
        <f>M581+N581+O581+P581</f>
        <v/>
      </c>
      <c r="R581" s="5">
        <f>L581-Q581</f>
        <v/>
      </c>
      <c r="S581" s="6">
        <f>R581*4.7</f>
        <v/>
      </c>
      <c r="T581" s="7">
        <f>IF(L581&gt;0,R581/L581,0)</f>
        <v/>
      </c>
      <c r="U581" s="3" t="inlineStr">
        <is>
          <t>16/05/2026 11:10:26</t>
        </is>
      </c>
    </row>
    <row r="582">
      <c r="A582" s="3" t="inlineStr">
        <is>
          <t>584047885379274507</t>
        </is>
      </c>
      <c r="B582" s="3" t="inlineStr">
        <is>
          <t>已完成</t>
        </is>
      </c>
      <c r="C582" s="3" t="inlineStr">
        <is>
          <t>C3</t>
        </is>
      </c>
      <c r="D582" s="3" t="inlineStr">
        <is>
          <t>魔芋笋3大袋</t>
        </is>
      </c>
      <c r="E5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2" s="3" t="inlineStr">
        <is>
          <t>รสเผ็ดหอม​, 30 ซอง 600g</t>
        </is>
      </c>
      <c r="G582" s="6" t="n">
        <v>1</v>
      </c>
      <c r="H582" s="6" t="n">
        <v>172</v>
      </c>
      <c r="I582" s="6" t="n">
        <v>0</v>
      </c>
      <c r="J582" s="6" t="n">
        <v>38</v>
      </c>
      <c r="K582" s="6">
        <f>H582+I582</f>
        <v/>
      </c>
      <c r="L582" s="5">
        <f>K582/4.7</f>
        <v/>
      </c>
      <c r="M582" s="6" t="n">
        <v>20.1</v>
      </c>
      <c r="N582" s="6" t="n">
        <v>1</v>
      </c>
      <c r="O582" s="6">
        <f>(K582*0.1229+1.05)/4.7</f>
        <v/>
      </c>
      <c r="P582" s="6">
        <f>K582*0.0749/4.7</f>
        <v/>
      </c>
      <c r="Q582" s="5">
        <f>M582+N582+O582+P582</f>
        <v/>
      </c>
      <c r="R582" s="5">
        <f>L582-Q582</f>
        <v/>
      </c>
      <c r="S582" s="6">
        <f>R582*4.7</f>
        <v/>
      </c>
      <c r="T582" s="7">
        <f>IF(L582&gt;0,R582/L582,0)</f>
        <v/>
      </c>
      <c r="U582" s="3" t="inlineStr">
        <is>
          <t>16/05/2026 09:14:32</t>
        </is>
      </c>
    </row>
    <row r="583">
      <c r="A583" s="3" t="inlineStr">
        <is>
          <t>584046184167605266</t>
        </is>
      </c>
      <c r="B583" s="3" t="inlineStr">
        <is>
          <t>已取消</t>
        </is>
      </c>
      <c r="C583" s="3" t="inlineStr">
        <is>
          <t>C2</t>
        </is>
      </c>
      <c r="D583" s="3" t="inlineStr">
        <is>
          <t>魔芋笋2大袋</t>
        </is>
      </c>
      <c r="E5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3" s="3" t="inlineStr">
        <is>
          <t>รสเผ็ดหอม​, 20 ซอง 400g</t>
        </is>
      </c>
      <c r="G583" s="6" t="n">
        <v>1</v>
      </c>
      <c r="H583" s="6" t="n">
        <v>120</v>
      </c>
      <c r="I583" s="6" t="n">
        <v>0</v>
      </c>
      <c r="J583" s="6" t="n">
        <v>38</v>
      </c>
      <c r="K583" s="6">
        <f>H583+I583</f>
        <v/>
      </c>
      <c r="L583" s="5">
        <f>K583/4.7</f>
        <v/>
      </c>
      <c r="M583" s="6" t="n">
        <v>13.4</v>
      </c>
      <c r="N583" s="6" t="n">
        <v>1</v>
      </c>
      <c r="O583" s="6">
        <f>(K583*0.1229+1.05)/4.7</f>
        <v/>
      </c>
      <c r="P583" s="6">
        <f>K583*0.0749/4.7</f>
        <v/>
      </c>
      <c r="Q583" s="5">
        <f>M583+N583+O583+P583</f>
        <v/>
      </c>
      <c r="R583" s="5">
        <f>L583-Q583</f>
        <v/>
      </c>
      <c r="S583" s="6">
        <f>R583*4.7</f>
        <v/>
      </c>
      <c r="T583" s="7">
        <f>IF(L583&gt;0,R583/L583,0)</f>
        <v/>
      </c>
      <c r="U583" s="3" t="inlineStr">
        <is>
          <t>16/05/2026 06:30:56</t>
        </is>
      </c>
    </row>
    <row r="584">
      <c r="A584" s="3" t="inlineStr">
        <is>
          <t>584045219304671056</t>
        </is>
      </c>
      <c r="B584" s="3" t="inlineStr">
        <is>
          <t>已完成</t>
        </is>
      </c>
      <c r="C584" s="3" t="inlineStr">
        <is>
          <t>C1</t>
        </is>
      </c>
      <c r="D584" s="3" t="inlineStr">
        <is>
          <t>魔芋笋1大袋</t>
        </is>
      </c>
      <c r="E5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4" s="3" t="inlineStr">
        <is>
          <t>รสเผ็ดหอม​, 10 ซอง 200g</t>
        </is>
      </c>
      <c r="G584" s="6" t="n">
        <v>1</v>
      </c>
      <c r="H584" s="6" t="n">
        <v>66</v>
      </c>
      <c r="I584" s="6" t="n">
        <v>3</v>
      </c>
      <c r="J584" s="6" t="n">
        <v>35</v>
      </c>
      <c r="K584" s="6">
        <f>H584+I584</f>
        <v/>
      </c>
      <c r="L584" s="5">
        <f>K584/4.7</f>
        <v/>
      </c>
      <c r="M584" s="6" t="n">
        <v>6.699999999999999</v>
      </c>
      <c r="N584" s="6" t="n">
        <v>1</v>
      </c>
      <c r="O584" s="6">
        <f>(K584*0.1229+1.05)/4.7</f>
        <v/>
      </c>
      <c r="P584" s="6">
        <f>K584*0.0749/4.7</f>
        <v/>
      </c>
      <c r="Q584" s="5">
        <f>M584+N584+O584+P584</f>
        <v/>
      </c>
      <c r="R584" s="5">
        <f>L584-Q584</f>
        <v/>
      </c>
      <c r="S584" s="6">
        <f>R584*4.7</f>
        <v/>
      </c>
      <c r="T584" s="7">
        <f>IF(L584&gt;0,R584/L584,0)</f>
        <v/>
      </c>
      <c r="U584" s="3" t="inlineStr">
        <is>
          <t>16/05/2026 02:36:41</t>
        </is>
      </c>
    </row>
    <row r="585">
      <c r="A585" s="3" t="inlineStr">
        <is>
          <t>584045188897277599</t>
        </is>
      </c>
      <c r="B585" s="3" t="inlineStr">
        <is>
          <t>已完成</t>
        </is>
      </c>
      <c r="C585" s="3" t="inlineStr">
        <is>
          <t>C1</t>
        </is>
      </c>
      <c r="D585" s="3" t="inlineStr">
        <is>
          <t>魔芋笋1大袋</t>
        </is>
      </c>
      <c r="E5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5" s="3" t="inlineStr">
        <is>
          <t>รสเผ็ดหอม​, 10 ซอง 200g</t>
        </is>
      </c>
      <c r="G585" s="6" t="n">
        <v>1</v>
      </c>
      <c r="H585" s="6" t="n">
        <v>69</v>
      </c>
      <c r="I585" s="6" t="n">
        <v>0</v>
      </c>
      <c r="J585" s="6" t="n">
        <v>35</v>
      </c>
      <c r="K585" s="6">
        <f>H585+I585</f>
        <v/>
      </c>
      <c r="L585" s="5">
        <f>K585/4.7</f>
        <v/>
      </c>
      <c r="M585" s="6" t="n">
        <v>6.699999999999999</v>
      </c>
      <c r="N585" s="6" t="n">
        <v>1</v>
      </c>
      <c r="O585" s="6">
        <f>(K585*0.1229+1.05)/4.7</f>
        <v/>
      </c>
      <c r="P585" s="6">
        <f>K585*0.0749/4.7</f>
        <v/>
      </c>
      <c r="Q585" s="5">
        <f>M585+N585+O585+P585</f>
        <v/>
      </c>
      <c r="R585" s="5">
        <f>L585-Q585</f>
        <v/>
      </c>
      <c r="S585" s="6">
        <f>R585*4.7</f>
        <v/>
      </c>
      <c r="T585" s="7">
        <f>IF(L585&gt;0,R585/L585,0)</f>
        <v/>
      </c>
      <c r="U585" s="3" t="inlineStr">
        <is>
          <t>16/05/2026 02:20:04</t>
        </is>
      </c>
    </row>
    <row r="586">
      <c r="A586" s="3" t="inlineStr">
        <is>
          <t>584044705322730949</t>
        </is>
      </c>
      <c r="B586" s="3" t="inlineStr">
        <is>
          <t>已完成</t>
        </is>
      </c>
      <c r="C586" s="3" t="inlineStr">
        <is>
          <t>B3</t>
        </is>
      </c>
      <c r="D586" s="3" t="inlineStr">
        <is>
          <t>魔芋笋3大袋</t>
        </is>
      </c>
      <c r="E5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6" s="3" t="inlineStr">
        <is>
          <t>รสเปรี้ยวเผ็ด​, 30 ซอง 600g</t>
        </is>
      </c>
      <c r="G586" s="6" t="n">
        <v>1</v>
      </c>
      <c r="H586" s="6" t="n">
        <v>117.01</v>
      </c>
      <c r="I586" s="6" t="n">
        <v>50.15</v>
      </c>
      <c r="J586" s="6" t="n">
        <v>0</v>
      </c>
      <c r="K586" s="6">
        <f>H586+I586</f>
        <v/>
      </c>
      <c r="L586" s="5">
        <f>K586/4.7</f>
        <v/>
      </c>
      <c r="M586" s="6" t="n">
        <v>20.1</v>
      </c>
      <c r="N586" s="6" t="n">
        <v>1</v>
      </c>
      <c r="O586" s="6">
        <f>(K586*0.1229+1.05)/4.7</f>
        <v/>
      </c>
      <c r="P586" s="6">
        <f>K586*0.0749/4.7</f>
        <v/>
      </c>
      <c r="Q586" s="5">
        <f>M586+N586+O586+P586</f>
        <v/>
      </c>
      <c r="R586" s="5">
        <f>L586-Q586</f>
        <v/>
      </c>
      <c r="S586" s="6">
        <f>R586*4.7</f>
        <v/>
      </c>
      <c r="T586" s="7">
        <f>IF(L586&gt;0,R586/L586,0)</f>
        <v/>
      </c>
      <c r="U586" s="3" t="inlineStr">
        <is>
          <t>16/05/2026 00:38:41</t>
        </is>
      </c>
    </row>
    <row r="587">
      <c r="A587" s="3" t="inlineStr">
        <is>
          <t>584043942701991754</t>
        </is>
      </c>
      <c r="B587" s="3" t="inlineStr">
        <is>
          <t>已完成</t>
        </is>
      </c>
      <c r="C587" s="3" t="inlineStr">
        <is>
          <t>C1</t>
        </is>
      </c>
      <c r="D587" s="3" t="inlineStr">
        <is>
          <t>魔芋笋1大袋</t>
        </is>
      </c>
      <c r="E5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7" s="3" t="inlineStr">
        <is>
          <t>รสเผ็ดหอม​, 10 ซอง 200g</t>
        </is>
      </c>
      <c r="G587" s="6" t="n">
        <v>1</v>
      </c>
      <c r="H587" s="6" t="n">
        <v>69</v>
      </c>
      <c r="I587" s="6" t="n">
        <v>0</v>
      </c>
      <c r="J587" s="6" t="n">
        <v>35</v>
      </c>
      <c r="K587" s="6">
        <f>H587+I587</f>
        <v/>
      </c>
      <c r="L587" s="5">
        <f>K587/4.7</f>
        <v/>
      </c>
      <c r="M587" s="6" t="n">
        <v>6.699999999999999</v>
      </c>
      <c r="N587" s="6" t="n">
        <v>1</v>
      </c>
      <c r="O587" s="6">
        <f>(K587*0.1229+1.05)/4.7</f>
        <v/>
      </c>
      <c r="P587" s="6">
        <f>K587*0.0749/4.7</f>
        <v/>
      </c>
      <c r="Q587" s="5">
        <f>M587+N587+O587+P587</f>
        <v/>
      </c>
      <c r="R587" s="5">
        <f>L587-Q587</f>
        <v/>
      </c>
      <c r="S587" s="6">
        <f>R587*4.7</f>
        <v/>
      </c>
      <c r="T587" s="7">
        <f>IF(L587&gt;0,R587/L587,0)</f>
        <v/>
      </c>
      <c r="U587" s="3" t="inlineStr">
        <is>
          <t>15/05/2026 23:02:54</t>
        </is>
      </c>
    </row>
    <row r="588">
      <c r="A588" s="3" t="inlineStr">
        <is>
          <t>584042914830321384</t>
        </is>
      </c>
      <c r="B588" s="3" t="inlineStr">
        <is>
          <t>已完成</t>
        </is>
      </c>
      <c r="C588" s="3" t="inlineStr">
        <is>
          <t>B2</t>
        </is>
      </c>
      <c r="D588" s="3" t="inlineStr">
        <is>
          <t>魔芋笋2大袋</t>
        </is>
      </c>
      <c r="E5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8" s="3" t="inlineStr">
        <is>
          <t>รสเปรี้ยวเผ็ด​, 20 ซอง 400g</t>
        </is>
      </c>
      <c r="G588" s="6" t="n">
        <v>1</v>
      </c>
      <c r="H588" s="6" t="n">
        <v>245</v>
      </c>
      <c r="I588" s="6" t="n">
        <v>0</v>
      </c>
      <c r="J588" s="6" t="n">
        <v>48</v>
      </c>
      <c r="K588" s="6">
        <f>H588+I588</f>
        <v/>
      </c>
      <c r="L588" s="5">
        <f>K588/4.7</f>
        <v/>
      </c>
      <c r="M588" s="6" t="n">
        <v>13.4</v>
      </c>
      <c r="N588" s="6" t="n">
        <v>1</v>
      </c>
      <c r="O588" s="6">
        <f>(K588*0.1229+1.05)/4.7</f>
        <v/>
      </c>
      <c r="P588" s="6">
        <f>K588*0.0749/4.7</f>
        <v/>
      </c>
      <c r="Q588" s="5">
        <f>M588+N588+O588+P588</f>
        <v/>
      </c>
      <c r="R588" s="5">
        <f>L588-Q588</f>
        <v/>
      </c>
      <c r="S588" s="6">
        <f>R588*4.7</f>
        <v/>
      </c>
      <c r="T588" s="7">
        <f>IF(L588&gt;0,R588/L588,0)</f>
        <v/>
      </c>
      <c r="U588" s="3" t="inlineStr">
        <is>
          <t>15/05/2026 21:51:47</t>
        </is>
      </c>
    </row>
    <row r="589">
      <c r="A589" s="3" t="inlineStr">
        <is>
          <t>584042914830321384</t>
        </is>
      </c>
      <c r="B589" s="3" t="inlineStr">
        <is>
          <t>已完成</t>
        </is>
      </c>
      <c r="C589" s="3" t="inlineStr">
        <is>
          <t>C2</t>
        </is>
      </c>
      <c r="D589" s="3" t="inlineStr">
        <is>
          <t>魔芋笋2大袋</t>
        </is>
      </c>
      <c r="E5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9" s="3" t="inlineStr">
        <is>
          <t>รสเผ็ดหอม​, 20 ซอง 400g</t>
        </is>
      </c>
      <c r="G589" s="6" t="n">
        <v>1</v>
      </c>
      <c r="H589" s="6" t="n">
        <v>245</v>
      </c>
      <c r="I589" s="6" t="n">
        <v>0</v>
      </c>
      <c r="J589" s="6" t="n">
        <v>48</v>
      </c>
      <c r="K589" s="6">
        <f>H589+I589</f>
        <v/>
      </c>
      <c r="L589" s="5">
        <f>K589/4.7</f>
        <v/>
      </c>
      <c r="M589" s="6" t="n">
        <v>13.4</v>
      </c>
      <c r="N589" s="6" t="n">
        <v>1</v>
      </c>
      <c r="O589" s="6">
        <f>(K589*0.1229+1.05)/4.7</f>
        <v/>
      </c>
      <c r="P589" s="6">
        <f>K589*0.0749/4.7</f>
        <v/>
      </c>
      <c r="Q589" s="5">
        <f>M589+N589+O589+P589</f>
        <v/>
      </c>
      <c r="R589" s="5">
        <f>L589-Q589</f>
        <v/>
      </c>
      <c r="S589" s="6">
        <f>R589*4.7</f>
        <v/>
      </c>
      <c r="T589" s="7">
        <f>IF(L589&gt;0,R589/L589,0)</f>
        <v/>
      </c>
      <c r="U589" s="3" t="inlineStr">
        <is>
          <t>15/05/2026 21:51:47</t>
        </is>
      </c>
    </row>
    <row r="590">
      <c r="A590" s="3" t="inlineStr">
        <is>
          <t>584042662368937622</t>
        </is>
      </c>
      <c r="B590" s="3" t="inlineStr">
        <is>
          <t>已完成</t>
        </is>
      </c>
      <c r="C590" s="3" t="inlineStr">
        <is>
          <t>B3</t>
        </is>
      </c>
      <c r="D590" s="3" t="inlineStr">
        <is>
          <t>魔芋笋3大袋</t>
        </is>
      </c>
      <c r="E5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0" s="3" t="inlineStr">
        <is>
          <t>รสเปรี้ยวเผ็ด​, 30 ซอง 600g</t>
        </is>
      </c>
      <c r="G590" s="6" t="n">
        <v>1</v>
      </c>
      <c r="H590" s="6" t="n">
        <v>344</v>
      </c>
      <c r="I590" s="6" t="n">
        <v>0</v>
      </c>
      <c r="J590" s="6" t="n">
        <v>53</v>
      </c>
      <c r="K590" s="6">
        <f>H590+I590</f>
        <v/>
      </c>
      <c r="L590" s="5">
        <f>K590/4.7</f>
        <v/>
      </c>
      <c r="M590" s="6" t="n">
        <v>20.1</v>
      </c>
      <c r="N590" s="6" t="n">
        <v>1</v>
      </c>
      <c r="O590" s="6">
        <f>(K590*0.1229+1.05)/4.7</f>
        <v/>
      </c>
      <c r="P590" s="6">
        <f>K590*0.0749/4.7</f>
        <v/>
      </c>
      <c r="Q590" s="5">
        <f>M590+N590+O590+P590</f>
        <v/>
      </c>
      <c r="R590" s="5">
        <f>L590-Q590</f>
        <v/>
      </c>
      <c r="S590" s="6">
        <f>R590*4.7</f>
        <v/>
      </c>
      <c r="T590" s="7">
        <f>IF(L590&gt;0,R590/L590,0)</f>
        <v/>
      </c>
      <c r="U590" s="3" t="inlineStr">
        <is>
          <t>15/05/2026 21:36:57</t>
        </is>
      </c>
    </row>
    <row r="591">
      <c r="A591" s="3" t="inlineStr">
        <is>
          <t>584042662368937622</t>
        </is>
      </c>
      <c r="B591" s="3" t="inlineStr">
        <is>
          <t>已完成</t>
        </is>
      </c>
      <c r="C591" s="3" t="inlineStr">
        <is>
          <t>C3</t>
        </is>
      </c>
      <c r="D591" s="3" t="inlineStr">
        <is>
          <t>魔芋笋3大袋</t>
        </is>
      </c>
      <c r="E5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1" s="3" t="inlineStr">
        <is>
          <t>รสเผ็ดหอม​, 30 ซอง 600g</t>
        </is>
      </c>
      <c r="G591" s="6" t="n">
        <v>1</v>
      </c>
      <c r="H591" s="6" t="n">
        <v>344</v>
      </c>
      <c r="I591" s="6" t="n">
        <v>0</v>
      </c>
      <c r="J591" s="6" t="n">
        <v>53</v>
      </c>
      <c r="K591" s="6">
        <f>H591+I591</f>
        <v/>
      </c>
      <c r="L591" s="5">
        <f>K591/4.7</f>
        <v/>
      </c>
      <c r="M591" s="6" t="n">
        <v>20.1</v>
      </c>
      <c r="N591" s="6" t="n">
        <v>1</v>
      </c>
      <c r="O591" s="6">
        <f>(K591*0.1229+1.05)/4.7</f>
        <v/>
      </c>
      <c r="P591" s="6">
        <f>K591*0.0749/4.7</f>
        <v/>
      </c>
      <c r="Q591" s="5">
        <f>M591+N591+O591+P591</f>
        <v/>
      </c>
      <c r="R591" s="5">
        <f>L591-Q591</f>
        <v/>
      </c>
      <c r="S591" s="6">
        <f>R591*4.7</f>
        <v/>
      </c>
      <c r="T591" s="7">
        <f>IF(L591&gt;0,R591/L591,0)</f>
        <v/>
      </c>
      <c r="U591" s="3" t="inlineStr">
        <is>
          <t>15/05/2026 21:36:57</t>
        </is>
      </c>
    </row>
    <row r="592">
      <c r="A592" s="3" t="inlineStr">
        <is>
          <t>584042000514057301</t>
        </is>
      </c>
      <c r="B592" s="3" t="inlineStr">
        <is>
          <t>已完成</t>
        </is>
      </c>
      <c r="C592" s="3" t="inlineStr">
        <is>
          <t>C1</t>
        </is>
      </c>
      <c r="D592" s="3" t="inlineStr">
        <is>
          <t>魔芋笋1大袋</t>
        </is>
      </c>
      <c r="E5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2" s="3" t="inlineStr">
        <is>
          <t>รสเผ็ดหอม​, 10 ซอง 200g</t>
        </is>
      </c>
      <c r="G592" s="6" t="n">
        <v>1</v>
      </c>
      <c r="H592" s="6" t="n">
        <v>69</v>
      </c>
      <c r="I592" s="6" t="n">
        <v>0</v>
      </c>
      <c r="J592" s="6" t="n">
        <v>38</v>
      </c>
      <c r="K592" s="6">
        <f>H592+I592</f>
        <v/>
      </c>
      <c r="L592" s="5">
        <f>K592/4.7</f>
        <v/>
      </c>
      <c r="M592" s="6" t="n">
        <v>6.699999999999999</v>
      </c>
      <c r="N592" s="6" t="n">
        <v>1</v>
      </c>
      <c r="O592" s="6">
        <f>(K592*0.1229+1.05)/4.7</f>
        <v/>
      </c>
      <c r="P592" s="6">
        <f>K592*0.0749/4.7</f>
        <v/>
      </c>
      <c r="Q592" s="5">
        <f>M592+N592+O592+P592</f>
        <v/>
      </c>
      <c r="R592" s="5">
        <f>L592-Q592</f>
        <v/>
      </c>
      <c r="S592" s="6">
        <f>R592*4.7</f>
        <v/>
      </c>
      <c r="T592" s="7">
        <f>IF(L592&gt;0,R592/L592,0)</f>
        <v/>
      </c>
      <c r="U592" s="3" t="inlineStr">
        <is>
          <t>15/05/2026 20:55:21</t>
        </is>
      </c>
    </row>
    <row r="593">
      <c r="A593" s="3" t="inlineStr">
        <is>
          <t>584041766833718392</t>
        </is>
      </c>
      <c r="B593" s="3" t="inlineStr">
        <is>
          <t>已完成</t>
        </is>
      </c>
      <c r="C593" s="3" t="inlineStr">
        <is>
          <t>C1</t>
        </is>
      </c>
      <c r="D593" s="3" t="inlineStr">
        <is>
          <t>魔芋笋1大袋</t>
        </is>
      </c>
      <c r="E5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3" s="3" t="inlineStr">
        <is>
          <t>รสเผ็ดหอม​, 10 ซอง 200g</t>
        </is>
      </c>
      <c r="G593" s="6" t="n">
        <v>1</v>
      </c>
      <c r="H593" s="6" t="n">
        <v>69</v>
      </c>
      <c r="I593" s="6" t="n">
        <v>0</v>
      </c>
      <c r="J593" s="6" t="n">
        <v>38</v>
      </c>
      <c r="K593" s="6">
        <f>H593+I593</f>
        <v/>
      </c>
      <c r="L593" s="5">
        <f>K593/4.7</f>
        <v/>
      </c>
      <c r="M593" s="6" t="n">
        <v>6.699999999999999</v>
      </c>
      <c r="N593" s="6" t="n">
        <v>1</v>
      </c>
      <c r="O593" s="6">
        <f>(K593*0.1229+1.05)/4.7</f>
        <v/>
      </c>
      <c r="P593" s="6">
        <f>K593*0.0749/4.7</f>
        <v/>
      </c>
      <c r="Q593" s="5">
        <f>M593+N593+O593+P593</f>
        <v/>
      </c>
      <c r="R593" s="5">
        <f>L593-Q593</f>
        <v/>
      </c>
      <c r="S593" s="6">
        <f>R593*4.7</f>
        <v/>
      </c>
      <c r="T593" s="7">
        <f>IF(L593&gt;0,R593/L593,0)</f>
        <v/>
      </c>
      <c r="U593" s="3" t="inlineStr">
        <is>
          <t>15/05/2026 20:41:52</t>
        </is>
      </c>
    </row>
    <row r="594">
      <c r="A594" s="3" t="inlineStr">
        <is>
          <t>584041297527146349</t>
        </is>
      </c>
      <c r="B594" s="3" t="inlineStr">
        <is>
          <t>已完成</t>
        </is>
      </c>
      <c r="C594" s="3" t="inlineStr">
        <is>
          <t>C5s</t>
        </is>
      </c>
      <c r="D594" s="3" t="inlineStr">
        <is>
          <t>香辣味魔芋笋5小袋</t>
        </is>
      </c>
      <c r="E5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4" s="3" t="inlineStr">
        <is>
          <t>รสเผ็ดหอม​, 5 ซอง 100g</t>
        </is>
      </c>
      <c r="G594" s="6" t="n">
        <v>1</v>
      </c>
      <c r="H594" s="6" t="n">
        <v>47</v>
      </c>
      <c r="I594" s="6" t="n">
        <v>0</v>
      </c>
      <c r="J594" s="6" t="n">
        <v>38</v>
      </c>
      <c r="K594" s="6">
        <f>H594+I594</f>
        <v/>
      </c>
      <c r="L594" s="5">
        <f>K594/4.7</f>
        <v/>
      </c>
      <c r="M594" s="6" t="n">
        <v>3.35</v>
      </c>
      <c r="N594" s="6" t="n">
        <v>1</v>
      </c>
      <c r="O594" s="6">
        <f>(K594*0.1229+1.05)/4.7</f>
        <v/>
      </c>
      <c r="P594" s="6">
        <f>K594*0.0749/4.7</f>
        <v/>
      </c>
      <c r="Q594" s="5">
        <f>M594+N594+O594+P594</f>
        <v/>
      </c>
      <c r="R594" s="5">
        <f>L594-Q594</f>
        <v/>
      </c>
      <c r="S594" s="6">
        <f>R594*4.7</f>
        <v/>
      </c>
      <c r="T594" s="7">
        <f>IF(L594&gt;0,R594/L594,0)</f>
        <v/>
      </c>
      <c r="U594" s="3" t="inlineStr">
        <is>
          <t>15/05/2026 20:08:11</t>
        </is>
      </c>
    </row>
    <row r="595">
      <c r="A595" s="3" t="inlineStr">
        <is>
          <t>584041187353397162</t>
        </is>
      </c>
      <c r="B595" s="3" t="inlineStr">
        <is>
          <t>已完成</t>
        </is>
      </c>
      <c r="C595" s="3" t="inlineStr">
        <is>
          <t>C1</t>
        </is>
      </c>
      <c r="D595" s="3" t="inlineStr">
        <is>
          <t>魔芋笋1大袋</t>
        </is>
      </c>
      <c r="E5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5" s="3" t="inlineStr">
        <is>
          <t>รสเผ็ดหอม​, 10 ซอง 200g</t>
        </is>
      </c>
      <c r="G595" s="6" t="n">
        <v>1</v>
      </c>
      <c r="H595" s="6" t="n">
        <v>64</v>
      </c>
      <c r="I595" s="6" t="n">
        <v>5</v>
      </c>
      <c r="J595" s="6" t="n">
        <v>38</v>
      </c>
      <c r="K595" s="6">
        <f>H595+I595</f>
        <v/>
      </c>
      <c r="L595" s="5">
        <f>K595/4.7</f>
        <v/>
      </c>
      <c r="M595" s="6" t="n">
        <v>6.699999999999999</v>
      </c>
      <c r="N595" s="6" t="n">
        <v>1</v>
      </c>
      <c r="O595" s="6">
        <f>(K595*0.1229+1.05)/4.7</f>
        <v/>
      </c>
      <c r="P595" s="6">
        <f>K595*0.0749/4.7</f>
        <v/>
      </c>
      <c r="Q595" s="5">
        <f>M595+N595+O595+P595</f>
        <v/>
      </c>
      <c r="R595" s="5">
        <f>L595-Q595</f>
        <v/>
      </c>
      <c r="S595" s="6">
        <f>R595*4.7</f>
        <v/>
      </c>
      <c r="T595" s="7">
        <f>IF(L595&gt;0,R595/L595,0)</f>
        <v/>
      </c>
      <c r="U595" s="3" t="inlineStr">
        <is>
          <t>15/05/2026 19:55:51</t>
        </is>
      </c>
    </row>
    <row r="596">
      <c r="A596" s="3" t="inlineStr">
        <is>
          <t>584041012976780590</t>
        </is>
      </c>
      <c r="B596" s="3" t="inlineStr">
        <is>
          <t>已完成</t>
        </is>
      </c>
      <c r="C596" s="3" t="inlineStr">
        <is>
          <t>C1</t>
        </is>
      </c>
      <c r="D596" s="3" t="inlineStr">
        <is>
          <t>魔芋笋1大袋</t>
        </is>
      </c>
      <c r="E5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6" s="3" t="inlineStr">
        <is>
          <t>รสเผ็ดหอม​, 10 ซอง 200g</t>
        </is>
      </c>
      <c r="G596" s="6" t="n">
        <v>1</v>
      </c>
      <c r="H596" s="6" t="n">
        <v>62.1</v>
      </c>
      <c r="I596" s="6" t="n">
        <v>6.9</v>
      </c>
      <c r="J596" s="6" t="n">
        <v>38</v>
      </c>
      <c r="K596" s="6">
        <f>H596+I596</f>
        <v/>
      </c>
      <c r="L596" s="5">
        <f>K596/4.7</f>
        <v/>
      </c>
      <c r="M596" s="6" t="n">
        <v>6.699999999999999</v>
      </c>
      <c r="N596" s="6" t="n">
        <v>1</v>
      </c>
      <c r="O596" s="6">
        <f>(K596*0.1229+1.05)/4.7</f>
        <v/>
      </c>
      <c r="P596" s="6">
        <f>K596*0.0749/4.7</f>
        <v/>
      </c>
      <c r="Q596" s="5">
        <f>M596+N596+O596+P596</f>
        <v/>
      </c>
      <c r="R596" s="5">
        <f>L596-Q596</f>
        <v/>
      </c>
      <c r="S596" s="6">
        <f>R596*4.7</f>
        <v/>
      </c>
      <c r="T596" s="7">
        <f>IF(L596&gt;0,R596/L596,0)</f>
        <v/>
      </c>
      <c r="U596" s="3" t="inlineStr">
        <is>
          <t>15/05/2026 19:52:13</t>
        </is>
      </c>
    </row>
    <row r="597">
      <c r="A597" s="3" t="inlineStr">
        <is>
          <t>584040420757308685</t>
        </is>
      </c>
      <c r="B597" s="3" t="inlineStr">
        <is>
          <t>已完成</t>
        </is>
      </c>
      <c r="C597" s="3" t="inlineStr">
        <is>
          <t>C1</t>
        </is>
      </c>
      <c r="D597" s="3" t="inlineStr">
        <is>
          <t>魔芋笋1大袋</t>
        </is>
      </c>
      <c r="E5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7" s="3" t="inlineStr">
        <is>
          <t>รสเผ็ดหอม​, 10 ซอง 200g</t>
        </is>
      </c>
      <c r="G597" s="6" t="n">
        <v>1</v>
      </c>
      <c r="H597" s="6" t="n">
        <v>58.65</v>
      </c>
      <c r="I597" s="6" t="n">
        <v>10.35</v>
      </c>
      <c r="J597" s="6" t="n">
        <v>38</v>
      </c>
      <c r="K597" s="6">
        <f>H597+I597</f>
        <v/>
      </c>
      <c r="L597" s="5">
        <f>K597/4.7</f>
        <v/>
      </c>
      <c r="M597" s="6" t="n">
        <v>6.699999999999999</v>
      </c>
      <c r="N597" s="6" t="n">
        <v>1</v>
      </c>
      <c r="O597" s="6">
        <f>(K597*0.1229+1.05)/4.7</f>
        <v/>
      </c>
      <c r="P597" s="6">
        <f>K597*0.0749/4.7</f>
        <v/>
      </c>
      <c r="Q597" s="5">
        <f>M597+N597+O597+P597</f>
        <v/>
      </c>
      <c r="R597" s="5">
        <f>L597-Q597</f>
        <v/>
      </c>
      <c r="S597" s="6">
        <f>R597*4.7</f>
        <v/>
      </c>
      <c r="T597" s="7">
        <f>IF(L597&gt;0,R597/L597,0)</f>
        <v/>
      </c>
      <c r="U597" s="3" t="inlineStr">
        <is>
          <t>15/05/2026 19:14:17</t>
        </is>
      </c>
    </row>
    <row r="598">
      <c r="A598" s="3" t="inlineStr">
        <is>
          <t>584040414624449805</t>
        </is>
      </c>
      <c r="B598" s="3" t="inlineStr">
        <is>
          <t>已取消</t>
        </is>
      </c>
      <c r="C598" s="3" t="inlineStr">
        <is>
          <t>C1</t>
        </is>
      </c>
      <c r="D598" s="3" t="inlineStr">
        <is>
          <t>魔芋笋1大袋</t>
        </is>
      </c>
      <c r="E5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8" s="3" t="inlineStr">
        <is>
          <t>รสเผ็ดหอม​, 10 ซอง 200g</t>
        </is>
      </c>
      <c r="G598" s="6" t="n">
        <v>1</v>
      </c>
      <c r="H598" s="6" t="n">
        <v>69</v>
      </c>
      <c r="I598" s="6" t="n">
        <v>0</v>
      </c>
      <c r="J598" s="6" t="n">
        <v>38</v>
      </c>
      <c r="K598" s="6">
        <f>H598+I598</f>
        <v/>
      </c>
      <c r="L598" s="5">
        <f>K598/4.7</f>
        <v/>
      </c>
      <c r="M598" s="6" t="n">
        <v>6.699999999999999</v>
      </c>
      <c r="N598" s="6" t="n">
        <v>1</v>
      </c>
      <c r="O598" s="6">
        <f>(K598*0.1229+1.05)/4.7</f>
        <v/>
      </c>
      <c r="P598" s="6">
        <f>K598*0.0749/4.7</f>
        <v/>
      </c>
      <c r="Q598" s="5">
        <f>M598+N598+O598+P598</f>
        <v/>
      </c>
      <c r="R598" s="5">
        <f>L598-Q598</f>
        <v/>
      </c>
      <c r="S598" s="6">
        <f>R598*4.7</f>
        <v/>
      </c>
      <c r="T598" s="7">
        <f>IF(L598&gt;0,R598/L598,0)</f>
        <v/>
      </c>
      <c r="U598" s="3" t="inlineStr">
        <is>
          <t>15/05/2026 19:11:13</t>
        </is>
      </c>
    </row>
    <row r="599">
      <c r="A599" s="3" t="inlineStr">
        <is>
          <t>584039697985405981</t>
        </is>
      </c>
      <c r="B599" s="3" t="inlineStr">
        <is>
          <t>已完成</t>
        </is>
      </c>
      <c r="C599" s="3" t="inlineStr">
        <is>
          <t>C1</t>
        </is>
      </c>
      <c r="D599" s="3" t="inlineStr">
        <is>
          <t>魔芋笋1大袋</t>
        </is>
      </c>
      <c r="E5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9" s="3" t="inlineStr">
        <is>
          <t>รสเผ็ดหอม​, 10 ซอง 200g</t>
        </is>
      </c>
      <c r="G599" s="6" t="n">
        <v>1</v>
      </c>
      <c r="H599" s="6" t="n">
        <v>69</v>
      </c>
      <c r="I599" s="6" t="n">
        <v>0</v>
      </c>
      <c r="J599" s="6" t="n">
        <v>38</v>
      </c>
      <c r="K599" s="6">
        <f>H599+I599</f>
        <v/>
      </c>
      <c r="L599" s="5">
        <f>K599/4.7</f>
        <v/>
      </c>
      <c r="M599" s="6" t="n">
        <v>6.699999999999999</v>
      </c>
      <c r="N599" s="6" t="n">
        <v>1</v>
      </c>
      <c r="O599" s="6">
        <f>(K599*0.1229+1.05)/4.7</f>
        <v/>
      </c>
      <c r="P599" s="6">
        <f>K599*0.0749/4.7</f>
        <v/>
      </c>
      <c r="Q599" s="5">
        <f>M599+N599+O599+P599</f>
        <v/>
      </c>
      <c r="R599" s="5">
        <f>L599-Q599</f>
        <v/>
      </c>
      <c r="S599" s="6">
        <f>R599*4.7</f>
        <v/>
      </c>
      <c r="T599" s="7">
        <f>IF(L599&gt;0,R599/L599,0)</f>
        <v/>
      </c>
      <c r="U599" s="3" t="inlineStr">
        <is>
          <t>15/05/2026 18:23:23</t>
        </is>
      </c>
    </row>
    <row r="600">
      <c r="A600" s="3" t="inlineStr">
        <is>
          <t>584038978303460562</t>
        </is>
      </c>
      <c r="B600" s="3" t="inlineStr">
        <is>
          <t>已完成</t>
        </is>
      </c>
      <c r="C600" s="3" t="inlineStr">
        <is>
          <t>C1</t>
        </is>
      </c>
      <c r="D600" s="3" t="inlineStr">
        <is>
          <t>魔芋笋1大袋</t>
        </is>
      </c>
      <c r="E60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0" s="3" t="inlineStr">
        <is>
          <t>รสเผ็ดหอม​, 10 ซอง 200g</t>
        </is>
      </c>
      <c r="G600" s="6" t="n">
        <v>1</v>
      </c>
      <c r="H600" s="6" t="n">
        <v>69</v>
      </c>
      <c r="I600" s="6" t="n">
        <v>0</v>
      </c>
      <c r="J600" s="6" t="n">
        <v>38</v>
      </c>
      <c r="K600" s="6">
        <f>H600+I600</f>
        <v/>
      </c>
      <c r="L600" s="5">
        <f>K600/4.7</f>
        <v/>
      </c>
      <c r="M600" s="6" t="n">
        <v>6.699999999999999</v>
      </c>
      <c r="N600" s="6" t="n">
        <v>1</v>
      </c>
      <c r="O600" s="6">
        <f>(K600*0.1229+1.05)/4.7</f>
        <v/>
      </c>
      <c r="P600" s="6">
        <f>K600*0.0749/4.7</f>
        <v/>
      </c>
      <c r="Q600" s="5">
        <f>M600+N600+O600+P600</f>
        <v/>
      </c>
      <c r="R600" s="5">
        <f>L600-Q600</f>
        <v/>
      </c>
      <c r="S600" s="6">
        <f>R600*4.7</f>
        <v/>
      </c>
      <c r="T600" s="7">
        <f>IF(L600&gt;0,R600/L600,0)</f>
        <v/>
      </c>
      <c r="U600" s="3" t="inlineStr">
        <is>
          <t>15/05/2026 17:26:50</t>
        </is>
      </c>
    </row>
    <row r="601">
      <c r="A601" s="3" t="inlineStr">
        <is>
          <t>584038598939018870</t>
        </is>
      </c>
      <c r="B601" s="3" t="inlineStr">
        <is>
          <t>已完成</t>
        </is>
      </c>
      <c r="C601" s="3" t="inlineStr">
        <is>
          <t>C1</t>
        </is>
      </c>
      <c r="D601" s="3" t="inlineStr">
        <is>
          <t>魔芋笋1大袋</t>
        </is>
      </c>
      <c r="E6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1" s="3" t="inlineStr">
        <is>
          <t>รสเผ็ดหอม​, 10 ซอง 200g</t>
        </is>
      </c>
      <c r="G601" s="6" t="n">
        <v>1</v>
      </c>
      <c r="H601" s="6" t="n">
        <v>68.28</v>
      </c>
      <c r="I601" s="6" t="n">
        <v>0.72</v>
      </c>
      <c r="J601" s="6" t="n">
        <v>40</v>
      </c>
      <c r="K601" s="6">
        <f>H601+I601</f>
        <v/>
      </c>
      <c r="L601" s="5">
        <f>K601/4.7</f>
        <v/>
      </c>
      <c r="M601" s="6" t="n">
        <v>6.699999999999999</v>
      </c>
      <c r="N601" s="6" t="n">
        <v>1</v>
      </c>
      <c r="O601" s="6">
        <f>(K601*0.1229+1.05)/4.7</f>
        <v/>
      </c>
      <c r="P601" s="6">
        <f>K601*0.0749/4.7</f>
        <v/>
      </c>
      <c r="Q601" s="5">
        <f>M601+N601+O601+P601</f>
        <v/>
      </c>
      <c r="R601" s="5">
        <f>L601-Q601</f>
        <v/>
      </c>
      <c r="S601" s="6">
        <f>R601*4.7</f>
        <v/>
      </c>
      <c r="T601" s="7">
        <f>IF(L601&gt;0,R601/L601,0)</f>
        <v/>
      </c>
      <c r="U601" s="3" t="inlineStr">
        <is>
          <t>15/05/2026 16:58:38</t>
        </is>
      </c>
    </row>
    <row r="602">
      <c r="A602" s="3" t="inlineStr">
        <is>
          <t>584038625065534737</t>
        </is>
      </c>
      <c r="B602" s="3" t="inlineStr">
        <is>
          <t>已完成</t>
        </is>
      </c>
      <c r="C602" s="3" t="inlineStr">
        <is>
          <t>C1</t>
        </is>
      </c>
      <c r="D602" s="3" t="inlineStr">
        <is>
          <t>魔芋笋1大袋</t>
        </is>
      </c>
      <c r="E6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2" s="3" t="inlineStr">
        <is>
          <t>รสเผ็ดหอม​, 10 ซอง 200g</t>
        </is>
      </c>
      <c r="G602" s="6" t="n">
        <v>1</v>
      </c>
      <c r="H602" s="6" t="n">
        <v>69</v>
      </c>
      <c r="I602" s="6" t="n">
        <v>0</v>
      </c>
      <c r="J602" s="6" t="n">
        <v>38</v>
      </c>
      <c r="K602" s="6">
        <f>H602+I602</f>
        <v/>
      </c>
      <c r="L602" s="5">
        <f>K602/4.7</f>
        <v/>
      </c>
      <c r="M602" s="6" t="n">
        <v>6.699999999999999</v>
      </c>
      <c r="N602" s="6" t="n">
        <v>1</v>
      </c>
      <c r="O602" s="6">
        <f>(K602*0.1229+1.05)/4.7</f>
        <v/>
      </c>
      <c r="P602" s="6">
        <f>K602*0.0749/4.7</f>
        <v/>
      </c>
      <c r="Q602" s="5">
        <f>M602+N602+O602+P602</f>
        <v/>
      </c>
      <c r="R602" s="5">
        <f>L602-Q602</f>
        <v/>
      </c>
      <c r="S602" s="6">
        <f>R602*4.7</f>
        <v/>
      </c>
      <c r="T602" s="7">
        <f>IF(L602&gt;0,R602/L602,0)</f>
        <v/>
      </c>
      <c r="U602" s="3" t="inlineStr">
        <is>
          <t>15/05/2026 16:52:18</t>
        </is>
      </c>
    </row>
    <row r="603">
      <c r="A603" s="3" t="inlineStr">
        <is>
          <t>584038308834804877</t>
        </is>
      </c>
      <c r="B603" s="3" t="inlineStr">
        <is>
          <t>已完成</t>
        </is>
      </c>
      <c r="C603" s="3" t="inlineStr">
        <is>
          <t>B1</t>
        </is>
      </c>
      <c r="D603" s="3" t="inlineStr">
        <is>
          <t>魔芋笋1大袋</t>
        </is>
      </c>
      <c r="E6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3" s="3" t="inlineStr">
        <is>
          <t>รสเปรี้ยวเผ็ด​, 10 ซอง 200g</t>
        </is>
      </c>
      <c r="G603" s="6" t="n">
        <v>1</v>
      </c>
      <c r="H603" s="6" t="n">
        <v>69</v>
      </c>
      <c r="I603" s="6" t="n">
        <v>0</v>
      </c>
      <c r="J603" s="6" t="n">
        <v>38</v>
      </c>
      <c r="K603" s="6">
        <f>H603+I603</f>
        <v/>
      </c>
      <c r="L603" s="5">
        <f>K603/4.7</f>
        <v/>
      </c>
      <c r="M603" s="6" t="n">
        <v>6.699999999999999</v>
      </c>
      <c r="N603" s="6" t="n">
        <v>1</v>
      </c>
      <c r="O603" s="6">
        <f>(K603*0.1229+1.05)/4.7</f>
        <v/>
      </c>
      <c r="P603" s="6">
        <f>K603*0.0749/4.7</f>
        <v/>
      </c>
      <c r="Q603" s="5">
        <f>M603+N603+O603+P603</f>
        <v/>
      </c>
      <c r="R603" s="5">
        <f>L603-Q603</f>
        <v/>
      </c>
      <c r="S603" s="6">
        <f>R603*4.7</f>
        <v/>
      </c>
      <c r="T603" s="7">
        <f>IF(L603&gt;0,R603/L603,0)</f>
        <v/>
      </c>
      <c r="U603" s="3" t="inlineStr">
        <is>
          <t>15/05/2026 16:35:57</t>
        </is>
      </c>
    </row>
    <row r="604">
      <c r="A604" s="3" t="inlineStr">
        <is>
          <t>584038240512935877</t>
        </is>
      </c>
      <c r="B604" s="3" t="inlineStr">
        <is>
          <t>已完成</t>
        </is>
      </c>
      <c r="C604" s="3" t="inlineStr">
        <is>
          <t>C2</t>
        </is>
      </c>
      <c r="D604" s="3" t="inlineStr">
        <is>
          <t>魔芋笋2大袋</t>
        </is>
      </c>
      <c r="E6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4" s="3" t="inlineStr">
        <is>
          <t>รสเผ็ดหอม​, 20 ซอง 400g</t>
        </is>
      </c>
      <c r="G604" s="6" t="n">
        <v>1</v>
      </c>
      <c r="H604" s="6" t="n">
        <v>245</v>
      </c>
      <c r="I604" s="6" t="n">
        <v>0</v>
      </c>
      <c r="J604" s="6" t="n">
        <v>48</v>
      </c>
      <c r="K604" s="6">
        <f>H604+I604</f>
        <v/>
      </c>
      <c r="L604" s="5">
        <f>K604/4.7</f>
        <v/>
      </c>
      <c r="M604" s="6" t="n">
        <v>13.4</v>
      </c>
      <c r="N604" s="6" t="n">
        <v>1</v>
      </c>
      <c r="O604" s="6">
        <f>(K604*0.1229+1.05)/4.7</f>
        <v/>
      </c>
      <c r="P604" s="6">
        <f>K604*0.0749/4.7</f>
        <v/>
      </c>
      <c r="Q604" s="5">
        <f>M604+N604+O604+P604</f>
        <v/>
      </c>
      <c r="R604" s="5">
        <f>L604-Q604</f>
        <v/>
      </c>
      <c r="S604" s="6">
        <f>R604*4.7</f>
        <v/>
      </c>
      <c r="T604" s="7">
        <f>IF(L604&gt;0,R604/L604,0)</f>
        <v/>
      </c>
      <c r="U604" s="3" t="inlineStr">
        <is>
          <t>15/05/2026 16:27:33</t>
        </is>
      </c>
    </row>
    <row r="605">
      <c r="A605" s="3" t="inlineStr">
        <is>
          <t>584038240512935877</t>
        </is>
      </c>
      <c r="B605" s="3" t="inlineStr">
        <is>
          <t>已完成</t>
        </is>
      </c>
      <c r="C605" s="3" t="inlineStr">
        <is>
          <t>B2</t>
        </is>
      </c>
      <c r="D605" s="3" t="inlineStr">
        <is>
          <t>魔芋笋2大袋</t>
        </is>
      </c>
      <c r="E6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5" s="3" t="inlineStr">
        <is>
          <t>รสเปรี้ยวเผ็ด​, 20 ซอง 400g</t>
        </is>
      </c>
      <c r="G605" s="6" t="n">
        <v>1</v>
      </c>
      <c r="H605" s="6" t="n">
        <v>245</v>
      </c>
      <c r="I605" s="6" t="n">
        <v>0</v>
      </c>
      <c r="J605" s="6" t="n">
        <v>48</v>
      </c>
      <c r="K605" s="6">
        <f>H605+I605</f>
        <v/>
      </c>
      <c r="L605" s="5">
        <f>K605/4.7</f>
        <v/>
      </c>
      <c r="M605" s="6" t="n">
        <v>13.4</v>
      </c>
      <c r="N605" s="6" t="n">
        <v>1</v>
      </c>
      <c r="O605" s="6">
        <f>(K605*0.1229+1.05)/4.7</f>
        <v/>
      </c>
      <c r="P605" s="6">
        <f>K605*0.0749/4.7</f>
        <v/>
      </c>
      <c r="Q605" s="5">
        <f>M605+N605+O605+P605</f>
        <v/>
      </c>
      <c r="R605" s="5">
        <f>L605-Q605</f>
        <v/>
      </c>
      <c r="S605" s="6">
        <f>R605*4.7</f>
        <v/>
      </c>
      <c r="T605" s="7">
        <f>IF(L605&gt;0,R605/L605,0)</f>
        <v/>
      </c>
      <c r="U605" s="3" t="inlineStr">
        <is>
          <t>15/05/2026 16:27:33</t>
        </is>
      </c>
    </row>
    <row r="606">
      <c r="A606" s="3" t="inlineStr">
        <is>
          <t>584038202625656440</t>
        </is>
      </c>
      <c r="B606" s="3" t="inlineStr">
        <is>
          <t>已取消</t>
        </is>
      </c>
      <c r="C606" s="3" t="inlineStr">
        <is>
          <t>C1</t>
        </is>
      </c>
      <c r="D606" s="3" t="inlineStr">
        <is>
          <t>魔芋笋1大袋</t>
        </is>
      </c>
      <c r="E6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6" s="3" t="inlineStr">
        <is>
          <t>รสเผ็ดหอม​, 10 ซอง 200g</t>
        </is>
      </c>
      <c r="G606" s="6" t="n">
        <v>2</v>
      </c>
      <c r="H606" s="6" t="n">
        <v>133</v>
      </c>
      <c r="I606" s="6" t="n">
        <v>0</v>
      </c>
      <c r="J606" s="6" t="n">
        <v>48</v>
      </c>
      <c r="K606" s="6">
        <f>H606+I606</f>
        <v/>
      </c>
      <c r="L606" s="5">
        <f>K606/4.7</f>
        <v/>
      </c>
      <c r="M606" s="6" t="n">
        <v>13.4</v>
      </c>
      <c r="N606" s="6" t="n">
        <v>1</v>
      </c>
      <c r="O606" s="6">
        <f>(K606*0.1229+1.05)/4.7</f>
        <v/>
      </c>
      <c r="P606" s="6">
        <f>K606*0.0749/4.7</f>
        <v/>
      </c>
      <c r="Q606" s="5">
        <f>M606+N606+O606+P606</f>
        <v/>
      </c>
      <c r="R606" s="5">
        <f>L606-Q606</f>
        <v/>
      </c>
      <c r="S606" s="6">
        <f>R606*4.7</f>
        <v/>
      </c>
      <c r="T606" s="7">
        <f>IF(L606&gt;0,R606/L606,0)</f>
        <v/>
      </c>
      <c r="U606" s="3" t="inlineStr">
        <is>
          <t>15/05/2026 16:23:12</t>
        </is>
      </c>
    </row>
    <row r="607">
      <c r="A607" s="3" t="inlineStr">
        <is>
          <t>584038003954583532</t>
        </is>
      </c>
      <c r="B607" s="3" t="inlineStr">
        <is>
          <t>已完成</t>
        </is>
      </c>
      <c r="C607" s="3" t="inlineStr">
        <is>
          <t>C3</t>
        </is>
      </c>
      <c r="D607" s="3" t="inlineStr">
        <is>
          <t>魔芋笋3大袋</t>
        </is>
      </c>
      <c r="E6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7" s="3" t="inlineStr">
        <is>
          <t>รสเผ็ดหอม​, 30 ซอง 600g</t>
        </is>
      </c>
      <c r="G607" s="6" t="n">
        <v>2</v>
      </c>
      <c r="H607" s="6" t="n">
        <v>344</v>
      </c>
      <c r="I607" s="6" t="n">
        <v>0</v>
      </c>
      <c r="J607" s="6" t="n">
        <v>48</v>
      </c>
      <c r="K607" s="6">
        <f>H607+I607</f>
        <v/>
      </c>
      <c r="L607" s="5">
        <f>K607/4.7</f>
        <v/>
      </c>
      <c r="M607" s="6" t="n">
        <v>40.2</v>
      </c>
      <c r="N607" s="6" t="n">
        <v>1</v>
      </c>
      <c r="O607" s="6">
        <f>(K607*0.1229+1.05)/4.7</f>
        <v/>
      </c>
      <c r="P607" s="6">
        <f>K607*0.0749/4.7</f>
        <v/>
      </c>
      <c r="Q607" s="5">
        <f>M607+N607+O607+P607</f>
        <v/>
      </c>
      <c r="R607" s="5">
        <f>L607-Q607</f>
        <v/>
      </c>
      <c r="S607" s="6">
        <f>R607*4.7</f>
        <v/>
      </c>
      <c r="T607" s="7">
        <f>IF(L607&gt;0,R607/L607,0)</f>
        <v/>
      </c>
      <c r="U607" s="3" t="inlineStr">
        <is>
          <t>15/05/2026 16:08:21</t>
        </is>
      </c>
    </row>
    <row r="608">
      <c r="A608" s="3" t="inlineStr">
        <is>
          <t>584037559107945788</t>
        </is>
      </c>
      <c r="B608" s="3" t="inlineStr">
        <is>
          <t>已完成</t>
        </is>
      </c>
      <c r="C608" s="3" t="inlineStr">
        <is>
          <t>C1</t>
        </is>
      </c>
      <c r="D608" s="3" t="inlineStr">
        <is>
          <t>魔芋笋1大袋</t>
        </is>
      </c>
      <c r="E6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8" s="3" t="inlineStr">
        <is>
          <t>รสเผ็ดหอม​, 10 ซอง 200g</t>
        </is>
      </c>
      <c r="G608" s="6" t="n">
        <v>1</v>
      </c>
      <c r="H608" s="6" t="n">
        <v>69</v>
      </c>
      <c r="I608" s="6" t="n">
        <v>0</v>
      </c>
      <c r="J608" s="6" t="n">
        <v>35</v>
      </c>
      <c r="K608" s="6">
        <f>H608+I608</f>
        <v/>
      </c>
      <c r="L608" s="5">
        <f>K608/4.7</f>
        <v/>
      </c>
      <c r="M608" s="6" t="n">
        <v>6.699999999999999</v>
      </c>
      <c r="N608" s="6" t="n">
        <v>1</v>
      </c>
      <c r="O608" s="6">
        <f>(K608*0.1229+1.05)/4.7</f>
        <v/>
      </c>
      <c r="P608" s="6">
        <f>K608*0.0749/4.7</f>
        <v/>
      </c>
      <c r="Q608" s="5">
        <f>M608+N608+O608+P608</f>
        <v/>
      </c>
      <c r="R608" s="5">
        <f>L608-Q608</f>
        <v/>
      </c>
      <c r="S608" s="6">
        <f>R608*4.7</f>
        <v/>
      </c>
      <c r="T608" s="7">
        <f>IF(L608&gt;0,R608/L608,0)</f>
        <v/>
      </c>
      <c r="U608" s="3" t="inlineStr">
        <is>
          <t>15/05/2026 15:30:08</t>
        </is>
      </c>
    </row>
    <row r="609">
      <c r="A609" s="3" t="inlineStr">
        <is>
          <t>584037487433975040</t>
        </is>
      </c>
      <c r="B609" s="3" t="inlineStr">
        <is>
          <t>已取消</t>
        </is>
      </c>
      <c r="C609" s="3" t="inlineStr">
        <is>
          <t>A2</t>
        </is>
      </c>
      <c r="D609" s="3" t="inlineStr">
        <is>
          <t>魔芋干2包</t>
        </is>
      </c>
      <c r="E609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09" s="3" t="inlineStr">
        <is>
          <t>20 ซอง 200g</t>
        </is>
      </c>
      <c r="G609" s="6" t="n">
        <v>1</v>
      </c>
      <c r="H609" s="6" t="n">
        <v>92.92</v>
      </c>
      <c r="I609" s="6" t="n">
        <v>9.08</v>
      </c>
      <c r="J609" s="6" t="n">
        <v>38</v>
      </c>
      <c r="K609" s="6">
        <f>H609+I609</f>
        <v/>
      </c>
      <c r="L609" s="5">
        <f>K609/4.7</f>
        <v/>
      </c>
      <c r="M609" s="6" t="n">
        <v>12.2</v>
      </c>
      <c r="N609" s="6" t="n">
        <v>0.5</v>
      </c>
      <c r="O609" s="6">
        <f>(K609*0.1229+1.05)/4.7</f>
        <v/>
      </c>
      <c r="P609" s="6">
        <f>K609*0.0749/4.7</f>
        <v/>
      </c>
      <c r="Q609" s="5">
        <f>M609+N609+O609+P609</f>
        <v/>
      </c>
      <c r="R609" s="5">
        <f>L609-Q609</f>
        <v/>
      </c>
      <c r="S609" s="6">
        <f>R609*4.7</f>
        <v/>
      </c>
      <c r="T609" s="7">
        <f>IF(L609&gt;0,R609/L609,0)</f>
        <v/>
      </c>
      <c r="U609" s="3" t="inlineStr">
        <is>
          <t>15/05/2026 15:28:25</t>
        </is>
      </c>
    </row>
    <row r="610">
      <c r="A610" s="3" t="inlineStr">
        <is>
          <t>584037319332234332</t>
        </is>
      </c>
      <c r="B610" s="3" t="inlineStr">
        <is>
          <t>已取消</t>
        </is>
      </c>
      <c r="C610" s="3" t="inlineStr">
        <is>
          <t>B3</t>
        </is>
      </c>
      <c r="D610" s="3" t="inlineStr">
        <is>
          <t>魔芋笋3大袋</t>
        </is>
      </c>
      <c r="E6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0" s="3" t="inlineStr">
        <is>
          <t>รสเปรี้ยวเผ็ด​, 30 ซอง 600g</t>
        </is>
      </c>
      <c r="G610" s="6" t="n">
        <v>1</v>
      </c>
      <c r="H610" s="6" t="n">
        <v>2</v>
      </c>
      <c r="I610" s="6" t="n">
        <v>165</v>
      </c>
      <c r="J610" s="6" t="n">
        <v>38</v>
      </c>
      <c r="K610" s="6">
        <f>H610+I610</f>
        <v/>
      </c>
      <c r="L610" s="5">
        <f>K610/4.7</f>
        <v/>
      </c>
      <c r="M610" s="6" t="n">
        <v>20.1</v>
      </c>
      <c r="N610" s="6" t="n">
        <v>1</v>
      </c>
      <c r="O610" s="6">
        <f>(K610*0.1229+1.05)/4.7</f>
        <v/>
      </c>
      <c r="P610" s="6">
        <f>K610*0.0749/4.7</f>
        <v/>
      </c>
      <c r="Q610" s="5">
        <f>M610+N610+O610+P610</f>
        <v/>
      </c>
      <c r="R610" s="5">
        <f>L610-Q610</f>
        <v/>
      </c>
      <c r="S610" s="6">
        <f>R610*4.7</f>
        <v/>
      </c>
      <c r="T610" s="7">
        <f>IF(L610&gt;0,R610/L610,0)</f>
        <v/>
      </c>
      <c r="U610" s="3" t="inlineStr">
        <is>
          <t>15/05/2026 15:16:18</t>
        </is>
      </c>
    </row>
    <row r="611">
      <c r="A611" s="3" t="inlineStr">
        <is>
          <t>584037131785897159</t>
        </is>
      </c>
      <c r="B611" s="3" t="inlineStr">
        <is>
          <t>已取消</t>
        </is>
      </c>
      <c r="C611" s="3" t="inlineStr">
        <is>
          <t>C1</t>
        </is>
      </c>
      <c r="D611" s="3" t="inlineStr">
        <is>
          <t>魔芋笋1大袋</t>
        </is>
      </c>
      <c r="E6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1" s="3" t="inlineStr">
        <is>
          <t>รสเผ็ดหอม​, 10 ซอง 200g</t>
        </is>
      </c>
      <c r="G611" s="6" t="n">
        <v>1</v>
      </c>
      <c r="H611" s="6" t="n">
        <v>84</v>
      </c>
      <c r="I611" s="6" t="n">
        <v>0</v>
      </c>
      <c r="J611" s="6" t="n">
        <v>23</v>
      </c>
      <c r="K611" s="6">
        <f>H611+I611</f>
        <v/>
      </c>
      <c r="L611" s="5">
        <f>K611/4.7</f>
        <v/>
      </c>
      <c r="M611" s="6" t="n">
        <v>6.699999999999999</v>
      </c>
      <c r="N611" s="6" t="n">
        <v>1</v>
      </c>
      <c r="O611" s="6">
        <f>(K611*0.1229+1.05)/4.7</f>
        <v/>
      </c>
      <c r="P611" s="6">
        <f>K611*0.0749/4.7</f>
        <v/>
      </c>
      <c r="Q611" s="5">
        <f>M611+N611+O611+P611</f>
        <v/>
      </c>
      <c r="R611" s="5">
        <f>L611-Q611</f>
        <v/>
      </c>
      <c r="S611" s="6">
        <f>R611*4.7</f>
        <v/>
      </c>
      <c r="T611" s="7">
        <f>IF(L611&gt;0,R611/L611,0)</f>
        <v/>
      </c>
      <c r="U611" s="3" t="inlineStr">
        <is>
          <t>15/05/2026 14:59:34</t>
        </is>
      </c>
    </row>
    <row r="612">
      <c r="A612" s="3" t="inlineStr">
        <is>
          <t>584035853115623122</t>
        </is>
      </c>
      <c r="B612" s="3" t="inlineStr">
        <is>
          <t>已完成</t>
        </is>
      </c>
      <c r="C612" s="3" t="inlineStr">
        <is>
          <t>B1</t>
        </is>
      </c>
      <c r="D612" s="3" t="inlineStr">
        <is>
          <t>魔芋笋1大袋</t>
        </is>
      </c>
      <c r="E6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2" s="3" t="inlineStr">
        <is>
          <t>รสเปรี้ยวเผ็ด​, 10 ซอง 200g</t>
        </is>
      </c>
      <c r="G612" s="6" t="n">
        <v>1</v>
      </c>
      <c r="H612" s="6" t="n">
        <v>69</v>
      </c>
      <c r="I612" s="6" t="n">
        <v>0</v>
      </c>
      <c r="J612" s="6" t="n">
        <v>29</v>
      </c>
      <c r="K612" s="6">
        <f>H612+I612</f>
        <v/>
      </c>
      <c r="L612" s="5">
        <f>K612/4.7</f>
        <v/>
      </c>
      <c r="M612" s="6" t="n">
        <v>6.699999999999999</v>
      </c>
      <c r="N612" s="6" t="n">
        <v>1</v>
      </c>
      <c r="O612" s="6">
        <f>(K612*0.1229+1.05)/4.7</f>
        <v/>
      </c>
      <c r="P612" s="6">
        <f>K612*0.0749/4.7</f>
        <v/>
      </c>
      <c r="Q612" s="5">
        <f>M612+N612+O612+P612</f>
        <v/>
      </c>
      <c r="R612" s="5">
        <f>L612-Q612</f>
        <v/>
      </c>
      <c r="S612" s="6">
        <f>R612*4.7</f>
        <v/>
      </c>
      <c r="T612" s="7">
        <f>IF(L612&gt;0,R612/L612,0)</f>
        <v/>
      </c>
      <c r="U612" s="3" t="inlineStr">
        <is>
          <t>15/05/2026 13:24:20</t>
        </is>
      </c>
    </row>
    <row r="613">
      <c r="A613" s="3" t="inlineStr">
        <is>
          <t>584034787080045772</t>
        </is>
      </c>
      <c r="B613" s="3" t="inlineStr">
        <is>
          <t>已完成</t>
        </is>
      </c>
      <c r="C613" s="3" t="inlineStr">
        <is>
          <t>C3</t>
        </is>
      </c>
      <c r="D613" s="3" t="inlineStr">
        <is>
          <t>魔芋笋3大袋</t>
        </is>
      </c>
      <c r="E6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3" s="3" t="inlineStr">
        <is>
          <t>รสเผ็ดหอม​, 30 ซอง 600g</t>
        </is>
      </c>
      <c r="G613" s="6" t="n">
        <v>1</v>
      </c>
      <c r="H613" s="6" t="n">
        <v>145.1</v>
      </c>
      <c r="I613" s="6" t="n">
        <v>26.9</v>
      </c>
      <c r="J613" s="6" t="n">
        <v>38</v>
      </c>
      <c r="K613" s="6">
        <f>H613+I613</f>
        <v/>
      </c>
      <c r="L613" s="5">
        <f>K613/4.7</f>
        <v/>
      </c>
      <c r="M613" s="6" t="n">
        <v>20.1</v>
      </c>
      <c r="N613" s="6" t="n">
        <v>1</v>
      </c>
      <c r="O613" s="6">
        <f>(K613*0.1229+1.05)/4.7</f>
        <v/>
      </c>
      <c r="P613" s="6">
        <f>K613*0.0749/4.7</f>
        <v/>
      </c>
      <c r="Q613" s="5">
        <f>M613+N613+O613+P613</f>
        <v/>
      </c>
      <c r="R613" s="5">
        <f>L613-Q613</f>
        <v/>
      </c>
      <c r="S613" s="6">
        <f>R613*4.7</f>
        <v/>
      </c>
      <c r="T613" s="7">
        <f>IF(L613&gt;0,R613/L613,0)</f>
        <v/>
      </c>
      <c r="U613" s="3" t="inlineStr">
        <is>
          <t>15/05/2026 12:13:57</t>
        </is>
      </c>
    </row>
    <row r="614">
      <c r="A614" s="3" t="inlineStr">
        <is>
          <t>584032152932942950</t>
        </is>
      </c>
      <c r="B614" s="3" t="inlineStr">
        <is>
          <t>已完成</t>
        </is>
      </c>
      <c r="C614" s="3" t="inlineStr">
        <is>
          <t>CK</t>
        </is>
      </c>
      <c r="D614" s="3" t="inlineStr">
        <is>
          <t>黑松露黑麦苏打饼干</t>
        </is>
      </c>
      <c r="E61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14" s="3" t="inlineStr">
        <is>
          <t>ค่าเริ่มต้น</t>
        </is>
      </c>
      <c r="G614" s="6" t="n">
        <v>1</v>
      </c>
      <c r="H614" s="6" t="n">
        <v>85</v>
      </c>
      <c r="I614" s="6" t="n">
        <v>15</v>
      </c>
      <c r="J614" s="6" t="n">
        <v>29</v>
      </c>
      <c r="K614" s="6">
        <f>H614+I614</f>
        <v/>
      </c>
      <c r="L614" s="5">
        <f>K614/4.7</f>
        <v/>
      </c>
      <c r="M614" s="6" t="n">
        <v>10.72665050209467</v>
      </c>
      <c r="N614" s="6" t="n">
        <v>1</v>
      </c>
      <c r="O614" s="6">
        <f>(K614*0.1229+1.05)/4.7</f>
        <v/>
      </c>
      <c r="P614" s="6">
        <f>K614*0.0749/4.7</f>
        <v/>
      </c>
      <c r="Q614" s="5">
        <f>M614+N614+O614+P614</f>
        <v/>
      </c>
      <c r="R614" s="5">
        <f>L614-Q614</f>
        <v/>
      </c>
      <c r="S614" s="6">
        <f>R614*4.7</f>
        <v/>
      </c>
      <c r="T614" s="7">
        <f>IF(L614&gt;0,R614/L614,0)</f>
        <v/>
      </c>
      <c r="U614" s="3" t="inlineStr">
        <is>
          <t>15/05/2026 09:14:01</t>
        </is>
      </c>
    </row>
    <row r="615">
      <c r="A615" s="3" t="inlineStr">
        <is>
          <t>584028152093771298</t>
        </is>
      </c>
      <c r="B615" s="3" t="inlineStr">
        <is>
          <t>已完成</t>
        </is>
      </c>
      <c r="C615" s="3" t="inlineStr">
        <is>
          <t>ER-A</t>
        </is>
      </c>
      <c r="D615" s="3" t="inlineStr">
        <is>
          <t>广州酒家传统鸡蛋卷454g</t>
        </is>
      </c>
      <c r="E615" s="3" t="inlineStr">
        <is>
          <t>Egg Roll 2สูตร ทองม้วนไข่กล่องเหล็กพรีเมี่ยม!! GuangZhou Restaurant 454g/480g กล่องล่ะ 24 แท่ง</t>
        </is>
      </c>
      <c r="F615" s="3" t="inlineStr">
        <is>
          <t>Traditional สูตรดั้งเดิม ไข่ล้วน</t>
        </is>
      </c>
      <c r="G615" s="6" t="n">
        <v>1</v>
      </c>
      <c r="H615" s="6" t="n">
        <v>275</v>
      </c>
      <c r="I615" s="6" t="n">
        <v>80</v>
      </c>
      <c r="J615" s="6" t="n">
        <v>38</v>
      </c>
      <c r="K615" s="6">
        <f>H615+I615</f>
        <v/>
      </c>
      <c r="L615" s="5">
        <f>K615/4.7</f>
        <v/>
      </c>
      <c r="M615" s="6" t="n">
        <v>40.25338607190941</v>
      </c>
      <c r="N615" s="6" t="n">
        <v>2</v>
      </c>
      <c r="O615" s="6">
        <f>(K615*0.1229+1.05)/4.7</f>
        <v/>
      </c>
      <c r="P615" s="6">
        <f>K615*0.0749/4.7</f>
        <v/>
      </c>
      <c r="Q615" s="5">
        <f>M615+N615+O615+P615</f>
        <v/>
      </c>
      <c r="R615" s="5">
        <f>L615-Q615</f>
        <v/>
      </c>
      <c r="S615" s="6">
        <f>R615*4.7</f>
        <v/>
      </c>
      <c r="T615" s="7">
        <f>IF(L615&gt;0,R615/L615,0)</f>
        <v/>
      </c>
      <c r="U615" s="3" t="inlineStr">
        <is>
          <t>14/05/2026 23:17:26</t>
        </is>
      </c>
    </row>
    <row r="616">
      <c r="A616" s="3" t="inlineStr">
        <is>
          <t>584027403634968514</t>
        </is>
      </c>
      <c r="B616" s="3" t="inlineStr">
        <is>
          <t>已完成</t>
        </is>
      </c>
      <c r="C616" s="3" t="inlineStr">
        <is>
          <t>A1</t>
        </is>
      </c>
      <c r="D616" s="3" t="inlineStr">
        <is>
          <t>魔芋干1包</t>
        </is>
      </c>
      <c r="E616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16" s="3" t="inlineStr">
        <is>
          <t>10 ซอง 100g</t>
        </is>
      </c>
      <c r="G616" s="6" t="n">
        <v>1</v>
      </c>
      <c r="H616" s="6" t="n">
        <v>53</v>
      </c>
      <c r="I616" s="6" t="n">
        <v>0</v>
      </c>
      <c r="J616" s="6" t="n">
        <v>38</v>
      </c>
      <c r="K616" s="6">
        <f>H616+I616</f>
        <v/>
      </c>
      <c r="L616" s="5">
        <f>K616/4.7</f>
        <v/>
      </c>
      <c r="M616" s="6" t="n">
        <v>6.1</v>
      </c>
      <c r="N616" s="6" t="n">
        <v>0.5</v>
      </c>
      <c r="O616" s="6">
        <f>(K616*0.1229+1.05)/4.7</f>
        <v/>
      </c>
      <c r="P616" s="6">
        <f>K616*0.0749/4.7</f>
        <v/>
      </c>
      <c r="Q616" s="5">
        <f>M616+N616+O616+P616</f>
        <v/>
      </c>
      <c r="R616" s="5">
        <f>L616-Q616</f>
        <v/>
      </c>
      <c r="S616" s="6">
        <f>R616*4.7</f>
        <v/>
      </c>
      <c r="T616" s="7">
        <f>IF(L616&gt;0,R616/L616,0)</f>
        <v/>
      </c>
      <c r="U616" s="3" t="inlineStr">
        <is>
          <t>14/05/2026 22:17:50</t>
        </is>
      </c>
    </row>
    <row r="617">
      <c r="A617" s="3" t="inlineStr">
        <is>
          <t>584027198265722615</t>
        </is>
      </c>
      <c r="B617" s="3" t="inlineStr">
        <is>
          <t>已完成</t>
        </is>
      </c>
      <c r="C617" s="3" t="inlineStr">
        <is>
          <t>C1</t>
        </is>
      </c>
      <c r="D617" s="3" t="inlineStr">
        <is>
          <t>魔芋笋1大袋</t>
        </is>
      </c>
      <c r="E6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7" s="3" t="inlineStr">
        <is>
          <t>รสเผ็ดหอม​, 10 ซอง 200g</t>
        </is>
      </c>
      <c r="G617" s="6" t="n">
        <v>1</v>
      </c>
      <c r="H617" s="6" t="n">
        <v>69</v>
      </c>
      <c r="I617" s="6" t="n">
        <v>0</v>
      </c>
      <c r="J617" s="6" t="n">
        <v>38</v>
      </c>
      <c r="K617" s="6">
        <f>H617+I617</f>
        <v/>
      </c>
      <c r="L617" s="5">
        <f>K617/4.7</f>
        <v/>
      </c>
      <c r="M617" s="6" t="n">
        <v>6.699999999999999</v>
      </c>
      <c r="N617" s="6" t="n">
        <v>1</v>
      </c>
      <c r="O617" s="6">
        <f>(K617*0.1229+1.05)/4.7</f>
        <v/>
      </c>
      <c r="P617" s="6">
        <f>K617*0.0749/4.7</f>
        <v/>
      </c>
      <c r="Q617" s="5">
        <f>M617+N617+O617+P617</f>
        <v/>
      </c>
      <c r="R617" s="5">
        <f>L617-Q617</f>
        <v/>
      </c>
      <c r="S617" s="6">
        <f>R617*4.7</f>
        <v/>
      </c>
      <c r="T617" s="7">
        <f>IF(L617&gt;0,R617/L617,0)</f>
        <v/>
      </c>
      <c r="U617" s="3" t="inlineStr">
        <is>
          <t>14/05/2026 22:04:23</t>
        </is>
      </c>
    </row>
    <row r="618">
      <c r="A618" s="3" t="inlineStr">
        <is>
          <t>584027077387323361</t>
        </is>
      </c>
      <c r="B618" s="3" t="inlineStr">
        <is>
          <t>已完成</t>
        </is>
      </c>
      <c r="C618" s="3" t="inlineStr">
        <is>
          <t>C2</t>
        </is>
      </c>
      <c r="D618" s="3" t="inlineStr">
        <is>
          <t>魔芋笋2大袋</t>
        </is>
      </c>
      <c r="E6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8" s="3" t="inlineStr">
        <is>
          <t>รสเผ็ดหอม​, 20 ซอง 400g</t>
        </is>
      </c>
      <c r="G618" s="6" t="n">
        <v>1</v>
      </c>
      <c r="H618" s="6" t="n">
        <v>189</v>
      </c>
      <c r="I618" s="6" t="n">
        <v>0</v>
      </c>
      <c r="J618" s="6" t="n">
        <v>35</v>
      </c>
      <c r="K618" s="6">
        <f>H618+I618</f>
        <v/>
      </c>
      <c r="L618" s="5">
        <f>K618/4.7</f>
        <v/>
      </c>
      <c r="M618" s="6" t="n">
        <v>13.4</v>
      </c>
      <c r="N618" s="6" t="n">
        <v>1</v>
      </c>
      <c r="O618" s="6">
        <f>(K618*0.1229+1.05)/4.7</f>
        <v/>
      </c>
      <c r="P618" s="6">
        <f>K618*0.0749/4.7</f>
        <v/>
      </c>
      <c r="Q618" s="5">
        <f>M618+N618+O618+P618</f>
        <v/>
      </c>
      <c r="R618" s="5">
        <f>L618-Q618</f>
        <v/>
      </c>
      <c r="S618" s="6">
        <f>R618*4.7</f>
        <v/>
      </c>
      <c r="T618" s="7">
        <f>IF(L618&gt;0,R618/L618,0)</f>
        <v/>
      </c>
      <c r="U618" s="3" t="inlineStr">
        <is>
          <t>14/05/2026 21:58:05</t>
        </is>
      </c>
    </row>
    <row r="619">
      <c r="A619" s="3" t="inlineStr">
        <is>
          <t>584027077387323361</t>
        </is>
      </c>
      <c r="B619" s="3" t="inlineStr">
        <is>
          <t>已完成</t>
        </is>
      </c>
      <c r="C619" s="3" t="inlineStr">
        <is>
          <t>B1</t>
        </is>
      </c>
      <c r="D619" s="3" t="inlineStr">
        <is>
          <t>魔芋笋1大袋</t>
        </is>
      </c>
      <c r="E6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9" s="3" t="inlineStr">
        <is>
          <t>รสเปรี้ยวเผ็ด​, 10 ซอง 200g</t>
        </is>
      </c>
      <c r="G619" s="6" t="n">
        <v>1</v>
      </c>
      <c r="H619" s="6" t="n">
        <v>189</v>
      </c>
      <c r="I619" s="6" t="n">
        <v>0</v>
      </c>
      <c r="J619" s="6" t="n">
        <v>35</v>
      </c>
      <c r="K619" s="6">
        <f>H619+I619</f>
        <v/>
      </c>
      <c r="L619" s="5">
        <f>K619/4.7</f>
        <v/>
      </c>
      <c r="M619" s="6" t="n">
        <v>6.699999999999999</v>
      </c>
      <c r="N619" s="6" t="n">
        <v>1</v>
      </c>
      <c r="O619" s="6">
        <f>(K619*0.1229+1.05)/4.7</f>
        <v/>
      </c>
      <c r="P619" s="6">
        <f>K619*0.0749/4.7</f>
        <v/>
      </c>
      <c r="Q619" s="5">
        <f>M619+N619+O619+P619</f>
        <v/>
      </c>
      <c r="R619" s="5">
        <f>L619-Q619</f>
        <v/>
      </c>
      <c r="S619" s="6">
        <f>R619*4.7</f>
        <v/>
      </c>
      <c r="T619" s="7">
        <f>IF(L619&gt;0,R619/L619,0)</f>
        <v/>
      </c>
      <c r="U619" s="3" t="inlineStr">
        <is>
          <t>14/05/2026 21:58:05</t>
        </is>
      </c>
    </row>
    <row r="620">
      <c r="A620" s="3" t="inlineStr">
        <is>
          <t>584027151353218921</t>
        </is>
      </c>
      <c r="B620" s="3" t="inlineStr">
        <is>
          <t>已完成</t>
        </is>
      </c>
      <c r="C620" s="3" t="inlineStr">
        <is>
          <t>ER-B</t>
        </is>
      </c>
      <c r="D620" s="3" t="inlineStr">
        <is>
          <t>广州酒家黄油鸡蛋卷480g</t>
        </is>
      </c>
      <c r="E620" s="3" t="inlineStr">
        <is>
          <t>Egg Roll 2สูตร ทองม้วนไข่กล่องเหล็กพรีเมี่ยม!! GuangZhou Restaurant 454g/480g กล่องล่ะ 24 แท่ง</t>
        </is>
      </c>
      <c r="F620" s="3" t="inlineStr">
        <is>
          <t>Butter สูตรเนยสด พรีเมี่ยม</t>
        </is>
      </c>
      <c r="G620" s="6" t="n">
        <v>2</v>
      </c>
      <c r="H620" s="6" t="n">
        <v>720</v>
      </c>
      <c r="I620" s="6" t="n">
        <v>0</v>
      </c>
      <c r="J620" s="6" t="n">
        <v>29</v>
      </c>
      <c r="K620" s="6">
        <f>H620+I620</f>
        <v/>
      </c>
      <c r="L620" s="5">
        <f>K620/4.7</f>
        <v/>
      </c>
      <c r="M620" s="6" t="n">
        <v>90.99764872703996</v>
      </c>
      <c r="N620" s="6" t="n">
        <v>2</v>
      </c>
      <c r="O620" s="6">
        <f>(K620*0.1229+1.05)/4.7</f>
        <v/>
      </c>
      <c r="P620" s="6">
        <f>K620*0.0749/4.7</f>
        <v/>
      </c>
      <c r="Q620" s="5">
        <f>M620+N620+O620+P620</f>
        <v/>
      </c>
      <c r="R620" s="5">
        <f>L620-Q620</f>
        <v/>
      </c>
      <c r="S620" s="6">
        <f>R620*4.7</f>
        <v/>
      </c>
      <c r="T620" s="7">
        <f>IF(L620&gt;0,R620/L620,0)</f>
        <v/>
      </c>
      <c r="U620" s="3" t="inlineStr">
        <is>
          <t>14/05/2026 21:57:03</t>
        </is>
      </c>
    </row>
    <row r="621">
      <c r="A621" s="3" t="inlineStr">
        <is>
          <t>584024505450202295</t>
        </is>
      </c>
      <c r="B621" s="3" t="inlineStr">
        <is>
          <t>已完成</t>
        </is>
      </c>
      <c r="C621" s="3" t="inlineStr">
        <is>
          <t>C3</t>
        </is>
      </c>
      <c r="D621" s="3" t="inlineStr">
        <is>
          <t>魔芋笋3大袋</t>
        </is>
      </c>
      <c r="E6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1" s="3" t="inlineStr">
        <is>
          <t>รสเผ็ดหอม​, 30 ซอง 600g</t>
        </is>
      </c>
      <c r="G621" s="6" t="n">
        <v>1</v>
      </c>
      <c r="H621" s="6" t="n">
        <v>167</v>
      </c>
      <c r="I621" s="6" t="n">
        <v>0</v>
      </c>
      <c r="J621" s="6" t="n">
        <v>29</v>
      </c>
      <c r="K621" s="6">
        <f>H621+I621</f>
        <v/>
      </c>
      <c r="L621" s="5">
        <f>K621/4.7</f>
        <v/>
      </c>
      <c r="M621" s="6" t="n">
        <v>20.1</v>
      </c>
      <c r="N621" s="6" t="n">
        <v>1</v>
      </c>
      <c r="O621" s="6">
        <f>(K621*0.1229+1.05)/4.7</f>
        <v/>
      </c>
      <c r="P621" s="6">
        <f>K621*0.0749/4.7</f>
        <v/>
      </c>
      <c r="Q621" s="5">
        <f>M621+N621+O621+P621</f>
        <v/>
      </c>
      <c r="R621" s="5">
        <f>L621-Q621</f>
        <v/>
      </c>
      <c r="S621" s="6">
        <f>R621*4.7</f>
        <v/>
      </c>
      <c r="T621" s="7">
        <f>IF(L621&gt;0,R621/L621,0)</f>
        <v/>
      </c>
      <c r="U621" s="3" t="inlineStr">
        <is>
          <t>14/05/2026 19:12:36</t>
        </is>
      </c>
    </row>
    <row r="622">
      <c r="A622" s="3" t="inlineStr">
        <is>
          <t>584023642820478259</t>
        </is>
      </c>
      <c r="B622" s="3" t="inlineStr">
        <is>
          <t>已完成</t>
        </is>
      </c>
      <c r="C622" s="3" t="inlineStr">
        <is>
          <t>C3</t>
        </is>
      </c>
      <c r="D622" s="3" t="inlineStr">
        <is>
          <t>魔芋笋3大袋</t>
        </is>
      </c>
      <c r="E6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2" s="3" t="inlineStr">
        <is>
          <t>รสเผ็ดหอม​, 30 ซอง 600g</t>
        </is>
      </c>
      <c r="G622" s="6" t="n">
        <v>1</v>
      </c>
      <c r="H622" s="6" t="n">
        <v>172</v>
      </c>
      <c r="I622" s="6" t="n">
        <v>0</v>
      </c>
      <c r="J622" s="6" t="n">
        <v>29</v>
      </c>
      <c r="K622" s="6">
        <f>H622+I622</f>
        <v/>
      </c>
      <c r="L622" s="5">
        <f>K622/4.7</f>
        <v/>
      </c>
      <c r="M622" s="6" t="n">
        <v>20.1</v>
      </c>
      <c r="N622" s="6" t="n">
        <v>1</v>
      </c>
      <c r="O622" s="6">
        <f>(K622*0.1229+1.05)/4.7</f>
        <v/>
      </c>
      <c r="P622" s="6">
        <f>K622*0.0749/4.7</f>
        <v/>
      </c>
      <c r="Q622" s="5">
        <f>M622+N622+O622+P622</f>
        <v/>
      </c>
      <c r="R622" s="5">
        <f>L622-Q622</f>
        <v/>
      </c>
      <c r="S622" s="6">
        <f>R622*4.7</f>
        <v/>
      </c>
      <c r="T622" s="7">
        <f>IF(L622&gt;0,R622/L622,0)</f>
        <v/>
      </c>
      <c r="U622" s="3" t="inlineStr">
        <is>
          <t>14/05/2026 18:10:51</t>
        </is>
      </c>
    </row>
    <row r="623">
      <c r="A623" s="3" t="inlineStr">
        <is>
          <t>584022722473067938</t>
        </is>
      </c>
      <c r="B623" s="3" t="inlineStr">
        <is>
          <t>已完成</t>
        </is>
      </c>
      <c r="C623" s="3" t="inlineStr">
        <is>
          <t>C1</t>
        </is>
      </c>
      <c r="D623" s="3" t="inlineStr">
        <is>
          <t>魔芋笋1大袋</t>
        </is>
      </c>
      <c r="E6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3" s="3" t="inlineStr">
        <is>
          <t>รสเผ็ดหอม​, 10 ซอง 200g</t>
        </is>
      </c>
      <c r="G623" s="6" t="n">
        <v>1</v>
      </c>
      <c r="H623" s="6" t="n">
        <v>143</v>
      </c>
      <c r="I623" s="6" t="n">
        <v>0</v>
      </c>
      <c r="J623" s="6" t="n">
        <v>38</v>
      </c>
      <c r="K623" s="6">
        <f>H623+I623</f>
        <v/>
      </c>
      <c r="L623" s="5">
        <f>K623/4.7</f>
        <v/>
      </c>
      <c r="M623" s="6" t="n">
        <v>6.699999999999999</v>
      </c>
      <c r="N623" s="6" t="n">
        <v>1</v>
      </c>
      <c r="O623" s="6">
        <f>(K623*0.1229+1.05)/4.7</f>
        <v/>
      </c>
      <c r="P623" s="6">
        <f>K623*0.0749/4.7</f>
        <v/>
      </c>
      <c r="Q623" s="5">
        <f>M623+N623+O623+P623</f>
        <v/>
      </c>
      <c r="R623" s="5">
        <f>L623-Q623</f>
        <v/>
      </c>
      <c r="S623" s="6">
        <f>R623*4.7</f>
        <v/>
      </c>
      <c r="T623" s="7">
        <f>IF(L623&gt;0,R623/L623,0)</f>
        <v/>
      </c>
      <c r="U623" s="3" t="inlineStr">
        <is>
          <t>14/05/2026 17:00:03</t>
        </is>
      </c>
    </row>
    <row r="624">
      <c r="A624" s="3" t="inlineStr">
        <is>
          <t>584022722473067938</t>
        </is>
      </c>
      <c r="B624" s="3" t="inlineStr">
        <is>
          <t>已完成</t>
        </is>
      </c>
      <c r="C624" s="3" t="inlineStr">
        <is>
          <t>B1</t>
        </is>
      </c>
      <c r="D624" s="3" t="inlineStr">
        <is>
          <t>魔芋笋1大袋</t>
        </is>
      </c>
      <c r="E6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4" s="3" t="inlineStr">
        <is>
          <t>รสเปรี้ยวเผ็ด​, 10 ซอง 200g</t>
        </is>
      </c>
      <c r="G624" s="6" t="n">
        <v>1</v>
      </c>
      <c r="H624" s="6" t="n">
        <v>143</v>
      </c>
      <c r="I624" s="6" t="n">
        <v>0</v>
      </c>
      <c r="J624" s="6" t="n">
        <v>38</v>
      </c>
      <c r="K624" s="6">
        <f>H624+I624</f>
        <v/>
      </c>
      <c r="L624" s="5">
        <f>K624/4.7</f>
        <v/>
      </c>
      <c r="M624" s="6" t="n">
        <v>6.699999999999999</v>
      </c>
      <c r="N624" s="6" t="n">
        <v>1</v>
      </c>
      <c r="O624" s="6">
        <f>(K624*0.1229+1.05)/4.7</f>
        <v/>
      </c>
      <c r="P624" s="6">
        <f>K624*0.0749/4.7</f>
        <v/>
      </c>
      <c r="Q624" s="5">
        <f>M624+N624+O624+P624</f>
        <v/>
      </c>
      <c r="R624" s="5">
        <f>L624-Q624</f>
        <v/>
      </c>
      <c r="S624" s="6">
        <f>R624*4.7</f>
        <v/>
      </c>
      <c r="T624" s="7">
        <f>IF(L624&gt;0,R624/L624,0)</f>
        <v/>
      </c>
      <c r="U624" s="3" t="inlineStr">
        <is>
          <t>14/05/2026 17:00:03</t>
        </is>
      </c>
    </row>
    <row r="625">
      <c r="A625" s="3" t="inlineStr">
        <is>
          <t>584022655667569963</t>
        </is>
      </c>
      <c r="B625" s="3" t="inlineStr">
        <is>
          <t>已完成</t>
        </is>
      </c>
      <c r="C625" s="3" t="inlineStr">
        <is>
          <t>C1</t>
        </is>
      </c>
      <c r="D625" s="3" t="inlineStr">
        <is>
          <t>魔芋笋1大袋</t>
        </is>
      </c>
      <c r="E6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5" s="3" t="inlineStr">
        <is>
          <t>รสเผ็ดหอม​, 10 ซอง 200g</t>
        </is>
      </c>
      <c r="G625" s="6" t="n">
        <v>1</v>
      </c>
      <c r="H625" s="6" t="n">
        <v>69</v>
      </c>
      <c r="I625" s="6" t="n">
        <v>0</v>
      </c>
      <c r="J625" s="6" t="n">
        <v>38</v>
      </c>
      <c r="K625" s="6">
        <f>H625+I625</f>
        <v/>
      </c>
      <c r="L625" s="5">
        <f>K625/4.7</f>
        <v/>
      </c>
      <c r="M625" s="6" t="n">
        <v>6.699999999999999</v>
      </c>
      <c r="N625" s="6" t="n">
        <v>1</v>
      </c>
      <c r="O625" s="6">
        <f>(K625*0.1229+1.05)/4.7</f>
        <v/>
      </c>
      <c r="P625" s="6">
        <f>K625*0.0749/4.7</f>
        <v/>
      </c>
      <c r="Q625" s="5">
        <f>M625+N625+O625+P625</f>
        <v/>
      </c>
      <c r="R625" s="5">
        <f>L625-Q625</f>
        <v/>
      </c>
      <c r="S625" s="6">
        <f>R625*4.7</f>
        <v/>
      </c>
      <c r="T625" s="7">
        <f>IF(L625&gt;0,R625/L625,0)</f>
        <v/>
      </c>
      <c r="U625" s="3" t="inlineStr">
        <is>
          <t>14/05/2026 16:54:44</t>
        </is>
      </c>
    </row>
    <row r="626">
      <c r="A626" s="3" t="inlineStr">
        <is>
          <t>584022571487889392</t>
        </is>
      </c>
      <c r="B626" s="3" t="inlineStr">
        <is>
          <t>已完成</t>
        </is>
      </c>
      <c r="C626" s="3" t="inlineStr">
        <is>
          <t>C5s</t>
        </is>
      </c>
      <c r="D626" s="3" t="inlineStr">
        <is>
          <t>香辣味魔芋笋5小袋</t>
        </is>
      </c>
      <c r="E6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6" s="3" t="inlineStr">
        <is>
          <t>รสเผ็ดหอม​, 5 ซอง 100g</t>
        </is>
      </c>
      <c r="G626" s="6" t="n">
        <v>1</v>
      </c>
      <c r="H626" s="6" t="n">
        <v>124</v>
      </c>
      <c r="I626" s="6" t="n">
        <v>0</v>
      </c>
      <c r="J626" s="6" t="n">
        <v>35</v>
      </c>
      <c r="K626" s="6">
        <f>H626+I626</f>
        <v/>
      </c>
      <c r="L626" s="5">
        <f>K626/4.7</f>
        <v/>
      </c>
      <c r="M626" s="6" t="n">
        <v>3.35</v>
      </c>
      <c r="N626" s="6" t="n">
        <v>1</v>
      </c>
      <c r="O626" s="6">
        <f>(K626*0.1229+1.05)/4.7</f>
        <v/>
      </c>
      <c r="P626" s="6">
        <f>K626*0.0749/4.7</f>
        <v/>
      </c>
      <c r="Q626" s="5">
        <f>M626+N626+O626+P626</f>
        <v/>
      </c>
      <c r="R626" s="5">
        <f>L626-Q626</f>
        <v/>
      </c>
      <c r="S626" s="6">
        <f>R626*4.7</f>
        <v/>
      </c>
      <c r="T626" s="7">
        <f>IF(L626&gt;0,R626/L626,0)</f>
        <v/>
      </c>
      <c r="U626" s="3" t="inlineStr">
        <is>
          <t>14/05/2026 16:50:21</t>
        </is>
      </c>
    </row>
    <row r="627">
      <c r="A627" s="3" t="inlineStr">
        <is>
          <t>584022571487889392</t>
        </is>
      </c>
      <c r="B627" s="3" t="inlineStr">
        <is>
          <t>已完成</t>
        </is>
      </c>
      <c r="C627" s="3" t="inlineStr">
        <is>
          <t>C1</t>
        </is>
      </c>
      <c r="D627" s="3" t="inlineStr">
        <is>
          <t>魔芋笋1大袋</t>
        </is>
      </c>
      <c r="E6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7" s="3" t="inlineStr">
        <is>
          <t>รสเผ็ดหอม​, 10 ซอง 200g</t>
        </is>
      </c>
      <c r="G627" s="6" t="n">
        <v>1</v>
      </c>
      <c r="H627" s="6" t="n">
        <v>124</v>
      </c>
      <c r="I627" s="6" t="n">
        <v>0</v>
      </c>
      <c r="J627" s="6" t="n">
        <v>35</v>
      </c>
      <c r="K627" s="6">
        <f>H627+I627</f>
        <v/>
      </c>
      <c r="L627" s="5">
        <f>K627/4.7</f>
        <v/>
      </c>
      <c r="M627" s="6" t="n">
        <v>6.699999999999999</v>
      </c>
      <c r="N627" s="6" t="n">
        <v>1</v>
      </c>
      <c r="O627" s="6">
        <f>(K627*0.1229+1.05)/4.7</f>
        <v/>
      </c>
      <c r="P627" s="6">
        <f>K627*0.0749/4.7</f>
        <v/>
      </c>
      <c r="Q627" s="5">
        <f>M627+N627+O627+P627</f>
        <v/>
      </c>
      <c r="R627" s="5">
        <f>L627-Q627</f>
        <v/>
      </c>
      <c r="S627" s="6">
        <f>R627*4.7</f>
        <v/>
      </c>
      <c r="T627" s="7">
        <f>IF(L627&gt;0,R627/L627,0)</f>
        <v/>
      </c>
      <c r="U627" s="3" t="inlineStr">
        <is>
          <t>14/05/2026 16:50:21</t>
        </is>
      </c>
    </row>
    <row r="628">
      <c r="A628" s="3" t="inlineStr">
        <is>
          <t>584021555705578593</t>
        </is>
      </c>
      <c r="B628" s="3" t="inlineStr">
        <is>
          <t>已取消</t>
        </is>
      </c>
      <c r="C628" s="3" t="inlineStr">
        <is>
          <t>CK</t>
        </is>
      </c>
      <c r="D628" s="3" t="inlineStr">
        <is>
          <t>黑松露黑麦苏打饼干</t>
        </is>
      </c>
      <c r="E62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28" s="3" t="inlineStr">
        <is>
          <t>ค่าเริ่มต้น</t>
        </is>
      </c>
      <c r="G628" s="6" t="n">
        <v>1</v>
      </c>
      <c r="H628" s="6" t="n">
        <v>100</v>
      </c>
      <c r="I628" s="6" t="n">
        <v>0</v>
      </c>
      <c r="J628" s="6" t="n">
        <v>30</v>
      </c>
      <c r="K628" s="6">
        <f>H628+I628</f>
        <v/>
      </c>
      <c r="L628" s="5">
        <f>K628/4.7</f>
        <v/>
      </c>
      <c r="M628" s="6" t="n">
        <v>10.72665050209467</v>
      </c>
      <c r="N628" s="6" t="n">
        <v>1</v>
      </c>
      <c r="O628" s="6">
        <f>(K628*0.1229+1.05)/4.7</f>
        <v/>
      </c>
      <c r="P628" s="6">
        <f>K628*0.0749/4.7</f>
        <v/>
      </c>
      <c r="Q628" s="5">
        <f>M628+N628+O628+P628</f>
        <v/>
      </c>
      <c r="R628" s="5">
        <f>L628-Q628</f>
        <v/>
      </c>
      <c r="S628" s="6">
        <f>R628*4.7</f>
        <v/>
      </c>
      <c r="T628" s="7">
        <f>IF(L628&gt;0,R628/L628,0)</f>
        <v/>
      </c>
      <c r="U628" s="3" t="inlineStr">
        <is>
          <t>14/05/2026 15:19:54</t>
        </is>
      </c>
    </row>
    <row r="629">
      <c r="A629" s="3" t="inlineStr">
        <is>
          <t>584021481626108989</t>
        </is>
      </c>
      <c r="B629" s="3" t="inlineStr">
        <is>
          <t>已完成</t>
        </is>
      </c>
      <c r="C629" s="3" t="inlineStr">
        <is>
          <t>CK</t>
        </is>
      </c>
      <c r="D629" s="3" t="inlineStr">
        <is>
          <t>黑松露黑麦苏打饼干</t>
        </is>
      </c>
      <c r="E62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29" s="3" t="inlineStr">
        <is>
          <t>ค่าเริ่มต้น</t>
        </is>
      </c>
      <c r="G629" s="6" t="n">
        <v>1</v>
      </c>
      <c r="H629" s="6" t="n">
        <v>124.25</v>
      </c>
      <c r="I629" s="6" t="n">
        <v>15.75</v>
      </c>
      <c r="J629" s="6" t="n">
        <v>0</v>
      </c>
      <c r="K629" s="6">
        <f>H629+I629</f>
        <v/>
      </c>
      <c r="L629" s="5">
        <f>K629/4.7</f>
        <v/>
      </c>
      <c r="M629" s="6" t="n">
        <v>10.72665050209467</v>
      </c>
      <c r="N629" s="6" t="n">
        <v>1</v>
      </c>
      <c r="O629" s="6">
        <f>(K629*0.1229+1.05)/4.7</f>
        <v/>
      </c>
      <c r="P629" s="6">
        <f>K629*0.0749/4.7</f>
        <v/>
      </c>
      <c r="Q629" s="5">
        <f>M629+N629+O629+P629</f>
        <v/>
      </c>
      <c r="R629" s="5">
        <f>L629-Q629</f>
        <v/>
      </c>
      <c r="S629" s="6">
        <f>R629*4.7</f>
        <v/>
      </c>
      <c r="T629" s="7">
        <f>IF(L629&gt;0,R629/L629,0)</f>
        <v/>
      </c>
      <c r="U629" s="3" t="inlineStr">
        <is>
          <t>14/05/2026 15:18:36</t>
        </is>
      </c>
    </row>
    <row r="630">
      <c r="A630" s="3" t="inlineStr">
        <is>
          <t>584020938171581595</t>
        </is>
      </c>
      <c r="B630" s="3" t="inlineStr">
        <is>
          <t>已完成</t>
        </is>
      </c>
      <c r="C630" s="3" t="inlineStr">
        <is>
          <t>CK</t>
        </is>
      </c>
      <c r="D630" s="3" t="inlineStr">
        <is>
          <t>黑松露黑麦苏打饼干</t>
        </is>
      </c>
      <c r="E63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0" s="3" t="inlineStr">
        <is>
          <t>ค่าเริ่มต้น</t>
        </is>
      </c>
      <c r="G630" s="6" t="n">
        <v>1</v>
      </c>
      <c r="H630" s="6" t="n">
        <v>85</v>
      </c>
      <c r="I630" s="6" t="n">
        <v>15</v>
      </c>
      <c r="J630" s="6" t="n">
        <v>35</v>
      </c>
      <c r="K630" s="6">
        <f>H630+I630</f>
        <v/>
      </c>
      <c r="L630" s="5">
        <f>K630/4.7</f>
        <v/>
      </c>
      <c r="M630" s="6" t="n">
        <v>10.72665050209467</v>
      </c>
      <c r="N630" s="6" t="n">
        <v>1</v>
      </c>
      <c r="O630" s="6">
        <f>(K630*0.1229+1.05)/4.7</f>
        <v/>
      </c>
      <c r="P630" s="6">
        <f>K630*0.0749/4.7</f>
        <v/>
      </c>
      <c r="Q630" s="5">
        <f>M630+N630+O630+P630</f>
        <v/>
      </c>
      <c r="R630" s="5">
        <f>L630-Q630</f>
        <v/>
      </c>
      <c r="S630" s="6">
        <f>R630*4.7</f>
        <v/>
      </c>
      <c r="T630" s="7">
        <f>IF(L630&gt;0,R630/L630,0)</f>
        <v/>
      </c>
      <c r="U630" s="3" t="inlineStr">
        <is>
          <t>14/05/2026 14:38:28</t>
        </is>
      </c>
    </row>
    <row r="631">
      <c r="A631" s="3" t="inlineStr">
        <is>
          <t>584020502956377919</t>
        </is>
      </c>
      <c r="B631" s="3" t="inlineStr">
        <is>
          <t>已完成</t>
        </is>
      </c>
      <c r="C631" s="3" t="inlineStr">
        <is>
          <t>CK</t>
        </is>
      </c>
      <c r="D631" s="3" t="inlineStr">
        <is>
          <t>黑松露黑麦苏打饼干</t>
        </is>
      </c>
      <c r="E63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1" s="3" t="inlineStr">
        <is>
          <t>ค่าเริ่มต้น</t>
        </is>
      </c>
      <c r="G631" s="6" t="n">
        <v>1</v>
      </c>
      <c r="H631" s="6" t="n">
        <v>138</v>
      </c>
      <c r="I631" s="6" t="n">
        <v>0</v>
      </c>
      <c r="J631" s="6" t="n">
        <v>0</v>
      </c>
      <c r="K631" s="6">
        <f>H631+I631</f>
        <v/>
      </c>
      <c r="L631" s="5">
        <f>K631/4.7</f>
        <v/>
      </c>
      <c r="M631" s="6" t="n">
        <v>10.72665050209467</v>
      </c>
      <c r="N631" s="6" t="n">
        <v>1</v>
      </c>
      <c r="O631" s="6">
        <f>(K631*0.1229+1.05)/4.7</f>
        <v/>
      </c>
      <c r="P631" s="6">
        <f>K631*0.0749/4.7</f>
        <v/>
      </c>
      <c r="Q631" s="5">
        <f>M631+N631+O631+P631</f>
        <v/>
      </c>
      <c r="R631" s="5">
        <f>L631-Q631</f>
        <v/>
      </c>
      <c r="S631" s="6">
        <f>R631*4.7</f>
        <v/>
      </c>
      <c r="T631" s="7">
        <f>IF(L631&gt;0,R631/L631,0)</f>
        <v/>
      </c>
      <c r="U631" s="3" t="inlineStr">
        <is>
          <t>14/05/2026 14:05:50</t>
        </is>
      </c>
    </row>
    <row r="632">
      <c r="A632" s="3" t="inlineStr">
        <is>
          <t>584020281204376760</t>
        </is>
      </c>
      <c r="B632" s="3" t="inlineStr">
        <is>
          <t>已完成</t>
        </is>
      </c>
      <c r="C632" s="3" t="inlineStr">
        <is>
          <t>CK</t>
        </is>
      </c>
      <c r="D632" s="3" t="inlineStr">
        <is>
          <t>黑松露黑麦苏打饼干</t>
        </is>
      </c>
      <c r="E63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2" s="3" t="inlineStr">
        <is>
          <t>ค่าเริ่มต้น</t>
        </is>
      </c>
      <c r="G632" s="6" t="n">
        <v>1</v>
      </c>
      <c r="H632" s="6" t="n">
        <v>1</v>
      </c>
      <c r="I632" s="6" t="n">
        <v>99</v>
      </c>
      <c r="J632" s="6" t="n">
        <v>35</v>
      </c>
      <c r="K632" s="6">
        <f>H632+I632</f>
        <v/>
      </c>
      <c r="L632" s="5">
        <f>K632/4.7</f>
        <v/>
      </c>
      <c r="M632" s="6" t="n">
        <v>10.72665050209467</v>
      </c>
      <c r="N632" s="6" t="n">
        <v>1</v>
      </c>
      <c r="O632" s="6">
        <f>(K632*0.1229+1.05)/4.7</f>
        <v/>
      </c>
      <c r="P632" s="6">
        <f>K632*0.0749/4.7</f>
        <v/>
      </c>
      <c r="Q632" s="5">
        <f>M632+N632+O632+P632</f>
        <v/>
      </c>
      <c r="R632" s="5">
        <f>L632-Q632</f>
        <v/>
      </c>
      <c r="S632" s="6">
        <f>R632*4.7</f>
        <v/>
      </c>
      <c r="T632" s="7">
        <f>IF(L632&gt;0,R632/L632,0)</f>
        <v/>
      </c>
      <c r="U632" s="3" t="inlineStr">
        <is>
          <t>14/05/2026 13:52:22</t>
        </is>
      </c>
    </row>
    <row r="633">
      <c r="A633" s="3" t="inlineStr">
        <is>
          <t>584020280232936724</t>
        </is>
      </c>
      <c r="B633" s="3" t="inlineStr">
        <is>
          <t>已完成</t>
        </is>
      </c>
      <c r="C633" s="3" t="inlineStr">
        <is>
          <t>CK</t>
        </is>
      </c>
      <c r="D633" s="3" t="inlineStr">
        <is>
          <t>黑松露黑麦苏打饼干</t>
        </is>
      </c>
      <c r="E63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3" s="3" t="inlineStr">
        <is>
          <t>ค่าเริ่มต้น</t>
        </is>
      </c>
      <c r="G633" s="6" t="n">
        <v>1</v>
      </c>
      <c r="H633" s="6" t="n">
        <v>55</v>
      </c>
      <c r="I633" s="6" t="n">
        <v>50</v>
      </c>
      <c r="J633" s="6" t="n">
        <v>38</v>
      </c>
      <c r="K633" s="6">
        <f>H633+I633</f>
        <v/>
      </c>
      <c r="L633" s="5">
        <f>K633/4.7</f>
        <v/>
      </c>
      <c r="M633" s="6" t="n">
        <v>10.72665050209467</v>
      </c>
      <c r="N633" s="6" t="n">
        <v>1</v>
      </c>
      <c r="O633" s="6">
        <f>(K633*0.1229+1.05)/4.7</f>
        <v/>
      </c>
      <c r="P633" s="6">
        <f>K633*0.0749/4.7</f>
        <v/>
      </c>
      <c r="Q633" s="5">
        <f>M633+N633+O633+P633</f>
        <v/>
      </c>
      <c r="R633" s="5">
        <f>L633-Q633</f>
        <v/>
      </c>
      <c r="S633" s="6">
        <f>R633*4.7</f>
        <v/>
      </c>
      <c r="T633" s="7">
        <f>IF(L633&gt;0,R633/L633,0)</f>
        <v/>
      </c>
      <c r="U633" s="3" t="inlineStr">
        <is>
          <t>14/05/2026 13:51:20</t>
        </is>
      </c>
    </row>
    <row r="634">
      <c r="A634" s="3" t="inlineStr">
        <is>
          <t>584020115267683784</t>
        </is>
      </c>
      <c r="B634" s="3" t="inlineStr">
        <is>
          <t>已完成</t>
        </is>
      </c>
      <c r="C634" s="3" t="inlineStr">
        <is>
          <t>CK</t>
        </is>
      </c>
      <c r="D634" s="3" t="inlineStr">
        <is>
          <t>黑松露黑麦苏打饼干</t>
        </is>
      </c>
      <c r="E63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4" s="3" t="inlineStr">
        <is>
          <t>ค่าเริ่มต้น</t>
        </is>
      </c>
      <c r="G634" s="6" t="n">
        <v>1</v>
      </c>
      <c r="H634" s="6" t="n">
        <v>84</v>
      </c>
      <c r="I634" s="6" t="n">
        <v>16</v>
      </c>
      <c r="J634" s="6" t="n">
        <v>35</v>
      </c>
      <c r="K634" s="6">
        <f>H634+I634</f>
        <v/>
      </c>
      <c r="L634" s="5">
        <f>K634/4.7</f>
        <v/>
      </c>
      <c r="M634" s="6" t="n">
        <v>10.72665050209467</v>
      </c>
      <c r="N634" s="6" t="n">
        <v>1</v>
      </c>
      <c r="O634" s="6">
        <f>(K634*0.1229+1.05)/4.7</f>
        <v/>
      </c>
      <c r="P634" s="6">
        <f>K634*0.0749/4.7</f>
        <v/>
      </c>
      <c r="Q634" s="5">
        <f>M634+N634+O634+P634</f>
        <v/>
      </c>
      <c r="R634" s="5">
        <f>L634-Q634</f>
        <v/>
      </c>
      <c r="S634" s="6">
        <f>R634*4.7</f>
        <v/>
      </c>
      <c r="T634" s="7">
        <f>IF(L634&gt;0,R634/L634,0)</f>
        <v/>
      </c>
      <c r="U634" s="3" t="inlineStr">
        <is>
          <t>14/05/2026 13:38:50</t>
        </is>
      </c>
    </row>
    <row r="635">
      <c r="A635" s="3" t="inlineStr">
        <is>
          <t>584019757668861341</t>
        </is>
      </c>
      <c r="B635" s="3" t="inlineStr">
        <is>
          <t>已取消</t>
        </is>
      </c>
      <c r="C635" s="3" t="inlineStr">
        <is>
          <t>Js6</t>
        </is>
      </c>
      <c r="D635" s="3" t="inlineStr">
        <is>
          <t>果冻6个</t>
        </is>
      </c>
      <c r="E635" s="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35" s="3" t="inlineStr">
        <is>
          <t>ชุดทดลอง(จำกัด50ชุดแรก!)1ชุด 6ชิ้น คละ3รส</t>
        </is>
      </c>
      <c r="G635" s="6" t="n">
        <v>1</v>
      </c>
      <c r="H635" s="6" t="n">
        <v>31.28</v>
      </c>
      <c r="I635" s="6" t="n">
        <v>8.720000000000001</v>
      </c>
      <c r="J635" s="6" t="n">
        <v>35</v>
      </c>
      <c r="K635" s="6">
        <f>H635+I635</f>
        <v/>
      </c>
      <c r="L635" s="5">
        <f>K635/4.7</f>
        <v/>
      </c>
      <c r="M635" s="6" t="n">
        <v>4</v>
      </c>
      <c r="N635" s="6" t="n">
        <v>0.5</v>
      </c>
      <c r="O635" s="6">
        <f>(K635*0.1229+1.05)/4.7</f>
        <v/>
      </c>
      <c r="P635" s="6">
        <f>K635*0.0749/4.7</f>
        <v/>
      </c>
      <c r="Q635" s="5">
        <f>M635+N635+O635+P635</f>
        <v/>
      </c>
      <c r="R635" s="5">
        <f>L635-Q635</f>
        <v/>
      </c>
      <c r="S635" s="6">
        <f>R635*4.7</f>
        <v/>
      </c>
      <c r="T635" s="7">
        <f>IF(L635&gt;0,R635/L635,0)</f>
        <v/>
      </c>
      <c r="U635" s="3" t="inlineStr">
        <is>
          <t>14/05/2026 13:12:24</t>
        </is>
      </c>
    </row>
    <row r="636">
      <c r="A636" s="3" t="inlineStr">
        <is>
          <t>584019591187760541</t>
        </is>
      </c>
      <c r="B636" s="3" t="inlineStr">
        <is>
          <t>已完成</t>
        </is>
      </c>
      <c r="C636" s="3" t="inlineStr">
        <is>
          <t>Js6</t>
        </is>
      </c>
      <c r="D636" s="3" t="inlineStr">
        <is>
          <t>果冻6个</t>
        </is>
      </c>
      <c r="E636" s="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36" s="3" t="inlineStr">
        <is>
          <t>ชุดทดลอง(จำกัด50ชุดแรก!)1ชุด 6ชิ้น คละ3รส</t>
        </is>
      </c>
      <c r="G636" s="6" t="n">
        <v>1</v>
      </c>
      <c r="H636" s="6" t="n">
        <v>36.8</v>
      </c>
      <c r="I636" s="6" t="n">
        <v>3.2</v>
      </c>
      <c r="J636" s="6" t="n">
        <v>35</v>
      </c>
      <c r="K636" s="6">
        <f>H636+I636</f>
        <v/>
      </c>
      <c r="L636" s="5">
        <f>K636/4.7</f>
        <v/>
      </c>
      <c r="M636" s="6" t="n">
        <v>4</v>
      </c>
      <c r="N636" s="6" t="n">
        <v>0.5</v>
      </c>
      <c r="O636" s="6">
        <f>(K636*0.1229+1.05)/4.7</f>
        <v/>
      </c>
      <c r="P636" s="6">
        <f>K636*0.0749/4.7</f>
        <v/>
      </c>
      <c r="Q636" s="5">
        <f>M636+N636+O636+P636</f>
        <v/>
      </c>
      <c r="R636" s="5">
        <f>L636-Q636</f>
        <v/>
      </c>
      <c r="S636" s="6">
        <f>R636*4.7</f>
        <v/>
      </c>
      <c r="T636" s="7">
        <f>IF(L636&gt;0,R636/L636,0)</f>
        <v/>
      </c>
      <c r="U636" s="3" t="inlineStr">
        <is>
          <t>14/05/2026 13:01:13</t>
        </is>
      </c>
    </row>
    <row r="637">
      <c r="A637" s="3" t="inlineStr">
        <is>
          <t>584017711338259521</t>
        </is>
      </c>
      <c r="B637" s="3" t="inlineStr">
        <is>
          <t>已完成</t>
        </is>
      </c>
      <c r="C637" s="3" t="inlineStr">
        <is>
          <t>CK</t>
        </is>
      </c>
      <c r="D637" s="3" t="inlineStr">
        <is>
          <t>黑松露黑麦苏打饼干</t>
        </is>
      </c>
      <c r="E63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7" s="3" t="inlineStr">
        <is>
          <t>ค่าเริ่มต้น</t>
        </is>
      </c>
      <c r="G637" s="6" t="n">
        <v>1</v>
      </c>
      <c r="H637" s="6" t="n">
        <v>50</v>
      </c>
      <c r="I637" s="6" t="n">
        <v>50</v>
      </c>
      <c r="J637" s="6" t="n">
        <v>30</v>
      </c>
      <c r="K637" s="6">
        <f>H637+I637</f>
        <v/>
      </c>
      <c r="L637" s="5">
        <f>K637/4.7</f>
        <v/>
      </c>
      <c r="M637" s="6" t="n">
        <v>10.72665050209467</v>
      </c>
      <c r="N637" s="6" t="n">
        <v>1</v>
      </c>
      <c r="O637" s="6">
        <f>(K637*0.1229+1.05)/4.7</f>
        <v/>
      </c>
      <c r="P637" s="6">
        <f>K637*0.0749/4.7</f>
        <v/>
      </c>
      <c r="Q637" s="5">
        <f>M637+N637+O637+P637</f>
        <v/>
      </c>
      <c r="R637" s="5">
        <f>L637-Q637</f>
        <v/>
      </c>
      <c r="S637" s="6">
        <f>R637*4.7</f>
        <v/>
      </c>
      <c r="T637" s="7">
        <f>IF(L637&gt;0,R637/L637,0)</f>
        <v/>
      </c>
      <c r="U637" s="3" t="inlineStr">
        <is>
          <t>14/05/2026 10:51:39</t>
        </is>
      </c>
    </row>
    <row r="638">
      <c r="A638" s="3" t="inlineStr">
        <is>
          <t>584016478976575051</t>
        </is>
      </c>
      <c r="B638" s="3" t="inlineStr">
        <is>
          <t>已完成</t>
        </is>
      </c>
      <c r="C638" s="3" t="inlineStr">
        <is>
          <t>CK</t>
        </is>
      </c>
      <c r="D638" s="3" t="inlineStr">
        <is>
          <t>黑松露黑麦苏打饼干</t>
        </is>
      </c>
      <c r="E63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8" s="3" t="inlineStr">
        <is>
          <t>ค่าเริ่มต้น</t>
        </is>
      </c>
      <c r="G638" s="6" t="n">
        <v>1</v>
      </c>
      <c r="H638" s="6" t="n">
        <v>64.40000000000001</v>
      </c>
      <c r="I638" s="6" t="n">
        <v>35.6</v>
      </c>
      <c r="J638" s="6" t="n">
        <v>35</v>
      </c>
      <c r="K638" s="6">
        <f>H638+I638</f>
        <v/>
      </c>
      <c r="L638" s="5">
        <f>K638/4.7</f>
        <v/>
      </c>
      <c r="M638" s="6" t="n">
        <v>10.72665050209467</v>
      </c>
      <c r="N638" s="6" t="n">
        <v>1</v>
      </c>
      <c r="O638" s="6">
        <f>(K638*0.1229+1.05)/4.7</f>
        <v/>
      </c>
      <c r="P638" s="6">
        <f>K638*0.0749/4.7</f>
        <v/>
      </c>
      <c r="Q638" s="5">
        <f>M638+N638+O638+P638</f>
        <v/>
      </c>
      <c r="R638" s="5">
        <f>L638-Q638</f>
        <v/>
      </c>
      <c r="S638" s="6">
        <f>R638*4.7</f>
        <v/>
      </c>
      <c r="T638" s="7">
        <f>IF(L638&gt;0,R638/L638,0)</f>
        <v/>
      </c>
      <c r="U638" s="3" t="inlineStr">
        <is>
          <t>14/05/2026 09:14:59</t>
        </is>
      </c>
    </row>
    <row r="639">
      <c r="A639" s="3" t="inlineStr">
        <is>
          <t>584015486241113746</t>
        </is>
      </c>
      <c r="B639" s="3" t="inlineStr">
        <is>
          <t>已完成</t>
        </is>
      </c>
      <c r="C639" s="3" t="inlineStr">
        <is>
          <t>CK</t>
        </is>
      </c>
      <c r="D639" s="3" t="inlineStr">
        <is>
          <t>黑松露黑麦苏打饼干</t>
        </is>
      </c>
      <c r="E63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39" s="3" t="inlineStr">
        <is>
          <t>ค่าเริ่มต้น</t>
        </is>
      </c>
      <c r="G639" s="6" t="n">
        <v>1</v>
      </c>
      <c r="H639" s="6" t="n">
        <v>100</v>
      </c>
      <c r="I639" s="6" t="n">
        <v>0</v>
      </c>
      <c r="J639" s="6" t="n">
        <v>38</v>
      </c>
      <c r="K639" s="6">
        <f>H639+I639</f>
        <v/>
      </c>
      <c r="L639" s="5">
        <f>K639/4.7</f>
        <v/>
      </c>
      <c r="M639" s="6" t="n">
        <v>10.72665050209467</v>
      </c>
      <c r="N639" s="6" t="n">
        <v>1</v>
      </c>
      <c r="O639" s="6">
        <f>(K639*0.1229+1.05)/4.7</f>
        <v/>
      </c>
      <c r="P639" s="6">
        <f>K639*0.0749/4.7</f>
        <v/>
      </c>
      <c r="Q639" s="5">
        <f>M639+N639+O639+P639</f>
        <v/>
      </c>
      <c r="R639" s="5">
        <f>L639-Q639</f>
        <v/>
      </c>
      <c r="S639" s="6">
        <f>R639*4.7</f>
        <v/>
      </c>
      <c r="T639" s="7">
        <f>IF(L639&gt;0,R639/L639,0)</f>
        <v/>
      </c>
      <c r="U639" s="3" t="inlineStr">
        <is>
          <t>14/05/2026 07:56:51</t>
        </is>
      </c>
    </row>
    <row r="640">
      <c r="A640" s="3" t="inlineStr">
        <is>
          <t>584015059757795211</t>
        </is>
      </c>
      <c r="B640" s="3" t="inlineStr">
        <is>
          <t>已完成</t>
        </is>
      </c>
      <c r="C640" s="3" t="inlineStr">
        <is>
          <t>CK</t>
        </is>
      </c>
      <c r="D640" s="3" t="inlineStr">
        <is>
          <t>黑松露黑麦苏打饼干</t>
        </is>
      </c>
      <c r="E64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40" s="3" t="inlineStr">
        <is>
          <t>ค่าเริ่มต้น</t>
        </is>
      </c>
      <c r="G640" s="6" t="n">
        <v>1</v>
      </c>
      <c r="H640" s="6" t="n">
        <v>50.6</v>
      </c>
      <c r="I640" s="6" t="n">
        <v>54.4</v>
      </c>
      <c r="J640" s="6" t="n">
        <v>38</v>
      </c>
      <c r="K640" s="6">
        <f>H640+I640</f>
        <v/>
      </c>
      <c r="L640" s="5">
        <f>K640/4.7</f>
        <v/>
      </c>
      <c r="M640" s="6" t="n">
        <v>10.72665050209467</v>
      </c>
      <c r="N640" s="6" t="n">
        <v>1</v>
      </c>
      <c r="O640" s="6">
        <f>(K640*0.1229+1.05)/4.7</f>
        <v/>
      </c>
      <c r="P640" s="6">
        <f>K640*0.0749/4.7</f>
        <v/>
      </c>
      <c r="Q640" s="5">
        <f>M640+N640+O640+P640</f>
        <v/>
      </c>
      <c r="R640" s="5">
        <f>L640-Q640</f>
        <v/>
      </c>
      <c r="S640" s="6">
        <f>R640*4.7</f>
        <v/>
      </c>
      <c r="T640" s="7">
        <f>IF(L640&gt;0,R640/L640,0)</f>
        <v/>
      </c>
      <c r="U640" s="3" t="inlineStr">
        <is>
          <t>14/05/2026 07:09:52</t>
        </is>
      </c>
    </row>
    <row r="641">
      <c r="A641" s="3" t="inlineStr">
        <is>
          <t>584013568055084713</t>
        </is>
      </c>
      <c r="B641" s="3" t="inlineStr">
        <is>
          <t>已完成</t>
        </is>
      </c>
      <c r="C641" s="3" t="inlineStr">
        <is>
          <t>ER-B</t>
        </is>
      </c>
      <c r="D641" s="3" t="inlineStr">
        <is>
          <t>广州酒家黄油鸡蛋卷480g</t>
        </is>
      </c>
      <c r="E641" s="3" t="inlineStr">
        <is>
          <t>Egg Roll 2สูตร ทองม้วนไข่กล่องเหล็กพรีเมี่ยม!! GuangZhou Restaurant 454g/480g กล่องล่ะ 24 แท่ง</t>
        </is>
      </c>
      <c r="F641" s="3" t="inlineStr">
        <is>
          <t>Butter สูตรเนยสด พรีเมี่ยม</t>
        </is>
      </c>
      <c r="G641" s="6" t="n">
        <v>1</v>
      </c>
      <c r="H641" s="6" t="n">
        <v>255</v>
      </c>
      <c r="I641" s="6" t="n">
        <v>100</v>
      </c>
      <c r="J641" s="6" t="n">
        <v>38</v>
      </c>
      <c r="K641" s="6">
        <f>H641+I641</f>
        <v/>
      </c>
      <c r="L641" s="5">
        <f>K641/4.7</f>
        <v/>
      </c>
      <c r="M641" s="6" t="n">
        <v>45.49882436351998</v>
      </c>
      <c r="N641" s="6" t="n">
        <v>2</v>
      </c>
      <c r="O641" s="6">
        <f>(K641*0.1229+1.05)/4.7</f>
        <v/>
      </c>
      <c r="P641" s="6">
        <f>K641*0.0749/4.7</f>
        <v/>
      </c>
      <c r="Q641" s="5">
        <f>M641+N641+O641+P641</f>
        <v/>
      </c>
      <c r="R641" s="5">
        <f>L641-Q641</f>
        <v/>
      </c>
      <c r="S641" s="6">
        <f>R641*4.7</f>
        <v/>
      </c>
      <c r="T641" s="7">
        <f>IF(L641&gt;0,R641/L641,0)</f>
        <v/>
      </c>
      <c r="U641" s="3" t="inlineStr">
        <is>
          <t>14/05/2026 02:03:17</t>
        </is>
      </c>
    </row>
    <row r="642">
      <c r="A642" s="3" t="inlineStr">
        <is>
          <t>584013528613422099</t>
        </is>
      </c>
      <c r="B642" s="3" t="inlineStr">
        <is>
          <t>已完成</t>
        </is>
      </c>
      <c r="C642" s="3" t="inlineStr">
        <is>
          <t>C1</t>
        </is>
      </c>
      <c r="D642" s="3" t="inlineStr">
        <is>
          <t>魔芋笋1大袋</t>
        </is>
      </c>
      <c r="E6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2" s="3" t="inlineStr">
        <is>
          <t>รสเผ็ดหอม​, 10 ซอง 200g</t>
        </is>
      </c>
      <c r="G642" s="6" t="n">
        <v>1</v>
      </c>
      <c r="H642" s="6" t="n">
        <v>69</v>
      </c>
      <c r="I642" s="6" t="n">
        <v>0</v>
      </c>
      <c r="J642" s="6" t="n">
        <v>35</v>
      </c>
      <c r="K642" s="6">
        <f>H642+I642</f>
        <v/>
      </c>
      <c r="L642" s="5">
        <f>K642/4.7</f>
        <v/>
      </c>
      <c r="M642" s="6" t="n">
        <v>6.699999999999999</v>
      </c>
      <c r="N642" s="6" t="n">
        <v>1</v>
      </c>
      <c r="O642" s="6">
        <f>(K642*0.1229+1.05)/4.7</f>
        <v/>
      </c>
      <c r="P642" s="6">
        <f>K642*0.0749/4.7</f>
        <v/>
      </c>
      <c r="Q642" s="5">
        <f>M642+N642+O642+P642</f>
        <v/>
      </c>
      <c r="R642" s="5">
        <f>L642-Q642</f>
        <v/>
      </c>
      <c r="S642" s="6">
        <f>R642*4.7</f>
        <v/>
      </c>
      <c r="T642" s="7">
        <f>IF(L642&gt;0,R642/L642,0)</f>
        <v/>
      </c>
      <c r="U642" s="3" t="inlineStr">
        <is>
          <t>14/05/2026 01:54:34</t>
        </is>
      </c>
    </row>
    <row r="643">
      <c r="A643" s="3" t="inlineStr">
        <is>
          <t>584012983060236250</t>
        </is>
      </c>
      <c r="B643" s="3" t="inlineStr">
        <is>
          <t>已完成</t>
        </is>
      </c>
      <c r="C643" s="3" t="inlineStr">
        <is>
          <t>C1</t>
        </is>
      </c>
      <c r="D643" s="3" t="inlineStr">
        <is>
          <t>魔芋笋1大袋</t>
        </is>
      </c>
      <c r="E6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3" s="3" t="inlineStr">
        <is>
          <t>รสเผ็ดหอม​, 10 ซอง 200g</t>
        </is>
      </c>
      <c r="G643" s="6" t="n">
        <v>1</v>
      </c>
      <c r="H643" s="6" t="n">
        <v>69</v>
      </c>
      <c r="I643" s="6" t="n">
        <v>0</v>
      </c>
      <c r="J643" s="6" t="n">
        <v>35</v>
      </c>
      <c r="K643" s="6">
        <f>H643+I643</f>
        <v/>
      </c>
      <c r="L643" s="5">
        <f>K643/4.7</f>
        <v/>
      </c>
      <c r="M643" s="6" t="n">
        <v>6.699999999999999</v>
      </c>
      <c r="N643" s="6" t="n">
        <v>1</v>
      </c>
      <c r="O643" s="6">
        <f>(K643*0.1229+1.05)/4.7</f>
        <v/>
      </c>
      <c r="P643" s="6">
        <f>K643*0.0749/4.7</f>
        <v/>
      </c>
      <c r="Q643" s="5">
        <f>M643+N643+O643+P643</f>
        <v/>
      </c>
      <c r="R643" s="5">
        <f>L643-Q643</f>
        <v/>
      </c>
      <c r="S643" s="6">
        <f>R643*4.7</f>
        <v/>
      </c>
      <c r="T643" s="7">
        <f>IF(L643&gt;0,R643/L643,0)</f>
        <v/>
      </c>
      <c r="U643" s="3" t="inlineStr">
        <is>
          <t>14/05/2026 00:15:48</t>
        </is>
      </c>
    </row>
    <row r="644">
      <c r="A644" s="3" t="inlineStr">
        <is>
          <t>584008171373102349</t>
        </is>
      </c>
      <c r="B644" s="3" t="inlineStr">
        <is>
          <t>已完成</t>
        </is>
      </c>
      <c r="C644" s="3" t="inlineStr">
        <is>
          <t>C2</t>
        </is>
      </c>
      <c r="D644" s="3" t="inlineStr">
        <is>
          <t>魔芋笋2大袋</t>
        </is>
      </c>
      <c r="E6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4" s="3" t="inlineStr">
        <is>
          <t>รสเผ็ดหอม​, 20 ซอง 400g</t>
        </is>
      </c>
      <c r="G644" s="6" t="n">
        <v>1</v>
      </c>
      <c r="H644" s="6" t="n">
        <v>125</v>
      </c>
      <c r="I644" s="6" t="n">
        <v>0</v>
      </c>
      <c r="J644" s="6" t="n">
        <v>35</v>
      </c>
      <c r="K644" s="6">
        <f>H644+I644</f>
        <v/>
      </c>
      <c r="L644" s="5">
        <f>K644/4.7</f>
        <v/>
      </c>
      <c r="M644" s="6" t="n">
        <v>13.4</v>
      </c>
      <c r="N644" s="6" t="n">
        <v>1</v>
      </c>
      <c r="O644" s="6">
        <f>(K644*0.1229+1.05)/4.7</f>
        <v/>
      </c>
      <c r="P644" s="6">
        <f>K644*0.0749/4.7</f>
        <v/>
      </c>
      <c r="Q644" s="5">
        <f>M644+N644+O644+P644</f>
        <v/>
      </c>
      <c r="R644" s="5">
        <f>L644-Q644</f>
        <v/>
      </c>
      <c r="S644" s="6">
        <f>R644*4.7</f>
        <v/>
      </c>
      <c r="T644" s="7">
        <f>IF(L644&gt;0,R644/L644,0)</f>
        <v/>
      </c>
      <c r="U644" s="3" t="inlineStr">
        <is>
          <t>13/05/2026 18:24:39</t>
        </is>
      </c>
    </row>
    <row r="645">
      <c r="A645" s="3" t="inlineStr">
        <is>
          <t>584006838369879542</t>
        </is>
      </c>
      <c r="B645" s="3" t="inlineStr">
        <is>
          <t>已完成</t>
        </is>
      </c>
      <c r="C645" s="3" t="inlineStr">
        <is>
          <t>C3</t>
        </is>
      </c>
      <c r="D645" s="3" t="inlineStr">
        <is>
          <t>魔芋笋3大袋</t>
        </is>
      </c>
      <c r="E6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5" s="3" t="inlineStr">
        <is>
          <t>รสเผ็ดหอม​, 30 ซอง 600g</t>
        </is>
      </c>
      <c r="G645" s="6" t="n">
        <v>1</v>
      </c>
      <c r="H645" s="6" t="n">
        <v>167</v>
      </c>
      <c r="I645" s="6" t="n">
        <v>0</v>
      </c>
      <c r="J645" s="6" t="n">
        <v>3</v>
      </c>
      <c r="K645" s="6">
        <f>H645+I645</f>
        <v/>
      </c>
      <c r="L645" s="5">
        <f>K645/4.7</f>
        <v/>
      </c>
      <c r="M645" s="6" t="n">
        <v>20.1</v>
      </c>
      <c r="N645" s="6" t="n">
        <v>1</v>
      </c>
      <c r="O645" s="6">
        <f>(K645*0.1229+1.05)/4.7</f>
        <v/>
      </c>
      <c r="P645" s="6">
        <f>K645*0.0749/4.7</f>
        <v/>
      </c>
      <c r="Q645" s="5">
        <f>M645+N645+O645+P645</f>
        <v/>
      </c>
      <c r="R645" s="5">
        <f>L645-Q645</f>
        <v/>
      </c>
      <c r="S645" s="6">
        <f>R645*4.7</f>
        <v/>
      </c>
      <c r="T645" s="7">
        <f>IF(L645&gt;0,R645/L645,0)</f>
        <v/>
      </c>
      <c r="U645" s="3" t="inlineStr">
        <is>
          <t>13/05/2026 16:40:09</t>
        </is>
      </c>
    </row>
    <row r="646">
      <c r="A646" s="3" t="inlineStr">
        <is>
          <t>584006480409233323</t>
        </is>
      </c>
      <c r="B646" s="3" t="inlineStr">
        <is>
          <t>已完成</t>
        </is>
      </c>
      <c r="C646" s="3" t="inlineStr">
        <is>
          <t>C2</t>
        </is>
      </c>
      <c r="D646" s="3" t="inlineStr">
        <is>
          <t>魔芋笋2大袋</t>
        </is>
      </c>
      <c r="E6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6" s="3" t="inlineStr">
        <is>
          <t>รสเผ็ดหอม​, 20 ซอง 400g</t>
        </is>
      </c>
      <c r="G646" s="6" t="n">
        <v>1</v>
      </c>
      <c r="H646" s="6" t="n">
        <v>245</v>
      </c>
      <c r="I646" s="6" t="n">
        <v>0</v>
      </c>
      <c r="J646" s="6" t="n">
        <v>48</v>
      </c>
      <c r="K646" s="6">
        <f>H646+I646</f>
        <v/>
      </c>
      <c r="L646" s="5">
        <f>K646/4.7</f>
        <v/>
      </c>
      <c r="M646" s="6" t="n">
        <v>13.4</v>
      </c>
      <c r="N646" s="6" t="n">
        <v>1</v>
      </c>
      <c r="O646" s="6">
        <f>(K646*0.1229+1.05)/4.7</f>
        <v/>
      </c>
      <c r="P646" s="6">
        <f>K646*0.0749/4.7</f>
        <v/>
      </c>
      <c r="Q646" s="5">
        <f>M646+N646+O646+P646</f>
        <v/>
      </c>
      <c r="R646" s="5">
        <f>L646-Q646</f>
        <v/>
      </c>
      <c r="S646" s="6">
        <f>R646*4.7</f>
        <v/>
      </c>
      <c r="T646" s="7">
        <f>IF(L646&gt;0,R646/L646,0)</f>
        <v/>
      </c>
      <c r="U646" s="3" t="inlineStr">
        <is>
          <t>13/05/2026 16:13:48</t>
        </is>
      </c>
    </row>
    <row r="647">
      <c r="A647" s="3" t="inlineStr">
        <is>
          <t>584006480409233323</t>
        </is>
      </c>
      <c r="B647" s="3" t="inlineStr">
        <is>
          <t>已完成</t>
        </is>
      </c>
      <c r="C647" s="3" t="inlineStr">
        <is>
          <t>B2</t>
        </is>
      </c>
      <c r="D647" s="3" t="inlineStr">
        <is>
          <t>魔芋笋2大袋</t>
        </is>
      </c>
      <c r="E6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7" s="3" t="inlineStr">
        <is>
          <t>รสเปรี้ยวเผ็ด​, 20 ซอง 400g</t>
        </is>
      </c>
      <c r="G647" s="6" t="n">
        <v>1</v>
      </c>
      <c r="H647" s="6" t="n">
        <v>245</v>
      </c>
      <c r="I647" s="6" t="n">
        <v>0</v>
      </c>
      <c r="J647" s="6" t="n">
        <v>48</v>
      </c>
      <c r="K647" s="6">
        <f>H647+I647</f>
        <v/>
      </c>
      <c r="L647" s="5">
        <f>K647/4.7</f>
        <v/>
      </c>
      <c r="M647" s="6" t="n">
        <v>13.4</v>
      </c>
      <c r="N647" s="6" t="n">
        <v>1</v>
      </c>
      <c r="O647" s="6">
        <f>(K647*0.1229+1.05)/4.7</f>
        <v/>
      </c>
      <c r="P647" s="6">
        <f>K647*0.0749/4.7</f>
        <v/>
      </c>
      <c r="Q647" s="5">
        <f>M647+N647+O647+P647</f>
        <v/>
      </c>
      <c r="R647" s="5">
        <f>L647-Q647</f>
        <v/>
      </c>
      <c r="S647" s="6">
        <f>R647*4.7</f>
        <v/>
      </c>
      <c r="T647" s="7">
        <f>IF(L647&gt;0,R647/L647,0)</f>
        <v/>
      </c>
      <c r="U647" s="3" t="inlineStr">
        <is>
          <t>13/05/2026 16:13:48</t>
        </is>
      </c>
    </row>
    <row r="648">
      <c r="A648" s="3" t="inlineStr">
        <is>
          <t>584005685855159985</t>
        </is>
      </c>
      <c r="B648" s="3" t="inlineStr">
        <is>
          <t>已完成</t>
        </is>
      </c>
      <c r="C648" s="3" t="inlineStr">
        <is>
          <t>C1</t>
        </is>
      </c>
      <c r="D648" s="3" t="inlineStr">
        <is>
          <t>魔芋笋1大袋</t>
        </is>
      </c>
      <c r="E6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8" s="3" t="inlineStr">
        <is>
          <t>รสเผ็ดหอม​, 10 ซอง 200g</t>
        </is>
      </c>
      <c r="G648" s="6" t="n">
        <v>1</v>
      </c>
      <c r="H648" s="6" t="n">
        <v>87</v>
      </c>
      <c r="I648" s="6" t="n">
        <v>0</v>
      </c>
      <c r="J648" s="6" t="n">
        <v>20</v>
      </c>
      <c r="K648" s="6">
        <f>H648+I648</f>
        <v/>
      </c>
      <c r="L648" s="5">
        <f>K648/4.7</f>
        <v/>
      </c>
      <c r="M648" s="6" t="n">
        <v>6.699999999999999</v>
      </c>
      <c r="N648" s="6" t="n">
        <v>1</v>
      </c>
      <c r="O648" s="6">
        <f>(K648*0.1229+1.05)/4.7</f>
        <v/>
      </c>
      <c r="P648" s="6">
        <f>K648*0.0749/4.7</f>
        <v/>
      </c>
      <c r="Q648" s="5">
        <f>M648+N648+O648+P648</f>
        <v/>
      </c>
      <c r="R648" s="5">
        <f>L648-Q648</f>
        <v/>
      </c>
      <c r="S648" s="6">
        <f>R648*4.7</f>
        <v/>
      </c>
      <c r="T648" s="7">
        <f>IF(L648&gt;0,R648/L648,0)</f>
        <v/>
      </c>
      <c r="U648" s="3" t="inlineStr">
        <is>
          <t>13/05/2026 15:08:10</t>
        </is>
      </c>
    </row>
    <row r="649">
      <c r="A649" s="3" t="inlineStr">
        <is>
          <t>584005011735283707</t>
        </is>
      </c>
      <c r="B649" s="3" t="inlineStr">
        <is>
          <t>已完成</t>
        </is>
      </c>
      <c r="C649" s="3" t="inlineStr">
        <is>
          <t>CK</t>
        </is>
      </c>
      <c r="D649" s="3" t="inlineStr">
        <is>
          <t>黑松露黑麦苏打饼干</t>
        </is>
      </c>
      <c r="E64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49" s="3" t="inlineStr">
        <is>
          <t>ค่าเริ่มต้น</t>
        </is>
      </c>
      <c r="G649" s="6" t="n">
        <v>1</v>
      </c>
      <c r="H649" s="6" t="n">
        <v>85</v>
      </c>
      <c r="I649" s="6" t="n">
        <v>15</v>
      </c>
      <c r="J649" s="6" t="n">
        <v>35</v>
      </c>
      <c r="K649" s="6">
        <f>H649+I649</f>
        <v/>
      </c>
      <c r="L649" s="5">
        <f>K649/4.7</f>
        <v/>
      </c>
      <c r="M649" s="6" t="n">
        <v>10.72665050209467</v>
      </c>
      <c r="N649" s="6" t="n">
        <v>1</v>
      </c>
      <c r="O649" s="6">
        <f>(K649*0.1229+1.05)/4.7</f>
        <v/>
      </c>
      <c r="P649" s="6">
        <f>K649*0.0749/4.7</f>
        <v/>
      </c>
      <c r="Q649" s="5">
        <f>M649+N649+O649+P649</f>
        <v/>
      </c>
      <c r="R649" s="5">
        <f>L649-Q649</f>
        <v/>
      </c>
      <c r="S649" s="6">
        <f>R649*4.7</f>
        <v/>
      </c>
      <c r="T649" s="7">
        <f>IF(L649&gt;0,R649/L649,0)</f>
        <v/>
      </c>
      <c r="U649" s="3" t="inlineStr">
        <is>
          <t>13/05/2026 14:12:27</t>
        </is>
      </c>
    </row>
    <row r="650">
      <c r="A650" s="3" t="inlineStr">
        <is>
          <t>584003962700596241</t>
        </is>
      </c>
      <c r="B650" s="3" t="inlineStr">
        <is>
          <t>已取消</t>
        </is>
      </c>
      <c r="C650" s="3" t="inlineStr">
        <is>
          <t>CK</t>
        </is>
      </c>
      <c r="D650" s="3" t="inlineStr">
        <is>
          <t>黑松露黑麦苏打饼干</t>
        </is>
      </c>
      <c r="E65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50" s="3" t="inlineStr">
        <is>
          <t>ค่าเริ่มต้น</t>
        </is>
      </c>
      <c r="G650" s="6" t="n">
        <v>1</v>
      </c>
      <c r="H650" s="6" t="n">
        <v>100</v>
      </c>
      <c r="I650" s="6" t="n">
        <v>0</v>
      </c>
      <c r="J650" s="6" t="n">
        <v>38</v>
      </c>
      <c r="K650" s="6">
        <f>H650+I650</f>
        <v/>
      </c>
      <c r="L650" s="5">
        <f>K650/4.7</f>
        <v/>
      </c>
      <c r="M650" s="6" t="n">
        <v>10.72665050209467</v>
      </c>
      <c r="N650" s="6" t="n">
        <v>1</v>
      </c>
      <c r="O650" s="6">
        <f>(K650*0.1229+1.05)/4.7</f>
        <v/>
      </c>
      <c r="P650" s="6">
        <f>K650*0.0749/4.7</f>
        <v/>
      </c>
      <c r="Q650" s="5">
        <f>M650+N650+O650+P650</f>
        <v/>
      </c>
      <c r="R650" s="5">
        <f>L650-Q650</f>
        <v/>
      </c>
      <c r="S650" s="6">
        <f>R650*4.7</f>
        <v/>
      </c>
      <c r="T650" s="7">
        <f>IF(L650&gt;0,R650/L650,0)</f>
        <v/>
      </c>
      <c r="U650" s="3" t="inlineStr">
        <is>
          <t>13/05/2026 13:00:10</t>
        </is>
      </c>
    </row>
    <row r="651">
      <c r="A651" s="3" t="inlineStr">
        <is>
          <t>584002888335329163</t>
        </is>
      </c>
      <c r="B651" s="3" t="inlineStr">
        <is>
          <t>已完成</t>
        </is>
      </c>
      <c r="C651" s="3" t="inlineStr">
        <is>
          <t>CK</t>
        </is>
      </c>
      <c r="D651" s="3" t="inlineStr">
        <is>
          <t>黑松露黑麦苏打饼干</t>
        </is>
      </c>
      <c r="E65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51" s="3" t="inlineStr">
        <is>
          <t>ค่าเริ่มต้น</t>
        </is>
      </c>
      <c r="G651" s="6" t="n">
        <v>1</v>
      </c>
      <c r="H651" s="6" t="n">
        <v>64.40000000000001</v>
      </c>
      <c r="I651" s="6" t="n">
        <v>35.6</v>
      </c>
      <c r="J651" s="6" t="n">
        <v>38</v>
      </c>
      <c r="K651" s="6">
        <f>H651+I651</f>
        <v/>
      </c>
      <c r="L651" s="5">
        <f>K651/4.7</f>
        <v/>
      </c>
      <c r="M651" s="6" t="n">
        <v>10.72665050209467</v>
      </c>
      <c r="N651" s="6" t="n">
        <v>1</v>
      </c>
      <c r="O651" s="6">
        <f>(K651*0.1229+1.05)/4.7</f>
        <v/>
      </c>
      <c r="P651" s="6">
        <f>K651*0.0749/4.7</f>
        <v/>
      </c>
      <c r="Q651" s="5">
        <f>M651+N651+O651+P651</f>
        <v/>
      </c>
      <c r="R651" s="5">
        <f>L651-Q651</f>
        <v/>
      </c>
      <c r="S651" s="6">
        <f>R651*4.7</f>
        <v/>
      </c>
      <c r="T651" s="7">
        <f>IF(L651&gt;0,R651/L651,0)</f>
        <v/>
      </c>
      <c r="U651" s="3" t="inlineStr">
        <is>
          <t>13/05/2026 11:48:05</t>
        </is>
      </c>
    </row>
    <row r="652">
      <c r="A652" s="3" t="inlineStr">
        <is>
          <t>584002831506966035</t>
        </is>
      </c>
      <c r="B652" s="3" t="inlineStr">
        <is>
          <t>已完成</t>
        </is>
      </c>
      <c r="C652" s="3" t="inlineStr">
        <is>
          <t>B5s</t>
        </is>
      </c>
      <c r="D652" s="3" t="inlineStr">
        <is>
          <t>酸辣味5小袋</t>
        </is>
      </c>
      <c r="E6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2" s="3" t="inlineStr">
        <is>
          <t>รสเปรี้ยวเผ็ด​, 5 ซอง 100g</t>
        </is>
      </c>
      <c r="G652" s="6" t="n">
        <v>1</v>
      </c>
      <c r="H652" s="6" t="n">
        <v>65</v>
      </c>
      <c r="I652" s="6" t="n">
        <v>0</v>
      </c>
      <c r="J652" s="6" t="n">
        <v>20</v>
      </c>
      <c r="K652" s="6">
        <f>H652+I652</f>
        <v/>
      </c>
      <c r="L652" s="5">
        <f>K652/4.7</f>
        <v/>
      </c>
      <c r="M652" s="6" t="n">
        <v>3.35</v>
      </c>
      <c r="N652" s="6" t="n">
        <v>1</v>
      </c>
      <c r="O652" s="6">
        <f>(K652*0.1229+1.05)/4.7</f>
        <v/>
      </c>
      <c r="P652" s="6">
        <f>K652*0.0749/4.7</f>
        <v/>
      </c>
      <c r="Q652" s="5">
        <f>M652+N652+O652+P652</f>
        <v/>
      </c>
      <c r="R652" s="5">
        <f>L652-Q652</f>
        <v/>
      </c>
      <c r="S652" s="6">
        <f>R652*4.7</f>
        <v/>
      </c>
      <c r="T652" s="7">
        <f>IF(L652&gt;0,R652/L652,0)</f>
        <v/>
      </c>
      <c r="U652" s="3" t="inlineStr">
        <is>
          <t>13/05/2026 11:43:52</t>
        </is>
      </c>
    </row>
    <row r="653">
      <c r="A653" s="3" t="inlineStr">
        <is>
          <t>584002895433139731</t>
        </is>
      </c>
      <c r="B653" s="3" t="inlineStr">
        <is>
          <t>已完成</t>
        </is>
      </c>
      <c r="C653" s="3" t="inlineStr">
        <is>
          <t>C5s</t>
        </is>
      </c>
      <c r="D653" s="3" t="inlineStr">
        <is>
          <t>香辣味魔芋笋5小袋</t>
        </is>
      </c>
      <c r="E6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3" s="3" t="inlineStr">
        <is>
          <t>รสเผ็ดหอม​, 5 ซอง 100g</t>
        </is>
      </c>
      <c r="G653" s="6" t="n">
        <v>1</v>
      </c>
      <c r="H653" s="6" t="n">
        <v>65</v>
      </c>
      <c r="I653" s="6" t="n">
        <v>0</v>
      </c>
      <c r="J653" s="6" t="n">
        <v>20</v>
      </c>
      <c r="K653" s="6">
        <f>H653+I653</f>
        <v/>
      </c>
      <c r="L653" s="5">
        <f>K653/4.7</f>
        <v/>
      </c>
      <c r="M653" s="6" t="n">
        <v>3.35</v>
      </c>
      <c r="N653" s="6" t="n">
        <v>1</v>
      </c>
      <c r="O653" s="6">
        <f>(K653*0.1229+1.05)/4.7</f>
        <v/>
      </c>
      <c r="P653" s="6">
        <f>K653*0.0749/4.7</f>
        <v/>
      </c>
      <c r="Q653" s="5">
        <f>M653+N653+O653+P653</f>
        <v/>
      </c>
      <c r="R653" s="5">
        <f>L653-Q653</f>
        <v/>
      </c>
      <c r="S653" s="6">
        <f>R653*4.7</f>
        <v/>
      </c>
      <c r="T653" s="7">
        <f>IF(L653&gt;0,R653/L653,0)</f>
        <v/>
      </c>
      <c r="U653" s="3" t="inlineStr">
        <is>
          <t>13/05/2026 11:43:41</t>
        </is>
      </c>
    </row>
    <row r="654">
      <c r="A654" s="3" t="inlineStr">
        <is>
          <t>584002156418926085</t>
        </is>
      </c>
      <c r="B654" s="3" t="inlineStr">
        <is>
          <t>已完成</t>
        </is>
      </c>
      <c r="C654" s="3" t="inlineStr">
        <is>
          <t>CK</t>
        </is>
      </c>
      <c r="D654" s="3" t="inlineStr">
        <is>
          <t>黑松露黑麦苏打饼干</t>
        </is>
      </c>
      <c r="E65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54" s="3" t="inlineStr">
        <is>
          <t>ค่าเริ่มต้น</t>
        </is>
      </c>
      <c r="G654" s="6" t="n">
        <v>1</v>
      </c>
      <c r="H654" s="6" t="n">
        <v>70</v>
      </c>
      <c r="I654" s="6" t="n">
        <v>30</v>
      </c>
      <c r="J654" s="6" t="n">
        <v>38</v>
      </c>
      <c r="K654" s="6">
        <f>H654+I654</f>
        <v/>
      </c>
      <c r="L654" s="5">
        <f>K654/4.7</f>
        <v/>
      </c>
      <c r="M654" s="6" t="n">
        <v>10.72665050209467</v>
      </c>
      <c r="N654" s="6" t="n">
        <v>1</v>
      </c>
      <c r="O654" s="6">
        <f>(K654*0.1229+1.05)/4.7</f>
        <v/>
      </c>
      <c r="P654" s="6">
        <f>K654*0.0749/4.7</f>
        <v/>
      </c>
      <c r="Q654" s="5">
        <f>M654+N654+O654+P654</f>
        <v/>
      </c>
      <c r="R654" s="5">
        <f>L654-Q654</f>
        <v/>
      </c>
      <c r="S654" s="6">
        <f>R654*4.7</f>
        <v/>
      </c>
      <c r="T654" s="7">
        <f>IF(L654&gt;0,R654/L654,0)</f>
        <v/>
      </c>
      <c r="U654" s="3" t="inlineStr">
        <is>
          <t>13/05/2026 10:56:21</t>
        </is>
      </c>
    </row>
    <row r="655">
      <c r="A655" s="3" t="inlineStr">
        <is>
          <t>584001888332448788</t>
        </is>
      </c>
      <c r="B655" s="3" t="inlineStr">
        <is>
          <t>已完成</t>
        </is>
      </c>
      <c r="C655" s="3" t="inlineStr">
        <is>
          <t>C5s</t>
        </is>
      </c>
      <c r="D655" s="3" t="inlineStr">
        <is>
          <t>香辣味魔芋笋5小袋</t>
        </is>
      </c>
      <c r="E6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5" s="3" t="inlineStr">
        <is>
          <t>รสเผ็ดหอม​, 5 ซอง 100g</t>
        </is>
      </c>
      <c r="G655" s="6" t="n">
        <v>1</v>
      </c>
      <c r="H655" s="6" t="n">
        <v>47</v>
      </c>
      <c r="I655" s="6" t="n">
        <v>0</v>
      </c>
      <c r="J655" s="6" t="n">
        <v>35</v>
      </c>
      <c r="K655" s="6">
        <f>H655+I655</f>
        <v/>
      </c>
      <c r="L655" s="5">
        <f>K655/4.7</f>
        <v/>
      </c>
      <c r="M655" s="6" t="n">
        <v>3.35</v>
      </c>
      <c r="N655" s="6" t="n">
        <v>1</v>
      </c>
      <c r="O655" s="6">
        <f>(K655*0.1229+1.05)/4.7</f>
        <v/>
      </c>
      <c r="P655" s="6">
        <f>K655*0.0749/4.7</f>
        <v/>
      </c>
      <c r="Q655" s="5">
        <f>M655+N655+O655+P655</f>
        <v/>
      </c>
      <c r="R655" s="5">
        <f>L655-Q655</f>
        <v/>
      </c>
      <c r="S655" s="6">
        <f>R655*4.7</f>
        <v/>
      </c>
      <c r="T655" s="7">
        <f>IF(L655&gt;0,R655/L655,0)</f>
        <v/>
      </c>
      <c r="U655" s="3" t="inlineStr">
        <is>
          <t>13/05/2026 10:35:34</t>
        </is>
      </c>
    </row>
    <row r="656">
      <c r="A656" s="3" t="inlineStr">
        <is>
          <t>584001018826425770</t>
        </is>
      </c>
      <c r="B656" s="3" t="inlineStr">
        <is>
          <t>已完成</t>
        </is>
      </c>
      <c r="C656" s="3" t="inlineStr">
        <is>
          <t>CK</t>
        </is>
      </c>
      <c r="D656" s="3" t="inlineStr">
        <is>
          <t>黑松露黑麦苏打饼干</t>
        </is>
      </c>
      <c r="E65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56" s="3" t="inlineStr">
        <is>
          <t>ค่าเริ่มต้น</t>
        </is>
      </c>
      <c r="G656" s="6" t="n">
        <v>1</v>
      </c>
      <c r="H656" s="6" t="n">
        <v>85</v>
      </c>
      <c r="I656" s="6" t="n">
        <v>15</v>
      </c>
      <c r="J656" s="6" t="n">
        <v>49</v>
      </c>
      <c r="K656" s="6">
        <f>H656+I656</f>
        <v/>
      </c>
      <c r="L656" s="5">
        <f>K656/4.7</f>
        <v/>
      </c>
      <c r="M656" s="6" t="n">
        <v>10.72665050209467</v>
      </c>
      <c r="N656" s="6" t="n">
        <v>1</v>
      </c>
      <c r="O656" s="6">
        <f>(K656*0.1229+1.05)/4.7</f>
        <v/>
      </c>
      <c r="P656" s="6">
        <f>K656*0.0749/4.7</f>
        <v/>
      </c>
      <c r="Q656" s="5">
        <f>M656+N656+O656+P656</f>
        <v/>
      </c>
      <c r="R656" s="5">
        <f>L656-Q656</f>
        <v/>
      </c>
      <c r="S656" s="6">
        <f>R656*4.7</f>
        <v/>
      </c>
      <c r="T656" s="7">
        <f>IF(L656&gt;0,R656/L656,0)</f>
        <v/>
      </c>
      <c r="U656" s="3" t="inlineStr">
        <is>
          <t>13/05/2026 09:27:14</t>
        </is>
      </c>
    </row>
    <row r="657">
      <c r="A657" s="3" t="inlineStr">
        <is>
          <t>584000777948530336</t>
        </is>
      </c>
      <c r="B657" s="3" t="inlineStr">
        <is>
          <t>已完成</t>
        </is>
      </c>
      <c r="C657" s="3" t="inlineStr">
        <is>
          <t>CK</t>
        </is>
      </c>
      <c r="D657" s="3" t="inlineStr">
        <is>
          <t>黑松露黑麦苏打饼干</t>
        </is>
      </c>
      <c r="E65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57" s="3" t="inlineStr">
        <is>
          <t>ค่าเริ่มต้น</t>
        </is>
      </c>
      <c r="G657" s="6" t="n">
        <v>1</v>
      </c>
      <c r="H657" s="6" t="n">
        <v>89.25</v>
      </c>
      <c r="I657" s="6" t="n">
        <v>15.75</v>
      </c>
      <c r="J657" s="6" t="n">
        <v>35</v>
      </c>
      <c r="K657" s="6">
        <f>H657+I657</f>
        <v/>
      </c>
      <c r="L657" s="5">
        <f>K657/4.7</f>
        <v/>
      </c>
      <c r="M657" s="6" t="n">
        <v>10.72665050209467</v>
      </c>
      <c r="N657" s="6" t="n">
        <v>1</v>
      </c>
      <c r="O657" s="6">
        <f>(K657*0.1229+1.05)/4.7</f>
        <v/>
      </c>
      <c r="P657" s="6">
        <f>K657*0.0749/4.7</f>
        <v/>
      </c>
      <c r="Q657" s="5">
        <f>M657+N657+O657+P657</f>
        <v/>
      </c>
      <c r="R657" s="5">
        <f>L657-Q657</f>
        <v/>
      </c>
      <c r="S657" s="6">
        <f>R657*4.7</f>
        <v/>
      </c>
      <c r="T657" s="7">
        <f>IF(L657&gt;0,R657/L657,0)</f>
        <v/>
      </c>
      <c r="U657" s="3" t="inlineStr">
        <is>
          <t>13/05/2026 09:09:16</t>
        </is>
      </c>
    </row>
    <row r="658">
      <c r="A658" s="3" t="inlineStr">
        <is>
          <t>584000707040085510</t>
        </is>
      </c>
      <c r="B658" s="3" t="inlineStr">
        <is>
          <t>已完成</t>
        </is>
      </c>
      <c r="C658" s="3" t="inlineStr">
        <is>
          <t>ER-B</t>
        </is>
      </c>
      <c r="D658" s="3" t="inlineStr">
        <is>
          <t>广州酒家黄油鸡蛋卷480g</t>
        </is>
      </c>
      <c r="E658" s="3" t="inlineStr">
        <is>
          <t>Egg Roll 2สูตร ทองม้วนไข่กล่องเหล็กพรีเมี่ยม!! GuangZhou Restaurant 454g/480g กล่องล่ะ 24 แท่ง</t>
        </is>
      </c>
      <c r="F658" s="3" t="inlineStr">
        <is>
          <t>Butter สูตรเนยสด พรีเมี่ยม</t>
        </is>
      </c>
      <c r="G658" s="6" t="n">
        <v>1</v>
      </c>
      <c r="H658" s="6" t="n">
        <v>348.9</v>
      </c>
      <c r="I658" s="6" t="n">
        <v>6.1</v>
      </c>
      <c r="J658" s="6" t="n">
        <v>35</v>
      </c>
      <c r="K658" s="6">
        <f>H658+I658</f>
        <v/>
      </c>
      <c r="L658" s="5">
        <f>K658/4.7</f>
        <v/>
      </c>
      <c r="M658" s="6" t="n">
        <v>45.49882436351998</v>
      </c>
      <c r="N658" s="6" t="n">
        <v>2</v>
      </c>
      <c r="O658" s="6">
        <f>(K658*0.1229+1.05)/4.7</f>
        <v/>
      </c>
      <c r="P658" s="6">
        <f>K658*0.0749/4.7</f>
        <v/>
      </c>
      <c r="Q658" s="5">
        <f>M658+N658+O658+P658</f>
        <v/>
      </c>
      <c r="R658" s="5">
        <f>L658-Q658</f>
        <v/>
      </c>
      <c r="S658" s="6">
        <f>R658*4.7</f>
        <v/>
      </c>
      <c r="T658" s="7">
        <f>IF(L658&gt;0,R658/L658,0)</f>
        <v/>
      </c>
      <c r="U658" s="3" t="inlineStr">
        <is>
          <t>13/05/2026 09:00:02</t>
        </is>
      </c>
    </row>
    <row r="659">
      <c r="A659" s="3" t="inlineStr">
        <is>
          <t>584000570231915766</t>
        </is>
      </c>
      <c r="B659" s="3" t="inlineStr">
        <is>
          <t>已完成</t>
        </is>
      </c>
      <c r="C659" s="3" t="inlineStr">
        <is>
          <t>CK</t>
        </is>
      </c>
      <c r="D659" s="3" t="inlineStr">
        <is>
          <t>黑松露黑麦苏打饼干</t>
        </is>
      </c>
      <c r="E65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59" s="3" t="inlineStr">
        <is>
          <t>ค่าเริ่มต้น</t>
        </is>
      </c>
      <c r="G659" s="6" t="n">
        <v>1</v>
      </c>
      <c r="H659" s="6" t="n">
        <v>140</v>
      </c>
      <c r="I659" s="6" t="n">
        <v>0</v>
      </c>
      <c r="J659" s="6" t="n">
        <v>0</v>
      </c>
      <c r="K659" s="6">
        <f>H659+I659</f>
        <v/>
      </c>
      <c r="L659" s="5">
        <f>K659/4.7</f>
        <v/>
      </c>
      <c r="M659" s="6" t="n">
        <v>10.72665050209467</v>
      </c>
      <c r="N659" s="6" t="n">
        <v>1</v>
      </c>
      <c r="O659" s="6">
        <f>(K659*0.1229+1.05)/4.7</f>
        <v/>
      </c>
      <c r="P659" s="6">
        <f>K659*0.0749/4.7</f>
        <v/>
      </c>
      <c r="Q659" s="5">
        <f>M659+N659+O659+P659</f>
        <v/>
      </c>
      <c r="R659" s="5">
        <f>L659-Q659</f>
        <v/>
      </c>
      <c r="S659" s="6">
        <f>R659*4.7</f>
        <v/>
      </c>
      <c r="T659" s="7">
        <f>IF(L659&gt;0,R659/L659,0)</f>
        <v/>
      </c>
      <c r="U659" s="3" t="inlineStr">
        <is>
          <t>13/05/2026 08:50:57</t>
        </is>
      </c>
    </row>
    <row r="660">
      <c r="A660" s="3" t="inlineStr">
        <is>
          <t>584000499562480916</t>
        </is>
      </c>
      <c r="B660" s="3" t="inlineStr">
        <is>
          <t>已完成</t>
        </is>
      </c>
      <c r="C660" s="3" t="inlineStr">
        <is>
          <t>CK</t>
        </is>
      </c>
      <c r="D660" s="3" t="inlineStr">
        <is>
          <t>黑松露黑麦苏打饼干</t>
        </is>
      </c>
      <c r="E66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0" s="3" t="inlineStr">
        <is>
          <t>ค่าเริ่มต้น</t>
        </is>
      </c>
      <c r="G660" s="6" t="n">
        <v>1</v>
      </c>
      <c r="H660" s="6" t="n">
        <v>70</v>
      </c>
      <c r="I660" s="6" t="n">
        <v>30</v>
      </c>
      <c r="J660" s="6" t="n">
        <v>38</v>
      </c>
      <c r="K660" s="6">
        <f>H660+I660</f>
        <v/>
      </c>
      <c r="L660" s="5">
        <f>K660/4.7</f>
        <v/>
      </c>
      <c r="M660" s="6" t="n">
        <v>10.72665050209467</v>
      </c>
      <c r="N660" s="6" t="n">
        <v>1</v>
      </c>
      <c r="O660" s="6">
        <f>(K660*0.1229+1.05)/4.7</f>
        <v/>
      </c>
      <c r="P660" s="6">
        <f>K660*0.0749/4.7</f>
        <v/>
      </c>
      <c r="Q660" s="5">
        <f>M660+N660+O660+P660</f>
        <v/>
      </c>
      <c r="R660" s="5">
        <f>L660-Q660</f>
        <v/>
      </c>
      <c r="S660" s="6">
        <f>R660*4.7</f>
        <v/>
      </c>
      <c r="T660" s="7">
        <f>IF(L660&gt;0,R660/L660,0)</f>
        <v/>
      </c>
      <c r="U660" s="3" t="inlineStr">
        <is>
          <t>13/05/2026 08:44:46</t>
        </is>
      </c>
    </row>
    <row r="661">
      <c r="A661" s="3" t="inlineStr">
        <is>
          <t>584000454719538267</t>
        </is>
      </c>
      <c r="B661" s="3" t="inlineStr">
        <is>
          <t>已完成</t>
        </is>
      </c>
      <c r="C661" s="3" t="inlineStr">
        <is>
          <t>CK</t>
        </is>
      </c>
      <c r="D661" s="3" t="inlineStr">
        <is>
          <t>黑松露黑麦苏打饼干</t>
        </is>
      </c>
      <c r="E66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1" s="3" t="inlineStr">
        <is>
          <t>ค่าเริ่มต้น</t>
        </is>
      </c>
      <c r="G661" s="6" t="n">
        <v>1</v>
      </c>
      <c r="H661" s="6" t="n">
        <v>129</v>
      </c>
      <c r="I661" s="6" t="n">
        <v>0</v>
      </c>
      <c r="J661" s="6" t="n">
        <v>0</v>
      </c>
      <c r="K661" s="6">
        <f>H661+I661</f>
        <v/>
      </c>
      <c r="L661" s="5">
        <f>K661/4.7</f>
        <v/>
      </c>
      <c r="M661" s="6" t="n">
        <v>10.72665050209467</v>
      </c>
      <c r="N661" s="6" t="n">
        <v>1</v>
      </c>
      <c r="O661" s="6">
        <f>(K661*0.1229+1.05)/4.7</f>
        <v/>
      </c>
      <c r="P661" s="6">
        <f>K661*0.0749/4.7</f>
        <v/>
      </c>
      <c r="Q661" s="5">
        <f>M661+N661+O661+P661</f>
        <v/>
      </c>
      <c r="R661" s="5">
        <f>L661-Q661</f>
        <v/>
      </c>
      <c r="S661" s="6">
        <f>R661*4.7</f>
        <v/>
      </c>
      <c r="T661" s="7">
        <f>IF(L661&gt;0,R661/L661,0)</f>
        <v/>
      </c>
      <c r="U661" s="3" t="inlineStr">
        <is>
          <t>13/05/2026 08:37:59</t>
        </is>
      </c>
    </row>
    <row r="662">
      <c r="A662" s="3" t="inlineStr">
        <is>
          <t>584000332486444660</t>
        </is>
      </c>
      <c r="B662" s="3" t="inlineStr">
        <is>
          <t>已完成</t>
        </is>
      </c>
      <c r="C662" s="3" t="inlineStr">
        <is>
          <t>CK</t>
        </is>
      </c>
      <c r="D662" s="3" t="inlineStr">
        <is>
          <t>黑松露黑麦苏打饼干</t>
        </is>
      </c>
      <c r="E66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2" s="3" t="inlineStr">
        <is>
          <t>ค่าเริ่มต้น</t>
        </is>
      </c>
      <c r="G662" s="6" t="n">
        <v>1</v>
      </c>
      <c r="H662" s="6" t="n">
        <v>100</v>
      </c>
      <c r="I662" s="6" t="n">
        <v>0</v>
      </c>
      <c r="J662" s="6" t="n">
        <v>38</v>
      </c>
      <c r="K662" s="6">
        <f>H662+I662</f>
        <v/>
      </c>
      <c r="L662" s="5">
        <f>K662/4.7</f>
        <v/>
      </c>
      <c r="M662" s="6" t="n">
        <v>10.72665050209467</v>
      </c>
      <c r="N662" s="6" t="n">
        <v>1</v>
      </c>
      <c r="O662" s="6">
        <f>(K662*0.1229+1.05)/4.7</f>
        <v/>
      </c>
      <c r="P662" s="6">
        <f>K662*0.0749/4.7</f>
        <v/>
      </c>
      <c r="Q662" s="5">
        <f>M662+N662+O662+P662</f>
        <v/>
      </c>
      <c r="R662" s="5">
        <f>L662-Q662</f>
        <v/>
      </c>
      <c r="S662" s="6">
        <f>R662*4.7</f>
        <v/>
      </c>
      <c r="T662" s="7">
        <f>IF(L662&gt;0,R662/L662,0)</f>
        <v/>
      </c>
      <c r="U662" s="3" t="inlineStr">
        <is>
          <t>13/05/2026 08:33:13</t>
        </is>
      </c>
    </row>
    <row r="663">
      <c r="A663" s="3" t="inlineStr">
        <is>
          <t>584000304388146497</t>
        </is>
      </c>
      <c r="B663" s="3" t="inlineStr">
        <is>
          <t>已完成</t>
        </is>
      </c>
      <c r="C663" s="3" t="inlineStr">
        <is>
          <t>ER-A</t>
        </is>
      </c>
      <c r="D663" s="3" t="inlineStr">
        <is>
          <t>广州酒家传统鸡蛋卷454g</t>
        </is>
      </c>
      <c r="E663" s="3" t="inlineStr">
        <is>
          <t>Egg Roll 2สูตร ทองม้วนไข่กล่องเหล็กพรีเมี่ยม!! GuangZhou Restaurant 454g/480g กล่องล่ะ 24 แท่ง</t>
        </is>
      </c>
      <c r="F663" s="3" t="inlineStr">
        <is>
          <t>Traditional สูตรดั้งเดิม ไข่ล้วน</t>
        </is>
      </c>
      <c r="G663" s="6" t="n">
        <v>1</v>
      </c>
      <c r="H663" s="6" t="n">
        <v>355</v>
      </c>
      <c r="I663" s="6" t="n">
        <v>0</v>
      </c>
      <c r="J663" s="6" t="n">
        <v>35</v>
      </c>
      <c r="K663" s="6">
        <f>H663+I663</f>
        <v/>
      </c>
      <c r="L663" s="5">
        <f>K663/4.7</f>
        <v/>
      </c>
      <c r="M663" s="6" t="n">
        <v>40.25338607190941</v>
      </c>
      <c r="N663" s="6" t="n">
        <v>2</v>
      </c>
      <c r="O663" s="6">
        <f>(K663*0.1229+1.05)/4.7</f>
        <v/>
      </c>
      <c r="P663" s="6">
        <f>K663*0.0749/4.7</f>
        <v/>
      </c>
      <c r="Q663" s="5">
        <f>M663+N663+O663+P663</f>
        <v/>
      </c>
      <c r="R663" s="5">
        <f>L663-Q663</f>
        <v/>
      </c>
      <c r="S663" s="6">
        <f>R663*4.7</f>
        <v/>
      </c>
      <c r="T663" s="7">
        <f>IF(L663&gt;0,R663/L663,0)</f>
        <v/>
      </c>
      <c r="U663" s="3" t="inlineStr">
        <is>
          <t>13/05/2026 08:31:18</t>
        </is>
      </c>
    </row>
    <row r="664">
      <c r="A664" s="3" t="inlineStr">
        <is>
          <t>583999972122395715</t>
        </is>
      </c>
      <c r="B664" s="3" t="inlineStr">
        <is>
          <t>已完成</t>
        </is>
      </c>
      <c r="C664" s="3" t="inlineStr">
        <is>
          <t>CK</t>
        </is>
      </c>
      <c r="D664" s="3" t="inlineStr">
        <is>
          <t>黑松露黑麦苏打饼干</t>
        </is>
      </c>
      <c r="E66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4" s="3" t="inlineStr">
        <is>
          <t>ค่าเริ่มต้น</t>
        </is>
      </c>
      <c r="G664" s="6" t="n">
        <v>1</v>
      </c>
      <c r="H664" s="6" t="n">
        <v>100</v>
      </c>
      <c r="I664" s="6" t="n">
        <v>0</v>
      </c>
      <c r="J664" s="6" t="n">
        <v>29</v>
      </c>
      <c r="K664" s="6">
        <f>H664+I664</f>
        <v/>
      </c>
      <c r="L664" s="5">
        <f>K664/4.7</f>
        <v/>
      </c>
      <c r="M664" s="6" t="n">
        <v>10.72665050209467</v>
      </c>
      <c r="N664" s="6" t="n">
        <v>1</v>
      </c>
      <c r="O664" s="6">
        <f>(K664*0.1229+1.05)/4.7</f>
        <v/>
      </c>
      <c r="P664" s="6">
        <f>K664*0.0749/4.7</f>
        <v/>
      </c>
      <c r="Q664" s="5">
        <f>M664+N664+O664+P664</f>
        <v/>
      </c>
      <c r="R664" s="5">
        <f>L664-Q664</f>
        <v/>
      </c>
      <c r="S664" s="6">
        <f>R664*4.7</f>
        <v/>
      </c>
      <c r="T664" s="7">
        <f>IF(L664&gt;0,R664/L664,0)</f>
        <v/>
      </c>
      <c r="U664" s="3" t="inlineStr">
        <is>
          <t>13/05/2026 08:00:11</t>
        </is>
      </c>
    </row>
    <row r="665">
      <c r="A665" s="3" t="inlineStr">
        <is>
          <t>583999890341660306</t>
        </is>
      </c>
      <c r="B665" s="3" t="inlineStr">
        <is>
          <t>已完成</t>
        </is>
      </c>
      <c r="C665" s="3" t="inlineStr">
        <is>
          <t>CK</t>
        </is>
      </c>
      <c r="D665" s="3" t="inlineStr">
        <is>
          <t>黑松露黑麦苏打饼干</t>
        </is>
      </c>
      <c r="E66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5" s="3" t="inlineStr">
        <is>
          <t>ค่าเริ่มต้น</t>
        </is>
      </c>
      <c r="G665" s="6" t="n">
        <v>1</v>
      </c>
      <c r="H665" s="6" t="n">
        <v>100</v>
      </c>
      <c r="I665" s="6" t="n">
        <v>0</v>
      </c>
      <c r="J665" s="6" t="n">
        <v>35</v>
      </c>
      <c r="K665" s="6">
        <f>H665+I665</f>
        <v/>
      </c>
      <c r="L665" s="5">
        <f>K665/4.7</f>
        <v/>
      </c>
      <c r="M665" s="6" t="n">
        <v>10.72665050209467</v>
      </c>
      <c r="N665" s="6" t="n">
        <v>1</v>
      </c>
      <c r="O665" s="6">
        <f>(K665*0.1229+1.05)/4.7</f>
        <v/>
      </c>
      <c r="P665" s="6">
        <f>K665*0.0749/4.7</f>
        <v/>
      </c>
      <c r="Q665" s="5">
        <f>M665+N665+O665+P665</f>
        <v/>
      </c>
      <c r="R665" s="5">
        <f>L665-Q665</f>
        <v/>
      </c>
      <c r="S665" s="6">
        <f>R665*4.7</f>
        <v/>
      </c>
      <c r="T665" s="7">
        <f>IF(L665&gt;0,R665/L665,0)</f>
        <v/>
      </c>
      <c r="U665" s="3" t="inlineStr">
        <is>
          <t>13/05/2026 07:50:50</t>
        </is>
      </c>
    </row>
    <row r="666">
      <c r="A666" s="3" t="inlineStr">
        <is>
          <t>583999723158865600</t>
        </is>
      </c>
      <c r="B666" s="3" t="inlineStr">
        <is>
          <t>已取消</t>
        </is>
      </c>
      <c r="C666" s="3" t="inlineStr">
        <is>
          <t>CK</t>
        </is>
      </c>
      <c r="D666" s="3" t="inlineStr">
        <is>
          <t>黑松露黑麦苏打饼干</t>
        </is>
      </c>
      <c r="E66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6" s="3" t="inlineStr">
        <is>
          <t>ค่าเริ่มต้น</t>
        </is>
      </c>
      <c r="G666" s="6" t="n">
        <v>1</v>
      </c>
      <c r="H666" s="6" t="n">
        <v>75</v>
      </c>
      <c r="I666" s="6" t="n">
        <v>30</v>
      </c>
      <c r="J666" s="6" t="n">
        <v>35</v>
      </c>
      <c r="K666" s="6">
        <f>H666+I666</f>
        <v/>
      </c>
      <c r="L666" s="5">
        <f>K666/4.7</f>
        <v/>
      </c>
      <c r="M666" s="6" t="n">
        <v>10.72665050209467</v>
      </c>
      <c r="N666" s="6" t="n">
        <v>1</v>
      </c>
      <c r="O666" s="6">
        <f>(K666*0.1229+1.05)/4.7</f>
        <v/>
      </c>
      <c r="P666" s="6">
        <f>K666*0.0749/4.7</f>
        <v/>
      </c>
      <c r="Q666" s="5">
        <f>M666+N666+O666+P666</f>
        <v/>
      </c>
      <c r="R666" s="5">
        <f>L666-Q666</f>
        <v/>
      </c>
      <c r="S666" s="6">
        <f>R666*4.7</f>
        <v/>
      </c>
      <c r="T666" s="7">
        <f>IF(L666&gt;0,R666/L666,0)</f>
        <v/>
      </c>
      <c r="U666" s="3" t="inlineStr">
        <is>
          <t>13/05/2026 07:31:54</t>
        </is>
      </c>
    </row>
    <row r="667">
      <c r="A667" s="3" t="inlineStr">
        <is>
          <t>583999551212259327</t>
        </is>
      </c>
      <c r="B667" s="3" t="inlineStr">
        <is>
          <t>已完成</t>
        </is>
      </c>
      <c r="C667" s="3" t="inlineStr">
        <is>
          <t>CK</t>
        </is>
      </c>
      <c r="D667" s="3" t="inlineStr">
        <is>
          <t>黑松露黑麦苏打饼干</t>
        </is>
      </c>
      <c r="E66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7" s="3" t="inlineStr">
        <is>
          <t>ค่าเริ่มต้น</t>
        </is>
      </c>
      <c r="G667" s="6" t="n">
        <v>1</v>
      </c>
      <c r="H667" s="6" t="n">
        <v>100</v>
      </c>
      <c r="I667" s="6" t="n">
        <v>0</v>
      </c>
      <c r="J667" s="6" t="n">
        <v>38</v>
      </c>
      <c r="K667" s="6">
        <f>H667+I667</f>
        <v/>
      </c>
      <c r="L667" s="5">
        <f>K667/4.7</f>
        <v/>
      </c>
      <c r="M667" s="6" t="n">
        <v>10.72665050209467</v>
      </c>
      <c r="N667" s="6" t="n">
        <v>1</v>
      </c>
      <c r="O667" s="6">
        <f>(K667*0.1229+1.05)/4.7</f>
        <v/>
      </c>
      <c r="P667" s="6">
        <f>K667*0.0749/4.7</f>
        <v/>
      </c>
      <c r="Q667" s="5">
        <f>M667+N667+O667+P667</f>
        <v/>
      </c>
      <c r="R667" s="5">
        <f>L667-Q667</f>
        <v/>
      </c>
      <c r="S667" s="6">
        <f>R667*4.7</f>
        <v/>
      </c>
      <c r="T667" s="7">
        <f>IF(L667&gt;0,R667/L667,0)</f>
        <v/>
      </c>
      <c r="U667" s="3" t="inlineStr">
        <is>
          <t>13/05/2026 07:16:41</t>
        </is>
      </c>
    </row>
    <row r="668">
      <c r="A668" s="3" t="inlineStr">
        <is>
          <t>583999486230628032</t>
        </is>
      </c>
      <c r="B668" s="3" t="inlineStr">
        <is>
          <t>已取消</t>
        </is>
      </c>
      <c r="C668" s="3" t="inlineStr">
        <is>
          <t>CK</t>
        </is>
      </c>
      <c r="D668" s="3" t="inlineStr">
        <is>
          <t>黑松露黑麦苏打饼干</t>
        </is>
      </c>
      <c r="E66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68" s="3" t="inlineStr">
        <is>
          <t>ค่าเริ่มต้น</t>
        </is>
      </c>
      <c r="G668" s="6" t="n">
        <v>1</v>
      </c>
      <c r="H668" s="6" t="n">
        <v>75</v>
      </c>
      <c r="I668" s="6" t="n">
        <v>30</v>
      </c>
      <c r="J668" s="6" t="n">
        <v>35</v>
      </c>
      <c r="K668" s="6">
        <f>H668+I668</f>
        <v/>
      </c>
      <c r="L668" s="5">
        <f>K668/4.7</f>
        <v/>
      </c>
      <c r="M668" s="6" t="n">
        <v>10.72665050209467</v>
      </c>
      <c r="N668" s="6" t="n">
        <v>1</v>
      </c>
      <c r="O668" s="6">
        <f>(K668*0.1229+1.05)/4.7</f>
        <v/>
      </c>
      <c r="P668" s="6">
        <f>K668*0.0749/4.7</f>
        <v/>
      </c>
      <c r="Q668" s="5">
        <f>M668+N668+O668+P668</f>
        <v/>
      </c>
      <c r="R668" s="5">
        <f>L668-Q668</f>
        <v/>
      </c>
      <c r="S668" s="6">
        <f>R668*4.7</f>
        <v/>
      </c>
      <c r="T668" s="7">
        <f>IF(L668&gt;0,R668/L668,0)</f>
        <v/>
      </c>
      <c r="U668" s="3" t="inlineStr">
        <is>
          <t>13/05/2026 07:08:54</t>
        </is>
      </c>
    </row>
    <row r="669">
      <c r="A669" s="3" t="inlineStr">
        <is>
          <t>583999454925981448</t>
        </is>
      </c>
      <c r="B669" s="3" t="inlineStr">
        <is>
          <t>已完成</t>
        </is>
      </c>
      <c r="C669" s="3" t="inlineStr">
        <is>
          <t>ER-B</t>
        </is>
      </c>
      <c r="D669" s="3" t="inlineStr">
        <is>
          <t>广州酒家黄油鸡蛋卷480g</t>
        </is>
      </c>
      <c r="E669" s="3" t="inlineStr">
        <is>
          <t>Egg Roll 2สูตร ทองม้วนไข่กล่องเหล็กพรีเมี่ยม!! GuangZhou Restaurant 454g/480g กล่องล่ะ 24 แท่ง</t>
        </is>
      </c>
      <c r="F669" s="3" t="inlineStr">
        <is>
          <t>Butter สูตรเนยสด พรีเมี่ยม</t>
        </is>
      </c>
      <c r="G669" s="6" t="n">
        <v>1</v>
      </c>
      <c r="H669" s="6" t="n">
        <v>720</v>
      </c>
      <c r="I669" s="6" t="n">
        <v>0</v>
      </c>
      <c r="J669" s="6" t="n">
        <v>35</v>
      </c>
      <c r="K669" s="6">
        <f>H669+I669</f>
        <v/>
      </c>
      <c r="L669" s="5">
        <f>K669/4.7</f>
        <v/>
      </c>
      <c r="M669" s="6" t="n">
        <v>45.49882436351998</v>
      </c>
      <c r="N669" s="6" t="n">
        <v>2</v>
      </c>
      <c r="O669" s="6">
        <f>(K669*0.1229+1.05)/4.7</f>
        <v/>
      </c>
      <c r="P669" s="6">
        <f>K669*0.0749/4.7</f>
        <v/>
      </c>
      <c r="Q669" s="5">
        <f>M669+N669+O669+P669</f>
        <v/>
      </c>
      <c r="R669" s="5">
        <f>L669-Q669</f>
        <v/>
      </c>
      <c r="S669" s="6">
        <f>R669*4.7</f>
        <v/>
      </c>
      <c r="T669" s="7">
        <f>IF(L669&gt;0,R669/L669,0)</f>
        <v/>
      </c>
      <c r="U669" s="3" t="inlineStr">
        <is>
          <t>13/05/2026 07:04:19</t>
        </is>
      </c>
    </row>
    <row r="670">
      <c r="A670" s="3" t="inlineStr">
        <is>
          <t>583999454925981448</t>
        </is>
      </c>
      <c r="B670" s="3" t="inlineStr">
        <is>
          <t>已完成</t>
        </is>
      </c>
      <c r="C670" s="3" t="inlineStr">
        <is>
          <t>ER-A</t>
        </is>
      </c>
      <c r="D670" s="3" t="inlineStr">
        <is>
          <t>广州酒家传统鸡蛋卷454g</t>
        </is>
      </c>
      <c r="E670" s="3" t="inlineStr">
        <is>
          <t>Egg Roll 2สูตร ทองม้วนไข่กล่องเหล็กพรีเมี่ยม!! GuangZhou Restaurant 454g/480g กล่องล่ะ 24 แท่ง</t>
        </is>
      </c>
      <c r="F670" s="3" t="inlineStr">
        <is>
          <t>Traditional สูตรดั้งเดิม ไข่ล้วน</t>
        </is>
      </c>
      <c r="G670" s="6" t="n">
        <v>1</v>
      </c>
      <c r="H670" s="6" t="n">
        <v>720</v>
      </c>
      <c r="I670" s="6" t="n">
        <v>0</v>
      </c>
      <c r="J670" s="6" t="n">
        <v>35</v>
      </c>
      <c r="K670" s="6">
        <f>H670+I670</f>
        <v/>
      </c>
      <c r="L670" s="5">
        <f>K670/4.7</f>
        <v/>
      </c>
      <c r="M670" s="6" t="n">
        <v>40.25338607190941</v>
      </c>
      <c r="N670" s="6" t="n">
        <v>2</v>
      </c>
      <c r="O670" s="6">
        <f>(K670*0.1229+1.05)/4.7</f>
        <v/>
      </c>
      <c r="P670" s="6">
        <f>K670*0.0749/4.7</f>
        <v/>
      </c>
      <c r="Q670" s="5">
        <f>M670+N670+O670+P670</f>
        <v/>
      </c>
      <c r="R670" s="5">
        <f>L670-Q670</f>
        <v/>
      </c>
      <c r="S670" s="6">
        <f>R670*4.7</f>
        <v/>
      </c>
      <c r="T670" s="7">
        <f>IF(L670&gt;0,R670/L670,0)</f>
        <v/>
      </c>
      <c r="U670" s="3" t="inlineStr">
        <is>
          <t>13/05/2026 07:04:19</t>
        </is>
      </c>
    </row>
    <row r="671">
      <c r="A671" s="3" t="inlineStr">
        <is>
          <t>583999049827845846</t>
        </is>
      </c>
      <c r="B671" s="3" t="inlineStr">
        <is>
          <t>已完成</t>
        </is>
      </c>
      <c r="C671" s="3" t="inlineStr">
        <is>
          <t>CK</t>
        </is>
      </c>
      <c r="D671" s="3" t="inlineStr">
        <is>
          <t>黑松露黑麦苏打饼干</t>
        </is>
      </c>
      <c r="E67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71" s="3" t="inlineStr">
        <is>
          <t>ค่าเริ่มต้น</t>
        </is>
      </c>
      <c r="G671" s="6" t="n">
        <v>1</v>
      </c>
      <c r="H671" s="6" t="n">
        <v>100</v>
      </c>
      <c r="I671" s="6" t="n">
        <v>0</v>
      </c>
      <c r="J671" s="6" t="n">
        <v>35</v>
      </c>
      <c r="K671" s="6">
        <f>H671+I671</f>
        <v/>
      </c>
      <c r="L671" s="5">
        <f>K671/4.7</f>
        <v/>
      </c>
      <c r="M671" s="6" t="n">
        <v>10.72665050209467</v>
      </c>
      <c r="N671" s="6" t="n">
        <v>1</v>
      </c>
      <c r="O671" s="6">
        <f>(K671*0.1229+1.05)/4.7</f>
        <v/>
      </c>
      <c r="P671" s="6">
        <f>K671*0.0749/4.7</f>
        <v/>
      </c>
      <c r="Q671" s="5">
        <f>M671+N671+O671+P671</f>
        <v/>
      </c>
      <c r="R671" s="5">
        <f>L671-Q671</f>
        <v/>
      </c>
      <c r="S671" s="6">
        <f>R671*4.7</f>
        <v/>
      </c>
      <c r="T671" s="7">
        <f>IF(L671&gt;0,R671/L671,0)</f>
        <v/>
      </c>
      <c r="U671" s="3" t="inlineStr">
        <is>
          <t>13/05/2026 06:18:48</t>
        </is>
      </c>
    </row>
    <row r="672">
      <c r="A672" s="3" t="inlineStr">
        <is>
          <t>583998654974428688</t>
        </is>
      </c>
      <c r="B672" s="3" t="inlineStr">
        <is>
          <t>已完成</t>
        </is>
      </c>
      <c r="C672" s="3" t="inlineStr">
        <is>
          <t>C1</t>
        </is>
      </c>
      <c r="D672" s="3" t="inlineStr">
        <is>
          <t>魔芋笋1大袋</t>
        </is>
      </c>
      <c r="E6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2" s="3" t="inlineStr">
        <is>
          <t>รสเผ็ดหอม​, 10 ซอง 200g</t>
        </is>
      </c>
      <c r="G672" s="6" t="n">
        <v>1</v>
      </c>
      <c r="H672" s="6" t="n">
        <v>69</v>
      </c>
      <c r="I672" s="6" t="n">
        <v>0</v>
      </c>
      <c r="J672" s="6" t="n">
        <v>38</v>
      </c>
      <c r="K672" s="6">
        <f>H672+I672</f>
        <v/>
      </c>
      <c r="L672" s="5">
        <f>K672/4.7</f>
        <v/>
      </c>
      <c r="M672" s="6" t="n">
        <v>6.699999999999999</v>
      </c>
      <c r="N672" s="6" t="n">
        <v>1</v>
      </c>
      <c r="O672" s="6">
        <f>(K672*0.1229+1.05)/4.7</f>
        <v/>
      </c>
      <c r="P672" s="6">
        <f>K672*0.0749/4.7</f>
        <v/>
      </c>
      <c r="Q672" s="5">
        <f>M672+N672+O672+P672</f>
        <v/>
      </c>
      <c r="R672" s="5">
        <f>L672-Q672</f>
        <v/>
      </c>
      <c r="S672" s="6">
        <f>R672*4.7</f>
        <v/>
      </c>
      <c r="T672" s="7">
        <f>IF(L672&gt;0,R672/L672,0)</f>
        <v/>
      </c>
      <c r="U672" s="3" t="inlineStr">
        <is>
          <t>13/05/2026 05:12:19</t>
        </is>
      </c>
    </row>
    <row r="673">
      <c r="A673" s="3" t="inlineStr">
        <is>
          <t>583998593435600481</t>
        </is>
      </c>
      <c r="B673" s="3" t="inlineStr">
        <is>
          <t>已完成</t>
        </is>
      </c>
      <c r="C673" s="3" t="inlineStr">
        <is>
          <t>C2</t>
        </is>
      </c>
      <c r="D673" s="3" t="inlineStr">
        <is>
          <t>魔芋笋2大袋</t>
        </is>
      </c>
      <c r="E6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3" s="3" t="inlineStr">
        <is>
          <t>รสเผ็ดหอม​, 20 ซอง 400g</t>
        </is>
      </c>
      <c r="G673" s="6" t="n">
        <v>1</v>
      </c>
      <c r="H673" s="6" t="n">
        <v>120</v>
      </c>
      <c r="I673" s="6" t="n">
        <v>0</v>
      </c>
      <c r="J673" s="6" t="n">
        <v>38</v>
      </c>
      <c r="K673" s="6">
        <f>H673+I673</f>
        <v/>
      </c>
      <c r="L673" s="5">
        <f>K673/4.7</f>
        <v/>
      </c>
      <c r="M673" s="6" t="n">
        <v>13.4</v>
      </c>
      <c r="N673" s="6" t="n">
        <v>1</v>
      </c>
      <c r="O673" s="6">
        <f>(K673*0.1229+1.05)/4.7</f>
        <v/>
      </c>
      <c r="P673" s="6">
        <f>K673*0.0749/4.7</f>
        <v/>
      </c>
      <c r="Q673" s="5">
        <f>M673+N673+O673+P673</f>
        <v/>
      </c>
      <c r="R673" s="5">
        <f>L673-Q673</f>
        <v/>
      </c>
      <c r="S673" s="6">
        <f>R673*4.7</f>
        <v/>
      </c>
      <c r="T673" s="7">
        <f>IF(L673&gt;0,R673/L673,0)</f>
        <v/>
      </c>
      <c r="U673" s="3" t="inlineStr">
        <is>
          <t>13/05/2026 04:54:48</t>
        </is>
      </c>
    </row>
    <row r="674">
      <c r="A674" s="3" t="inlineStr">
        <is>
          <t>583998424178001362</t>
        </is>
      </c>
      <c r="B674" s="3" t="inlineStr">
        <is>
          <t>已完成</t>
        </is>
      </c>
      <c r="C674" s="3" t="inlineStr">
        <is>
          <t>CK</t>
        </is>
      </c>
      <c r="D674" s="3" t="inlineStr">
        <is>
          <t>黑松露黑麦苏打饼干</t>
        </is>
      </c>
      <c r="E67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74" s="3" t="inlineStr">
        <is>
          <t>ค่าเริ่มต้น</t>
        </is>
      </c>
      <c r="G674" s="6" t="n">
        <v>1</v>
      </c>
      <c r="H674" s="6" t="n">
        <v>100</v>
      </c>
      <c r="I674" s="6" t="n">
        <v>0</v>
      </c>
      <c r="J674" s="6" t="n">
        <v>38</v>
      </c>
      <c r="K674" s="6">
        <f>H674+I674</f>
        <v/>
      </c>
      <c r="L674" s="5">
        <f>K674/4.7</f>
        <v/>
      </c>
      <c r="M674" s="6" t="n">
        <v>10.72665050209467</v>
      </c>
      <c r="N674" s="6" t="n">
        <v>1</v>
      </c>
      <c r="O674" s="6">
        <f>(K674*0.1229+1.05)/4.7</f>
        <v/>
      </c>
      <c r="P674" s="6">
        <f>K674*0.0749/4.7</f>
        <v/>
      </c>
      <c r="Q674" s="5">
        <f>M674+N674+O674+P674</f>
        <v/>
      </c>
      <c r="R674" s="5">
        <f>L674-Q674</f>
        <v/>
      </c>
      <c r="S674" s="6">
        <f>R674*4.7</f>
        <v/>
      </c>
      <c r="T674" s="7">
        <f>IF(L674&gt;0,R674/L674,0)</f>
        <v/>
      </c>
      <c r="U674" s="3" t="inlineStr">
        <is>
          <t>13/05/2026 04:02:38</t>
        </is>
      </c>
    </row>
    <row r="675">
      <c r="A675" s="3" t="inlineStr">
        <is>
          <t>583998368604718957</t>
        </is>
      </c>
      <c r="B675" s="3" t="inlineStr">
        <is>
          <t>已完成</t>
        </is>
      </c>
      <c r="C675" s="3" t="inlineStr">
        <is>
          <t>C2</t>
        </is>
      </c>
      <c r="D675" s="3" t="inlineStr">
        <is>
          <t>魔芋笋2大袋</t>
        </is>
      </c>
      <c r="E6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5" s="3" t="inlineStr">
        <is>
          <t>รสเผ็ดหอม​, 20 ซอง 400g</t>
        </is>
      </c>
      <c r="G675" s="6" t="n">
        <v>1</v>
      </c>
      <c r="H675" s="6" t="n">
        <v>81.25</v>
      </c>
      <c r="I675" s="6" t="n">
        <v>43.75</v>
      </c>
      <c r="J675" s="6" t="n">
        <v>38</v>
      </c>
      <c r="K675" s="6">
        <f>H675+I675</f>
        <v/>
      </c>
      <c r="L675" s="5">
        <f>K675/4.7</f>
        <v/>
      </c>
      <c r="M675" s="6" t="n">
        <v>13.4</v>
      </c>
      <c r="N675" s="6" t="n">
        <v>1</v>
      </c>
      <c r="O675" s="6">
        <f>(K675*0.1229+1.05)/4.7</f>
        <v/>
      </c>
      <c r="P675" s="6">
        <f>K675*0.0749/4.7</f>
        <v/>
      </c>
      <c r="Q675" s="5">
        <f>M675+N675+O675+P675</f>
        <v/>
      </c>
      <c r="R675" s="5">
        <f>L675-Q675</f>
        <v/>
      </c>
      <c r="S675" s="6">
        <f>R675*4.7</f>
        <v/>
      </c>
      <c r="T675" s="7">
        <f>IF(L675&gt;0,R675/L675,0)</f>
        <v/>
      </c>
      <c r="U675" s="3" t="inlineStr">
        <is>
          <t>13/05/2026 03:44:33</t>
        </is>
      </c>
    </row>
    <row r="676">
      <c r="A676" s="3" t="inlineStr">
        <is>
          <t>583997384237810702</t>
        </is>
      </c>
      <c r="B676" s="3" t="inlineStr">
        <is>
          <t>已完成</t>
        </is>
      </c>
      <c r="C676" s="3" t="inlineStr">
        <is>
          <t>C3</t>
        </is>
      </c>
      <c r="D676" s="3" t="inlineStr">
        <is>
          <t>魔芋笋3大袋</t>
        </is>
      </c>
      <c r="E6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6" s="3" t="inlineStr">
        <is>
          <t>รสเผ็ดหอม​, 30 ซอง 600g</t>
        </is>
      </c>
      <c r="G676" s="6" t="n">
        <v>1</v>
      </c>
      <c r="H676" s="6" t="n">
        <v>161</v>
      </c>
      <c r="I676" s="6" t="n">
        <v>6</v>
      </c>
      <c r="J676" s="6" t="n">
        <v>38</v>
      </c>
      <c r="K676" s="6">
        <f>H676+I676</f>
        <v/>
      </c>
      <c r="L676" s="5">
        <f>K676/4.7</f>
        <v/>
      </c>
      <c r="M676" s="6" t="n">
        <v>20.1</v>
      </c>
      <c r="N676" s="6" t="n">
        <v>1</v>
      </c>
      <c r="O676" s="6">
        <f>(K676*0.1229+1.05)/4.7</f>
        <v/>
      </c>
      <c r="P676" s="6">
        <f>K676*0.0749/4.7</f>
        <v/>
      </c>
      <c r="Q676" s="5">
        <f>M676+N676+O676+P676</f>
        <v/>
      </c>
      <c r="R676" s="5">
        <f>L676-Q676</f>
        <v/>
      </c>
      <c r="S676" s="6">
        <f>R676*4.7</f>
        <v/>
      </c>
      <c r="T676" s="7">
        <f>IF(L676&gt;0,R676/L676,0)</f>
        <v/>
      </c>
      <c r="U676" s="3" t="inlineStr">
        <is>
          <t>13/05/2026 00:02:31</t>
        </is>
      </c>
    </row>
    <row r="677">
      <c r="A677" s="3" t="inlineStr">
        <is>
          <t>583996017046554188</t>
        </is>
      </c>
      <c r="B677" s="3" t="inlineStr">
        <is>
          <t>已完成</t>
        </is>
      </c>
      <c r="C677" s="3" t="inlineStr">
        <is>
          <t>B2</t>
        </is>
      </c>
      <c r="D677" s="3" t="inlineStr">
        <is>
          <t>魔芋笋2大袋</t>
        </is>
      </c>
      <c r="E6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7" s="3" t="inlineStr">
        <is>
          <t>รสเปรี้ยวเผ็ด​, 20 ซอง 400g</t>
        </is>
      </c>
      <c r="G677" s="6" t="n">
        <v>1</v>
      </c>
      <c r="H677" s="6" t="n">
        <v>346</v>
      </c>
      <c r="I677" s="6" t="n">
        <v>0</v>
      </c>
      <c r="J677" s="6" t="n">
        <v>48</v>
      </c>
      <c r="K677" s="6">
        <f>H677+I677</f>
        <v/>
      </c>
      <c r="L677" s="5">
        <f>K677/4.7</f>
        <v/>
      </c>
      <c r="M677" s="6" t="n">
        <v>13.4</v>
      </c>
      <c r="N677" s="6" t="n">
        <v>1</v>
      </c>
      <c r="O677" s="6">
        <f>(K677*0.1229+1.05)/4.7</f>
        <v/>
      </c>
      <c r="P677" s="6">
        <f>K677*0.0749/4.7</f>
        <v/>
      </c>
      <c r="Q677" s="5">
        <f>M677+N677+O677+P677</f>
        <v/>
      </c>
      <c r="R677" s="5">
        <f>L677-Q677</f>
        <v/>
      </c>
      <c r="S677" s="6">
        <f>R677*4.7</f>
        <v/>
      </c>
      <c r="T677" s="7">
        <f>IF(L677&gt;0,R677/L677,0)</f>
        <v/>
      </c>
      <c r="U677" s="3" t="inlineStr">
        <is>
          <t>12/05/2026 22:04:43</t>
        </is>
      </c>
    </row>
    <row r="678">
      <c r="A678" s="3" t="inlineStr">
        <is>
          <t>583996017046554188</t>
        </is>
      </c>
      <c r="B678" s="3" t="inlineStr">
        <is>
          <t>已完成</t>
        </is>
      </c>
      <c r="C678" s="3" t="inlineStr">
        <is>
          <t>A2</t>
        </is>
      </c>
      <c r="D678" s="3" t="inlineStr">
        <is>
          <t>魔芋干2包</t>
        </is>
      </c>
      <c r="E678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78" s="3" t="inlineStr">
        <is>
          <t>20 ซอง 200g</t>
        </is>
      </c>
      <c r="G678" s="6" t="n">
        <v>1</v>
      </c>
      <c r="H678" s="6" t="n">
        <v>346</v>
      </c>
      <c r="I678" s="6" t="n">
        <v>1</v>
      </c>
      <c r="J678" s="6" t="n">
        <v>48</v>
      </c>
      <c r="K678" s="6">
        <f>H678+I678</f>
        <v/>
      </c>
      <c r="L678" s="5">
        <f>K678/4.7</f>
        <v/>
      </c>
      <c r="M678" s="6" t="n">
        <v>12.2</v>
      </c>
      <c r="N678" s="6" t="n">
        <v>0.5</v>
      </c>
      <c r="O678" s="6">
        <f>(K678*0.1229+1.05)/4.7</f>
        <v/>
      </c>
      <c r="P678" s="6">
        <f>K678*0.0749/4.7</f>
        <v/>
      </c>
      <c r="Q678" s="5">
        <f>M678+N678+O678+P678</f>
        <v/>
      </c>
      <c r="R678" s="5">
        <f>L678-Q678</f>
        <v/>
      </c>
      <c r="S678" s="6">
        <f>R678*4.7</f>
        <v/>
      </c>
      <c r="T678" s="7">
        <f>IF(L678&gt;0,R678/L678,0)</f>
        <v/>
      </c>
      <c r="U678" s="3" t="inlineStr">
        <is>
          <t>12/05/2026 22:04:43</t>
        </is>
      </c>
    </row>
    <row r="679">
      <c r="A679" s="3" t="inlineStr">
        <is>
          <t>583996017046554188</t>
        </is>
      </c>
      <c r="B679" s="3" t="inlineStr">
        <is>
          <t>已完成</t>
        </is>
      </c>
      <c r="C679" s="3" t="inlineStr">
        <is>
          <t>C2</t>
        </is>
      </c>
      <c r="D679" s="3" t="inlineStr">
        <is>
          <t>魔芋笋2大袋</t>
        </is>
      </c>
      <c r="E6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9" s="3" t="inlineStr">
        <is>
          <t>รสเผ็ดหอม​, 20 ซอง 400g</t>
        </is>
      </c>
      <c r="G679" s="6" t="n">
        <v>1</v>
      </c>
      <c r="H679" s="6" t="n">
        <v>346</v>
      </c>
      <c r="I679" s="6" t="n">
        <v>0</v>
      </c>
      <c r="J679" s="6" t="n">
        <v>48</v>
      </c>
      <c r="K679" s="6">
        <f>H679+I679</f>
        <v/>
      </c>
      <c r="L679" s="5">
        <f>K679/4.7</f>
        <v/>
      </c>
      <c r="M679" s="6" t="n">
        <v>13.4</v>
      </c>
      <c r="N679" s="6" t="n">
        <v>1</v>
      </c>
      <c r="O679" s="6">
        <f>(K679*0.1229+1.05)/4.7</f>
        <v/>
      </c>
      <c r="P679" s="6">
        <f>K679*0.0749/4.7</f>
        <v/>
      </c>
      <c r="Q679" s="5">
        <f>M679+N679+O679+P679</f>
        <v/>
      </c>
      <c r="R679" s="5">
        <f>L679-Q679</f>
        <v/>
      </c>
      <c r="S679" s="6">
        <f>R679*4.7</f>
        <v/>
      </c>
      <c r="T679" s="7">
        <f>IF(L679&gt;0,R679/L679,0)</f>
        <v/>
      </c>
      <c r="U679" s="3" t="inlineStr">
        <is>
          <t>12/05/2026 22:04:43</t>
        </is>
      </c>
    </row>
    <row r="680">
      <c r="A680" s="3" t="inlineStr">
        <is>
          <t>583994846091183901</t>
        </is>
      </c>
      <c r="B680" s="3" t="inlineStr">
        <is>
          <t>已完成</t>
        </is>
      </c>
      <c r="C680" s="3" t="inlineStr">
        <is>
          <t>ER-B</t>
        </is>
      </c>
      <c r="D680" s="3" t="inlineStr">
        <is>
          <t>广州酒家黄油鸡蛋卷480g</t>
        </is>
      </c>
      <c r="E680" s="3" t="inlineStr">
        <is>
          <t>Egg Roll 2สูตร ทองม้วนไข่กล่องเหล็กพรีเมี่ยม!! GuangZhou Restaurant 454g/480g กล่องล่ะ 24 แท่ง</t>
        </is>
      </c>
      <c r="F680" s="3" t="inlineStr">
        <is>
          <t>Butter สูตรเนยสด พรีเมี่ยม</t>
        </is>
      </c>
      <c r="G680" s="6" t="n">
        <v>1</v>
      </c>
      <c r="H680" s="6" t="n">
        <v>270</v>
      </c>
      <c r="I680" s="6" t="n">
        <v>90</v>
      </c>
      <c r="J680" s="6" t="n">
        <v>27</v>
      </c>
      <c r="K680" s="6">
        <f>H680+I680</f>
        <v/>
      </c>
      <c r="L680" s="5">
        <f>K680/4.7</f>
        <v/>
      </c>
      <c r="M680" s="6" t="n">
        <v>45.49882436351998</v>
      </c>
      <c r="N680" s="6" t="n">
        <v>2</v>
      </c>
      <c r="O680" s="6">
        <f>(K680*0.1229+1.05)/4.7</f>
        <v/>
      </c>
      <c r="P680" s="6">
        <f>K680*0.0749/4.7</f>
        <v/>
      </c>
      <c r="Q680" s="5">
        <f>M680+N680+O680+P680</f>
        <v/>
      </c>
      <c r="R680" s="5">
        <f>L680-Q680</f>
        <v/>
      </c>
      <c r="S680" s="6">
        <f>R680*4.7</f>
        <v/>
      </c>
      <c r="T680" s="7">
        <f>IF(L680&gt;0,R680/L680,0)</f>
        <v/>
      </c>
      <c r="U680" s="3" t="inlineStr">
        <is>
          <t>12/05/2026 20:53:01</t>
        </is>
      </c>
    </row>
    <row r="681">
      <c r="A681" s="3" t="inlineStr">
        <is>
          <t>583992840954611332</t>
        </is>
      </c>
      <c r="B681" s="3" t="inlineStr">
        <is>
          <t>已完成</t>
        </is>
      </c>
      <c r="C681" s="3" t="inlineStr">
        <is>
          <t>C1</t>
        </is>
      </c>
      <c r="D681" s="3" t="inlineStr">
        <is>
          <t>魔芋笋1大袋</t>
        </is>
      </c>
      <c r="E6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1" s="3" t="inlineStr">
        <is>
          <t>รสเผ็ดหอม​, 10 ซอง 200g</t>
        </is>
      </c>
      <c r="G681" s="6" t="n">
        <v>1</v>
      </c>
      <c r="H681" s="6" t="n">
        <v>69</v>
      </c>
      <c r="I681" s="6" t="n">
        <v>0</v>
      </c>
      <c r="J681" s="6" t="n">
        <v>35</v>
      </c>
      <c r="K681" s="6">
        <f>H681+I681</f>
        <v/>
      </c>
      <c r="L681" s="5">
        <f>K681/4.7</f>
        <v/>
      </c>
      <c r="M681" s="6" t="n">
        <v>6.699999999999999</v>
      </c>
      <c r="N681" s="6" t="n">
        <v>1</v>
      </c>
      <c r="O681" s="6">
        <f>(K681*0.1229+1.05)/4.7</f>
        <v/>
      </c>
      <c r="P681" s="6">
        <f>K681*0.0749/4.7</f>
        <v/>
      </c>
      <c r="Q681" s="5">
        <f>M681+N681+O681+P681</f>
        <v/>
      </c>
      <c r="R681" s="5">
        <f>L681-Q681</f>
        <v/>
      </c>
      <c r="S681" s="6">
        <f>R681*4.7</f>
        <v/>
      </c>
      <c r="T681" s="7">
        <f>IF(L681&gt;0,R681/L681,0)</f>
        <v/>
      </c>
      <c r="U681" s="3" t="inlineStr">
        <is>
          <t>12/05/2026 18:40:39</t>
        </is>
      </c>
    </row>
    <row r="682">
      <c r="A682" s="3" t="inlineStr">
        <is>
          <t>583992257682375851</t>
        </is>
      </c>
      <c r="B682" s="3" t="inlineStr">
        <is>
          <t>已完成</t>
        </is>
      </c>
      <c r="C682" s="3" t="inlineStr">
        <is>
          <t>C1</t>
        </is>
      </c>
      <c r="D682" s="3" t="inlineStr">
        <is>
          <t>魔芋笋1大袋</t>
        </is>
      </c>
      <c r="E6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2" s="3" t="inlineStr">
        <is>
          <t>รสเผ็ดหอม​, 10 ซอง 200g</t>
        </is>
      </c>
      <c r="G682" s="6" t="n">
        <v>1</v>
      </c>
      <c r="H682" s="6" t="n">
        <v>58.65</v>
      </c>
      <c r="I682" s="6" t="n">
        <v>10.35</v>
      </c>
      <c r="J682" s="6" t="n">
        <v>35</v>
      </c>
      <c r="K682" s="6">
        <f>H682+I682</f>
        <v/>
      </c>
      <c r="L682" s="5">
        <f>K682/4.7</f>
        <v/>
      </c>
      <c r="M682" s="6" t="n">
        <v>6.699999999999999</v>
      </c>
      <c r="N682" s="6" t="n">
        <v>1</v>
      </c>
      <c r="O682" s="6">
        <f>(K682*0.1229+1.05)/4.7</f>
        <v/>
      </c>
      <c r="P682" s="6">
        <f>K682*0.0749/4.7</f>
        <v/>
      </c>
      <c r="Q682" s="5">
        <f>M682+N682+O682+P682</f>
        <v/>
      </c>
      <c r="R682" s="5">
        <f>L682-Q682</f>
        <v/>
      </c>
      <c r="S682" s="6">
        <f>R682*4.7</f>
        <v/>
      </c>
      <c r="T682" s="7">
        <f>IF(L682&gt;0,R682/L682,0)</f>
        <v/>
      </c>
      <c r="U682" s="3" t="inlineStr">
        <is>
          <t>12/05/2026 17:59:05</t>
        </is>
      </c>
    </row>
    <row r="683">
      <c r="A683" s="3" t="inlineStr">
        <is>
          <t>583992020777469046</t>
        </is>
      </c>
      <c r="B683" s="3" t="inlineStr">
        <is>
          <t>已完成</t>
        </is>
      </c>
      <c r="C683" s="3" t="inlineStr">
        <is>
          <t>C5s</t>
        </is>
      </c>
      <c r="D683" s="3" t="inlineStr">
        <is>
          <t>香辣味魔芋笋5小袋</t>
        </is>
      </c>
      <c r="E6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3" s="3" t="inlineStr">
        <is>
          <t>รสเผ็ดหอม​, 5 ซอง 100g</t>
        </is>
      </c>
      <c r="G683" s="6" t="n">
        <v>1</v>
      </c>
      <c r="H683" s="6" t="n">
        <v>114</v>
      </c>
      <c r="I683" s="6" t="n">
        <v>0</v>
      </c>
      <c r="J683" s="6" t="n">
        <v>28</v>
      </c>
      <c r="K683" s="6">
        <f>H683+I683</f>
        <v/>
      </c>
      <c r="L683" s="5">
        <f>K683/4.7</f>
        <v/>
      </c>
      <c r="M683" s="6" t="n">
        <v>3.35</v>
      </c>
      <c r="N683" s="6" t="n">
        <v>1</v>
      </c>
      <c r="O683" s="6">
        <f>(K683*0.1229+1.05)/4.7</f>
        <v/>
      </c>
      <c r="P683" s="6">
        <f>K683*0.0749/4.7</f>
        <v/>
      </c>
      <c r="Q683" s="5">
        <f>M683+N683+O683+P683</f>
        <v/>
      </c>
      <c r="R683" s="5">
        <f>L683-Q683</f>
        <v/>
      </c>
      <c r="S683" s="6">
        <f>R683*4.7</f>
        <v/>
      </c>
      <c r="T683" s="7">
        <f>IF(L683&gt;0,R683/L683,0)</f>
        <v/>
      </c>
      <c r="U683" s="3" t="inlineStr">
        <is>
          <t>12/05/2026 17:33:23</t>
        </is>
      </c>
    </row>
    <row r="684">
      <c r="A684" s="3" t="inlineStr">
        <is>
          <t>583992020777469046</t>
        </is>
      </c>
      <c r="B684" s="3" t="inlineStr">
        <is>
          <t>已完成</t>
        </is>
      </c>
      <c r="C684" s="3" t="inlineStr">
        <is>
          <t>B5s</t>
        </is>
      </c>
      <c r="D684" s="3" t="inlineStr">
        <is>
          <t>酸辣味5小袋</t>
        </is>
      </c>
      <c r="E6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4" s="3" t="inlineStr">
        <is>
          <t>รสเปรี้ยวเผ็ด​, 5 ซอง 100g</t>
        </is>
      </c>
      <c r="G684" s="6" t="n">
        <v>1</v>
      </c>
      <c r="H684" s="6" t="n">
        <v>114</v>
      </c>
      <c r="I684" s="6" t="n">
        <v>0</v>
      </c>
      <c r="J684" s="6" t="n">
        <v>28</v>
      </c>
      <c r="K684" s="6">
        <f>H684+I684</f>
        <v/>
      </c>
      <c r="L684" s="5">
        <f>K684/4.7</f>
        <v/>
      </c>
      <c r="M684" s="6" t="n">
        <v>3.35</v>
      </c>
      <c r="N684" s="6" t="n">
        <v>1</v>
      </c>
      <c r="O684" s="6">
        <f>(K684*0.1229+1.05)/4.7</f>
        <v/>
      </c>
      <c r="P684" s="6">
        <f>K684*0.0749/4.7</f>
        <v/>
      </c>
      <c r="Q684" s="5">
        <f>M684+N684+O684+P684</f>
        <v/>
      </c>
      <c r="R684" s="5">
        <f>L684-Q684</f>
        <v/>
      </c>
      <c r="S684" s="6">
        <f>R684*4.7</f>
        <v/>
      </c>
      <c r="T684" s="7">
        <f>IF(L684&gt;0,R684/L684,0)</f>
        <v/>
      </c>
      <c r="U684" s="3" t="inlineStr">
        <is>
          <t>12/05/2026 17:33:23</t>
        </is>
      </c>
    </row>
    <row r="685">
      <c r="A685" s="3" t="inlineStr">
        <is>
          <t>583991572132758905</t>
        </is>
      </c>
      <c r="B685" s="3" t="inlineStr">
        <is>
          <t>已取消</t>
        </is>
      </c>
      <c r="C685" s="3" t="inlineStr">
        <is>
          <t>CK</t>
        </is>
      </c>
      <c r="D685" s="3" t="inlineStr">
        <is>
          <t>黑松露黑麦苏打饼干</t>
        </is>
      </c>
      <c r="E68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85" s="3" t="inlineStr">
        <is>
          <t>ค่าเริ่มต้น</t>
        </is>
      </c>
      <c r="G685" s="6" t="n">
        <v>1</v>
      </c>
      <c r="H685" s="6" t="n">
        <v>80</v>
      </c>
      <c r="I685" s="6" t="n">
        <v>20</v>
      </c>
      <c r="J685" s="6" t="n">
        <v>35</v>
      </c>
      <c r="K685" s="6">
        <f>H685+I685</f>
        <v/>
      </c>
      <c r="L685" s="5">
        <f>K685/4.7</f>
        <v/>
      </c>
      <c r="M685" s="6" t="n">
        <v>10.72665050209467</v>
      </c>
      <c r="N685" s="6" t="n">
        <v>1</v>
      </c>
      <c r="O685" s="6">
        <f>(K685*0.1229+1.05)/4.7</f>
        <v/>
      </c>
      <c r="P685" s="6">
        <f>K685*0.0749/4.7</f>
        <v/>
      </c>
      <c r="Q685" s="5">
        <f>M685+N685+O685+P685</f>
        <v/>
      </c>
      <c r="R685" s="5">
        <f>L685-Q685</f>
        <v/>
      </c>
      <c r="S685" s="6">
        <f>R685*4.7</f>
        <v/>
      </c>
      <c r="T685" s="7">
        <f>IF(L685&gt;0,R685/L685,0)</f>
        <v/>
      </c>
      <c r="U685" s="3" t="inlineStr">
        <is>
          <t>12/05/2026 17:06:25</t>
        </is>
      </c>
    </row>
    <row r="686">
      <c r="A686" s="3" t="inlineStr">
        <is>
          <t>583991341001376787</t>
        </is>
      </c>
      <c r="B686" s="3" t="inlineStr">
        <is>
          <t>已完成</t>
        </is>
      </c>
      <c r="C686" s="3" t="inlineStr">
        <is>
          <t>ER-B</t>
        </is>
      </c>
      <c r="D686" s="3" t="inlineStr">
        <is>
          <t>广州酒家黄油鸡蛋卷480g</t>
        </is>
      </c>
      <c r="E686" s="3" t="inlineStr">
        <is>
          <t>Egg Roll 2สูตร ทองม้วนไข่กล่องเหล็กพรีเมี่ยม!! GuangZhou Restaurant 454g/480g กล่องล่ะ 24 แท่ง</t>
        </is>
      </c>
      <c r="F686" s="3" t="inlineStr">
        <is>
          <t>Butter สูตรเนยสด พรีเมี่ยม</t>
        </is>
      </c>
      <c r="G686" s="6" t="n">
        <v>1</v>
      </c>
      <c r="H686" s="6" t="n">
        <v>360</v>
      </c>
      <c r="I686" s="6" t="n">
        <v>0</v>
      </c>
      <c r="J686" s="6" t="n">
        <v>38</v>
      </c>
      <c r="K686" s="6">
        <f>H686+I686</f>
        <v/>
      </c>
      <c r="L686" s="5">
        <f>K686/4.7</f>
        <v/>
      </c>
      <c r="M686" s="6" t="n">
        <v>45.49882436351998</v>
      </c>
      <c r="N686" s="6" t="n">
        <v>2</v>
      </c>
      <c r="O686" s="6">
        <f>(K686*0.1229+1.05)/4.7</f>
        <v/>
      </c>
      <c r="P686" s="6">
        <f>K686*0.0749/4.7</f>
        <v/>
      </c>
      <c r="Q686" s="5">
        <f>M686+N686+O686+P686</f>
        <v/>
      </c>
      <c r="R686" s="5">
        <f>L686-Q686</f>
        <v/>
      </c>
      <c r="S686" s="6">
        <f>R686*4.7</f>
        <v/>
      </c>
      <c r="T686" s="7">
        <f>IF(L686&gt;0,R686/L686,0)</f>
        <v/>
      </c>
      <c r="U686" s="3" t="inlineStr">
        <is>
          <t>12/05/2026 16:46:35</t>
        </is>
      </c>
    </row>
    <row r="687">
      <c r="A687" s="3" t="inlineStr">
        <is>
          <t>583991197719364915</t>
        </is>
      </c>
      <c r="B687" s="3" t="inlineStr">
        <is>
          <t>已完成</t>
        </is>
      </c>
      <c r="C687" s="3" t="inlineStr">
        <is>
          <t>C1</t>
        </is>
      </c>
      <c r="D687" s="3" t="inlineStr">
        <is>
          <t>魔芋笋1大袋</t>
        </is>
      </c>
      <c r="E6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7" s="3" t="inlineStr">
        <is>
          <t>รสเผ็ดหอม​, 10 ซอง 200g</t>
        </is>
      </c>
      <c r="G687" s="6" t="n">
        <v>1</v>
      </c>
      <c r="H687" s="6" t="n">
        <v>69</v>
      </c>
      <c r="I687" s="6" t="n">
        <v>0</v>
      </c>
      <c r="J687" s="6" t="n">
        <v>29</v>
      </c>
      <c r="K687" s="6">
        <f>H687+I687</f>
        <v/>
      </c>
      <c r="L687" s="5">
        <f>K687/4.7</f>
        <v/>
      </c>
      <c r="M687" s="6" t="n">
        <v>6.699999999999999</v>
      </c>
      <c r="N687" s="6" t="n">
        <v>1</v>
      </c>
      <c r="O687" s="6">
        <f>(K687*0.1229+1.05)/4.7</f>
        <v/>
      </c>
      <c r="P687" s="6">
        <f>K687*0.0749/4.7</f>
        <v/>
      </c>
      <c r="Q687" s="5">
        <f>M687+N687+O687+P687</f>
        <v/>
      </c>
      <c r="R687" s="5">
        <f>L687-Q687</f>
        <v/>
      </c>
      <c r="S687" s="6">
        <f>R687*4.7</f>
        <v/>
      </c>
      <c r="T687" s="7">
        <f>IF(L687&gt;0,R687/L687,0)</f>
        <v/>
      </c>
      <c r="U687" s="3" t="inlineStr">
        <is>
          <t>12/05/2026 16:36:32</t>
        </is>
      </c>
    </row>
    <row r="688">
      <c r="A688" s="3" t="inlineStr">
        <is>
          <t>583991168972785048</t>
        </is>
      </c>
      <c r="B688" s="3" t="inlineStr">
        <is>
          <t>已取消</t>
        </is>
      </c>
      <c r="C688" s="3" t="inlineStr">
        <is>
          <t>CK</t>
        </is>
      </c>
      <c r="D688" s="3" t="inlineStr">
        <is>
          <t>黑松露黑麦苏打饼干</t>
        </is>
      </c>
      <c r="E68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88" s="3" t="inlineStr">
        <is>
          <t>ค่าเริ่มต้น</t>
        </is>
      </c>
      <c r="G688" s="6" t="n">
        <v>1</v>
      </c>
      <c r="H688" s="6" t="n">
        <v>100</v>
      </c>
      <c r="I688" s="6" t="n">
        <v>0</v>
      </c>
      <c r="J688" s="6" t="n">
        <v>38</v>
      </c>
      <c r="K688" s="6">
        <f>H688+I688</f>
        <v/>
      </c>
      <c r="L688" s="5">
        <f>K688/4.7</f>
        <v/>
      </c>
      <c r="M688" s="6" t="n">
        <v>10.72665050209467</v>
      </c>
      <c r="N688" s="6" t="n">
        <v>1</v>
      </c>
      <c r="O688" s="6">
        <f>(K688*0.1229+1.05)/4.7</f>
        <v/>
      </c>
      <c r="P688" s="6">
        <f>K688*0.0749/4.7</f>
        <v/>
      </c>
      <c r="Q688" s="5">
        <f>M688+N688+O688+P688</f>
        <v/>
      </c>
      <c r="R688" s="5">
        <f>L688-Q688</f>
        <v/>
      </c>
      <c r="S688" s="6">
        <f>R688*4.7</f>
        <v/>
      </c>
      <c r="T688" s="7">
        <f>IF(L688&gt;0,R688/L688,0)</f>
        <v/>
      </c>
      <c r="U688" s="3" t="inlineStr">
        <is>
          <t>12/05/2026 16:29:37</t>
        </is>
      </c>
    </row>
    <row r="689">
      <c r="A689" s="3" t="inlineStr">
        <is>
          <t>583990798310147770</t>
        </is>
      </c>
      <c r="B689" s="3" t="inlineStr">
        <is>
          <t>已完成</t>
        </is>
      </c>
      <c r="C689" s="3" t="inlineStr">
        <is>
          <t>A1</t>
        </is>
      </c>
      <c r="D689" s="3" t="inlineStr">
        <is>
          <t>魔芋干1包</t>
        </is>
      </c>
      <c r="E689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89" s="3" t="inlineStr">
        <is>
          <t>10 ซอง 100g</t>
        </is>
      </c>
      <c r="G689" s="6" t="n">
        <v>1</v>
      </c>
      <c r="H689" s="6" t="n">
        <v>189.14</v>
      </c>
      <c r="I689" s="6" t="n">
        <v>0</v>
      </c>
      <c r="J689" s="6" t="n">
        <v>35</v>
      </c>
      <c r="K689" s="6">
        <f>H689+I689</f>
        <v/>
      </c>
      <c r="L689" s="5">
        <f>K689/4.7</f>
        <v/>
      </c>
      <c r="M689" s="6" t="n">
        <v>6.1</v>
      </c>
      <c r="N689" s="6" t="n">
        <v>0.5</v>
      </c>
      <c r="O689" s="6">
        <f>(K689*0.1229+1.05)/4.7</f>
        <v/>
      </c>
      <c r="P689" s="6">
        <f>K689*0.0749/4.7</f>
        <v/>
      </c>
      <c r="Q689" s="5">
        <f>M689+N689+O689+P689</f>
        <v/>
      </c>
      <c r="R689" s="5">
        <f>L689-Q689</f>
        <v/>
      </c>
      <c r="S689" s="6">
        <f>R689*4.7</f>
        <v/>
      </c>
      <c r="T689" s="7">
        <f>IF(L689&gt;0,R689/L689,0)</f>
        <v/>
      </c>
      <c r="U689" s="3" t="inlineStr">
        <is>
          <t>12/05/2026 15:59:43</t>
        </is>
      </c>
    </row>
    <row r="690">
      <c r="A690" s="3" t="inlineStr">
        <is>
          <t>583990798310147770</t>
        </is>
      </c>
      <c r="B690" s="3" t="inlineStr">
        <is>
          <t>已完成</t>
        </is>
      </c>
      <c r="C690" s="3" t="inlineStr">
        <is>
          <t>C2</t>
        </is>
      </c>
      <c r="D690" s="3" t="inlineStr">
        <is>
          <t>魔芋笋2大袋</t>
        </is>
      </c>
      <c r="E6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0" s="3" t="inlineStr">
        <is>
          <t>รสเผ็ดหอม​, 20 ซอง 400g</t>
        </is>
      </c>
      <c r="G690" s="6" t="n">
        <v>1</v>
      </c>
      <c r="H690" s="6" t="n">
        <v>189.14</v>
      </c>
      <c r="I690" s="6" t="n">
        <v>0</v>
      </c>
      <c r="J690" s="6" t="n">
        <v>35</v>
      </c>
      <c r="K690" s="6">
        <f>H690+I690</f>
        <v/>
      </c>
      <c r="L690" s="5">
        <f>K690/4.7</f>
        <v/>
      </c>
      <c r="M690" s="6" t="n">
        <v>13.4</v>
      </c>
      <c r="N690" s="6" t="n">
        <v>1</v>
      </c>
      <c r="O690" s="6">
        <f>(K690*0.1229+1.05)/4.7</f>
        <v/>
      </c>
      <c r="P690" s="6">
        <f>K690*0.0749/4.7</f>
        <v/>
      </c>
      <c r="Q690" s="5">
        <f>M690+N690+O690+P690</f>
        <v/>
      </c>
      <c r="R690" s="5">
        <f>L690-Q690</f>
        <v/>
      </c>
      <c r="S690" s="6">
        <f>R690*4.7</f>
        <v/>
      </c>
      <c r="T690" s="7">
        <f>IF(L690&gt;0,R690/L690,0)</f>
        <v/>
      </c>
      <c r="U690" s="3" t="inlineStr">
        <is>
          <t>12/05/2026 15:59:43</t>
        </is>
      </c>
    </row>
    <row r="691">
      <c r="A691" s="3" t="inlineStr">
        <is>
          <t>583990798310147770</t>
        </is>
      </c>
      <c r="B691" s="3" t="inlineStr">
        <is>
          <t>已完成</t>
        </is>
      </c>
      <c r="C691" s="3" t="inlineStr">
        <is>
          <t>B1</t>
        </is>
      </c>
      <c r="D691" s="3" t="inlineStr">
        <is>
          <t>魔芋笋1大袋</t>
        </is>
      </c>
      <c r="E6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1" s="3" t="inlineStr">
        <is>
          <t>รสเปรี้ยวเผ็ด​, 10 ซอง 200g</t>
        </is>
      </c>
      <c r="G691" s="6" t="n">
        <v>1</v>
      </c>
      <c r="H691" s="6" t="n">
        <v>189.14</v>
      </c>
      <c r="I691" s="6" t="n">
        <v>0</v>
      </c>
      <c r="J691" s="6" t="n">
        <v>35</v>
      </c>
      <c r="K691" s="6">
        <f>H691+I691</f>
        <v/>
      </c>
      <c r="L691" s="5">
        <f>K691/4.7</f>
        <v/>
      </c>
      <c r="M691" s="6" t="n">
        <v>6.699999999999999</v>
      </c>
      <c r="N691" s="6" t="n">
        <v>1</v>
      </c>
      <c r="O691" s="6">
        <f>(K691*0.1229+1.05)/4.7</f>
        <v/>
      </c>
      <c r="P691" s="6">
        <f>K691*0.0749/4.7</f>
        <v/>
      </c>
      <c r="Q691" s="5">
        <f>M691+N691+O691+P691</f>
        <v/>
      </c>
      <c r="R691" s="5">
        <f>L691-Q691</f>
        <v/>
      </c>
      <c r="S691" s="6">
        <f>R691*4.7</f>
        <v/>
      </c>
      <c r="T691" s="7">
        <f>IF(L691&gt;0,R691/L691,0)</f>
        <v/>
      </c>
      <c r="U691" s="3" t="inlineStr">
        <is>
          <t>12/05/2026 15:59:43</t>
        </is>
      </c>
    </row>
    <row r="692">
      <c r="A692" s="3" t="inlineStr">
        <is>
          <t>583990671450998521</t>
        </is>
      </c>
      <c r="B692" s="3" t="inlineStr">
        <is>
          <t>已完成</t>
        </is>
      </c>
      <c r="C692" s="3" t="inlineStr">
        <is>
          <t>CK</t>
        </is>
      </c>
      <c r="D692" s="3" t="inlineStr">
        <is>
          <t>黑松露黑麦苏打饼干</t>
        </is>
      </c>
      <c r="E69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92" s="3" t="inlineStr">
        <is>
          <t>ค่าเริ่มต้น</t>
        </is>
      </c>
      <c r="G692" s="6" t="n">
        <v>1</v>
      </c>
      <c r="H692" s="6" t="n">
        <v>85</v>
      </c>
      <c r="I692" s="6" t="n">
        <v>15</v>
      </c>
      <c r="J692" s="6" t="n">
        <v>29</v>
      </c>
      <c r="K692" s="6">
        <f>H692+I692</f>
        <v/>
      </c>
      <c r="L692" s="5">
        <f>K692/4.7</f>
        <v/>
      </c>
      <c r="M692" s="6" t="n">
        <v>10.72665050209467</v>
      </c>
      <c r="N692" s="6" t="n">
        <v>1</v>
      </c>
      <c r="O692" s="6">
        <f>(K692*0.1229+1.05)/4.7</f>
        <v/>
      </c>
      <c r="P692" s="6">
        <f>K692*0.0749/4.7</f>
        <v/>
      </c>
      <c r="Q692" s="5">
        <f>M692+N692+O692+P692</f>
        <v/>
      </c>
      <c r="R692" s="5">
        <f>L692-Q692</f>
        <v/>
      </c>
      <c r="S692" s="6">
        <f>R692*4.7</f>
        <v/>
      </c>
      <c r="T692" s="7">
        <f>IF(L692&gt;0,R692/L692,0)</f>
        <v/>
      </c>
      <c r="U692" s="3" t="inlineStr">
        <is>
          <t>12/05/2026 15:54:18</t>
        </is>
      </c>
    </row>
    <row r="693">
      <c r="A693" s="3" t="inlineStr">
        <is>
          <t>583990587445839267</t>
        </is>
      </c>
      <c r="B693" s="3" t="inlineStr">
        <is>
          <t>已取消</t>
        </is>
      </c>
      <c r="C693" s="3" t="inlineStr">
        <is>
          <t>C1</t>
        </is>
      </c>
      <c r="D693" s="3" t="inlineStr">
        <is>
          <t>魔芋笋1大袋</t>
        </is>
      </c>
      <c r="E693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693" s="3" t="inlineStr">
        <is>
          <t>รสเผ็ดหอม​, 1pcs</t>
        </is>
      </c>
      <c r="G693" s="6" t="n">
        <v>1</v>
      </c>
      <c r="H693" s="6" t="n">
        <v>190</v>
      </c>
      <c r="I693" s="6" t="n">
        <v>0</v>
      </c>
      <c r="J693" s="6" t="n">
        <v>35</v>
      </c>
      <c r="K693" s="6">
        <f>H693+I693</f>
        <v/>
      </c>
      <c r="L693" s="5">
        <f>K693/4.7</f>
        <v/>
      </c>
      <c r="M693" s="6" t="n">
        <v>6.699999999999999</v>
      </c>
      <c r="N693" s="6" t="n">
        <v>1</v>
      </c>
      <c r="O693" s="6">
        <f>(K693*0.1229+1.05)/4.7</f>
        <v/>
      </c>
      <c r="P693" s="6">
        <f>K693*0.0749/4.7</f>
        <v/>
      </c>
      <c r="Q693" s="5">
        <f>M693+N693+O693+P693</f>
        <v/>
      </c>
      <c r="R693" s="5">
        <f>L693-Q693</f>
        <v/>
      </c>
      <c r="S693" s="6">
        <f>R693*4.7</f>
        <v/>
      </c>
      <c r="T693" s="7">
        <f>IF(L693&gt;0,R693/L693,0)</f>
        <v/>
      </c>
      <c r="U693" s="3" t="inlineStr">
        <is>
          <t>12/05/2026 15:45:28</t>
        </is>
      </c>
    </row>
    <row r="694">
      <c r="A694" s="3" t="inlineStr">
        <is>
          <t>583990182970361821</t>
        </is>
      </c>
      <c r="B694" s="3" t="inlineStr">
        <is>
          <t>已完成</t>
        </is>
      </c>
      <c r="C694" s="3" t="inlineStr">
        <is>
          <t>ER-B</t>
        </is>
      </c>
      <c r="D694" s="3" t="inlineStr">
        <is>
          <t>广州酒家黄油鸡蛋卷480g</t>
        </is>
      </c>
      <c r="E694" s="3" t="inlineStr">
        <is>
          <t>Egg Roll 2สูตร ทองม้วนไข่กล่องเหล็กพรีเมี่ยม!! GuangZhou Restaurant 454g/480g กล่องล่ะ 24 แท่ง</t>
        </is>
      </c>
      <c r="F694" s="3" t="inlineStr">
        <is>
          <t>Butter สูตรเนยสด พรีเมี่ยม</t>
        </is>
      </c>
      <c r="G694" s="6" t="n">
        <v>1</v>
      </c>
      <c r="H694" s="6" t="n">
        <v>318.3</v>
      </c>
      <c r="I694" s="6" t="n">
        <v>41.7</v>
      </c>
      <c r="J694" s="6" t="n">
        <v>38</v>
      </c>
      <c r="K694" s="6">
        <f>H694+I694</f>
        <v/>
      </c>
      <c r="L694" s="5">
        <f>K694/4.7</f>
        <v/>
      </c>
      <c r="M694" s="6" t="n">
        <v>45.49882436351998</v>
      </c>
      <c r="N694" s="6" t="n">
        <v>2</v>
      </c>
      <c r="O694" s="6">
        <f>(K694*0.1229+1.05)/4.7</f>
        <v/>
      </c>
      <c r="P694" s="6">
        <f>K694*0.0749/4.7</f>
        <v/>
      </c>
      <c r="Q694" s="5">
        <f>M694+N694+O694+P694</f>
        <v/>
      </c>
      <c r="R694" s="5">
        <f>L694-Q694</f>
        <v/>
      </c>
      <c r="S694" s="6">
        <f>R694*4.7</f>
        <v/>
      </c>
      <c r="T694" s="7">
        <f>IF(L694&gt;0,R694/L694,0)</f>
        <v/>
      </c>
      <c r="U694" s="3" t="inlineStr">
        <is>
          <t>12/05/2026 15:12:10</t>
        </is>
      </c>
    </row>
    <row r="695">
      <c r="A695" s="3" t="inlineStr">
        <is>
          <t>583989726503339750</t>
        </is>
      </c>
      <c r="B695" s="3" t="inlineStr">
        <is>
          <t>已完成</t>
        </is>
      </c>
      <c r="C695" s="3" t="inlineStr">
        <is>
          <t>CK</t>
        </is>
      </c>
      <c r="D695" s="3" t="inlineStr">
        <is>
          <t>黑松露黑麦苏打饼干</t>
        </is>
      </c>
      <c r="E69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95" s="3" t="inlineStr">
        <is>
          <t>ค่าเริ่มต้น</t>
        </is>
      </c>
      <c r="G695" s="6" t="n">
        <v>1</v>
      </c>
      <c r="H695" s="6" t="n">
        <v>105</v>
      </c>
      <c r="I695" s="6" t="n">
        <v>0</v>
      </c>
      <c r="J695" s="6" t="n">
        <v>35</v>
      </c>
      <c r="K695" s="6">
        <f>H695+I695</f>
        <v/>
      </c>
      <c r="L695" s="5">
        <f>K695/4.7</f>
        <v/>
      </c>
      <c r="M695" s="6" t="n">
        <v>10.72665050209467</v>
      </c>
      <c r="N695" s="6" t="n">
        <v>1</v>
      </c>
      <c r="O695" s="6">
        <f>(K695*0.1229+1.05)/4.7</f>
        <v/>
      </c>
      <c r="P695" s="6">
        <f>K695*0.0749/4.7</f>
        <v/>
      </c>
      <c r="Q695" s="5">
        <f>M695+N695+O695+P695</f>
        <v/>
      </c>
      <c r="R695" s="5">
        <f>L695-Q695</f>
        <v/>
      </c>
      <c r="S695" s="6">
        <f>R695*4.7</f>
        <v/>
      </c>
      <c r="T695" s="7">
        <f>IF(L695&gt;0,R695/L695,0)</f>
        <v/>
      </c>
      <c r="U695" s="3" t="inlineStr">
        <is>
          <t>12/05/2026 14:37:24</t>
        </is>
      </c>
    </row>
    <row r="696">
      <c r="A696" s="3" t="inlineStr">
        <is>
          <t>583989403448804847</t>
        </is>
      </c>
      <c r="B696" s="3" t="inlineStr">
        <is>
          <t>已完成</t>
        </is>
      </c>
      <c r="C696" s="3" t="inlineStr">
        <is>
          <t>A1</t>
        </is>
      </c>
      <c r="D696" s="3" t="inlineStr">
        <is>
          <t>魔芋干1包</t>
        </is>
      </c>
      <c r="E696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96" s="3" t="inlineStr">
        <is>
          <t>10 ซอง 100g</t>
        </is>
      </c>
      <c r="G696" s="6" t="n">
        <v>1</v>
      </c>
      <c r="H696" s="6" t="n">
        <v>47.7</v>
      </c>
      <c r="I696" s="6" t="n">
        <v>5.3</v>
      </c>
      <c r="J696" s="6" t="n">
        <v>35</v>
      </c>
      <c r="K696" s="6">
        <f>H696+I696</f>
        <v/>
      </c>
      <c r="L696" s="5">
        <f>K696/4.7</f>
        <v/>
      </c>
      <c r="M696" s="6" t="n">
        <v>6.1</v>
      </c>
      <c r="N696" s="6" t="n">
        <v>0.5</v>
      </c>
      <c r="O696" s="6">
        <f>(K696*0.1229+1.05)/4.7</f>
        <v/>
      </c>
      <c r="P696" s="6">
        <f>K696*0.0749/4.7</f>
        <v/>
      </c>
      <c r="Q696" s="5">
        <f>M696+N696+O696+P696</f>
        <v/>
      </c>
      <c r="R696" s="5">
        <f>L696-Q696</f>
        <v/>
      </c>
      <c r="S696" s="6">
        <f>R696*4.7</f>
        <v/>
      </c>
      <c r="T696" s="7">
        <f>IF(L696&gt;0,R696/L696,0)</f>
        <v/>
      </c>
      <c r="U696" s="3" t="inlineStr">
        <is>
          <t>12/05/2026 14:16:04</t>
        </is>
      </c>
    </row>
    <row r="697">
      <c r="A697" s="3" t="inlineStr">
        <is>
          <t>583989304764433969</t>
        </is>
      </c>
      <c r="B697" s="3" t="inlineStr">
        <is>
          <t>已完成</t>
        </is>
      </c>
      <c r="C697" s="3" t="inlineStr">
        <is>
          <t>C2</t>
        </is>
      </c>
      <c r="D697" s="3" t="inlineStr">
        <is>
          <t>魔芋笋2大袋</t>
        </is>
      </c>
      <c r="E6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7" s="3" t="inlineStr">
        <is>
          <t>รสเผ็ดหอม​, 20 ซอง 400g</t>
        </is>
      </c>
      <c r="G697" s="6" t="n">
        <v>1</v>
      </c>
      <c r="H697" s="6" t="n">
        <v>125</v>
      </c>
      <c r="I697" s="6" t="n">
        <v>0</v>
      </c>
      <c r="J697" s="6" t="n">
        <v>35</v>
      </c>
      <c r="K697" s="6">
        <f>H697+I697</f>
        <v/>
      </c>
      <c r="L697" s="5">
        <f>K697/4.7</f>
        <v/>
      </c>
      <c r="M697" s="6" t="n">
        <v>13.4</v>
      </c>
      <c r="N697" s="6" t="n">
        <v>1</v>
      </c>
      <c r="O697" s="6">
        <f>(K697*0.1229+1.05)/4.7</f>
        <v/>
      </c>
      <c r="P697" s="6">
        <f>K697*0.0749/4.7</f>
        <v/>
      </c>
      <c r="Q697" s="5">
        <f>M697+N697+O697+P697</f>
        <v/>
      </c>
      <c r="R697" s="5">
        <f>L697-Q697</f>
        <v/>
      </c>
      <c r="S697" s="6">
        <f>R697*4.7</f>
        <v/>
      </c>
      <c r="T697" s="7">
        <f>IF(L697&gt;0,R697/L697,0)</f>
        <v/>
      </c>
      <c r="U697" s="3" t="inlineStr">
        <is>
          <t>12/05/2026 14:07:46</t>
        </is>
      </c>
    </row>
    <row r="698">
      <c r="A698" s="3" t="inlineStr">
        <is>
          <t>583989106993694134</t>
        </is>
      </c>
      <c r="B698" s="3" t="inlineStr">
        <is>
          <t>已完成</t>
        </is>
      </c>
      <c r="C698" s="3" t="inlineStr">
        <is>
          <t>CK</t>
        </is>
      </c>
      <c r="D698" s="3" t="inlineStr">
        <is>
          <t>黑松露黑麦苏打饼干</t>
        </is>
      </c>
      <c r="E69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98" s="3" t="inlineStr">
        <is>
          <t>ค่าเริ่มต้น</t>
        </is>
      </c>
      <c r="G698" s="6" t="n">
        <v>1</v>
      </c>
      <c r="H698" s="6" t="n">
        <v>68.25</v>
      </c>
      <c r="I698" s="6" t="n">
        <v>36.75</v>
      </c>
      <c r="J698" s="6" t="n">
        <v>35</v>
      </c>
      <c r="K698" s="6">
        <f>H698+I698</f>
        <v/>
      </c>
      <c r="L698" s="5">
        <f>K698/4.7</f>
        <v/>
      </c>
      <c r="M698" s="6" t="n">
        <v>10.72665050209467</v>
      </c>
      <c r="N698" s="6" t="n">
        <v>1</v>
      </c>
      <c r="O698" s="6">
        <f>(K698*0.1229+1.05)/4.7</f>
        <v/>
      </c>
      <c r="P698" s="6">
        <f>K698*0.0749/4.7</f>
        <v/>
      </c>
      <c r="Q698" s="5">
        <f>M698+N698+O698+P698</f>
        <v/>
      </c>
      <c r="R698" s="5">
        <f>L698-Q698</f>
        <v/>
      </c>
      <c r="S698" s="6">
        <f>R698*4.7</f>
        <v/>
      </c>
      <c r="T698" s="7">
        <f>IF(L698&gt;0,R698/L698,0)</f>
        <v/>
      </c>
      <c r="U698" s="3" t="inlineStr">
        <is>
          <t>12/05/2026 13:53:33</t>
        </is>
      </c>
    </row>
    <row r="699">
      <c r="A699" s="3" t="inlineStr">
        <is>
          <t>583988506884343581</t>
        </is>
      </c>
      <c r="B699" s="3" t="inlineStr">
        <is>
          <t>已取消</t>
        </is>
      </c>
      <c r="C699" s="3" t="inlineStr">
        <is>
          <t>ER-B</t>
        </is>
      </c>
      <c r="D699" s="3" t="inlineStr">
        <is>
          <t>广州酒家黄油鸡蛋卷480g</t>
        </is>
      </c>
      <c r="E699" s="3" t="inlineStr">
        <is>
          <t>Egg Roll 2สูตร ทองม้วนไข่กล่องเหล็กพรีเมี่ยม!! GuangZhou Restaurant 454g/480g กล่องล่ะ 24 แท่ง</t>
        </is>
      </c>
      <c r="F699" s="3" t="inlineStr">
        <is>
          <t>Butter สูตรเนยสด พรีเมี่ยม</t>
        </is>
      </c>
      <c r="G699" s="6" t="n">
        <v>1</v>
      </c>
      <c r="H699" s="6" t="n">
        <v>354</v>
      </c>
      <c r="I699" s="6" t="n">
        <v>1</v>
      </c>
      <c r="J699" s="6" t="n">
        <v>27</v>
      </c>
      <c r="K699" s="6">
        <f>H699+I699</f>
        <v/>
      </c>
      <c r="L699" s="5">
        <f>K699/4.7</f>
        <v/>
      </c>
      <c r="M699" s="6" t="n">
        <v>45.49882436351998</v>
      </c>
      <c r="N699" s="6" t="n">
        <v>2</v>
      </c>
      <c r="O699" s="6">
        <f>(K699*0.1229+1.05)/4.7</f>
        <v/>
      </c>
      <c r="P699" s="6">
        <f>K699*0.0749/4.7</f>
        <v/>
      </c>
      <c r="Q699" s="5">
        <f>M699+N699+O699+P699</f>
        <v/>
      </c>
      <c r="R699" s="5">
        <f>L699-Q699</f>
        <v/>
      </c>
      <c r="S699" s="6">
        <f>R699*4.7</f>
        <v/>
      </c>
      <c r="T699" s="7">
        <f>IF(L699&gt;0,R699/L699,0)</f>
        <v/>
      </c>
      <c r="U699" s="3" t="inlineStr">
        <is>
          <t>12/05/2026 13:06:42</t>
        </is>
      </c>
    </row>
    <row r="700">
      <c r="A700" s="3" t="inlineStr">
        <is>
          <t>583988447690786446</t>
        </is>
      </c>
      <c r="B700" s="3" t="inlineStr">
        <is>
          <t>已完成</t>
        </is>
      </c>
      <c r="C700" s="3" t="inlineStr">
        <is>
          <t>ER-B</t>
        </is>
      </c>
      <c r="D700" s="3" t="inlineStr">
        <is>
          <t>广州酒家黄油鸡蛋卷480g</t>
        </is>
      </c>
      <c r="E700" s="3" t="inlineStr">
        <is>
          <t>Egg Roll 2สูตร ทองม้วนไข่กล่องเหล็กพรีเมี่ยม!! GuangZhou Restaurant 454g/480g กล่องล่ะ 24 แท่ง</t>
        </is>
      </c>
      <c r="F700" s="3" t="inlineStr">
        <is>
          <t>Butter สูตรเนยสด พรีเมี่ยม</t>
        </is>
      </c>
      <c r="G700" s="6" t="n">
        <v>1</v>
      </c>
      <c r="H700" s="6" t="n">
        <v>360</v>
      </c>
      <c r="I700" s="6" t="n">
        <v>0</v>
      </c>
      <c r="J700" s="6" t="n">
        <v>35</v>
      </c>
      <c r="K700" s="6">
        <f>H700+I700</f>
        <v/>
      </c>
      <c r="L700" s="5">
        <f>K700/4.7</f>
        <v/>
      </c>
      <c r="M700" s="6" t="n">
        <v>45.49882436351998</v>
      </c>
      <c r="N700" s="6" t="n">
        <v>2</v>
      </c>
      <c r="O700" s="6">
        <f>(K700*0.1229+1.05)/4.7</f>
        <v/>
      </c>
      <c r="P700" s="6">
        <f>K700*0.0749/4.7</f>
        <v/>
      </c>
      <c r="Q700" s="5">
        <f>M700+N700+O700+P700</f>
        <v/>
      </c>
      <c r="R700" s="5">
        <f>L700-Q700</f>
        <v/>
      </c>
      <c r="S700" s="6">
        <f>R700*4.7</f>
        <v/>
      </c>
      <c r="T700" s="7">
        <f>IF(L700&gt;0,R700/L700,0)</f>
        <v/>
      </c>
      <c r="U700" s="3" t="inlineStr">
        <is>
          <t>12/05/2026 13:02:58</t>
        </is>
      </c>
    </row>
    <row r="701">
      <c r="A701" s="3" t="inlineStr">
        <is>
          <t>583988367731623336</t>
        </is>
      </c>
      <c r="B701" s="3" t="inlineStr">
        <is>
          <t>已完成</t>
        </is>
      </c>
      <c r="C701" s="3" t="inlineStr">
        <is>
          <t>CK</t>
        </is>
      </c>
      <c r="D701" s="3" t="inlineStr">
        <is>
          <t>黑松露黑麦苏打饼干</t>
        </is>
      </c>
      <c r="E70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01" s="3" t="inlineStr">
        <is>
          <t>ค่าเริ่มต้น</t>
        </is>
      </c>
      <c r="G701" s="6" t="n">
        <v>1</v>
      </c>
      <c r="H701" s="6" t="n">
        <v>100</v>
      </c>
      <c r="I701" s="6" t="n">
        <v>0</v>
      </c>
      <c r="J701" s="6" t="n">
        <v>38</v>
      </c>
      <c r="K701" s="6">
        <f>H701+I701</f>
        <v/>
      </c>
      <c r="L701" s="5">
        <f>K701/4.7</f>
        <v/>
      </c>
      <c r="M701" s="6" t="n">
        <v>10.72665050209467</v>
      </c>
      <c r="N701" s="6" t="n">
        <v>1</v>
      </c>
      <c r="O701" s="6">
        <f>(K701*0.1229+1.05)/4.7</f>
        <v/>
      </c>
      <c r="P701" s="6">
        <f>K701*0.0749/4.7</f>
        <v/>
      </c>
      <c r="Q701" s="5">
        <f>M701+N701+O701+P701</f>
        <v/>
      </c>
      <c r="R701" s="5">
        <f>L701-Q701</f>
        <v/>
      </c>
      <c r="S701" s="6">
        <f>R701*4.7</f>
        <v/>
      </c>
      <c r="T701" s="7">
        <f>IF(L701&gt;0,R701/L701,0)</f>
        <v/>
      </c>
      <c r="U701" s="3" t="inlineStr">
        <is>
          <t>12/05/2026 12:59:24</t>
        </is>
      </c>
    </row>
    <row r="702">
      <c r="A702" s="3" t="inlineStr">
        <is>
          <t>583988307600049591</t>
        </is>
      </c>
      <c r="B702" s="3" t="inlineStr">
        <is>
          <t>已完成</t>
        </is>
      </c>
      <c r="C702" s="3" t="inlineStr">
        <is>
          <t>C1</t>
        </is>
      </c>
      <c r="D702" s="3" t="inlineStr">
        <is>
          <t>魔芋笋1大袋</t>
        </is>
      </c>
      <c r="E7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2" s="3" t="inlineStr">
        <is>
          <t>รสเผ็ดหอม​, 10 ซอง 200g</t>
        </is>
      </c>
      <c r="G702" s="6" t="n">
        <v>1</v>
      </c>
      <c r="H702" s="6" t="n">
        <v>69</v>
      </c>
      <c r="I702" s="6" t="n">
        <v>0</v>
      </c>
      <c r="J702" s="6" t="n">
        <v>35</v>
      </c>
      <c r="K702" s="6">
        <f>H702+I702</f>
        <v/>
      </c>
      <c r="L702" s="5">
        <f>K702/4.7</f>
        <v/>
      </c>
      <c r="M702" s="6" t="n">
        <v>6.699999999999999</v>
      </c>
      <c r="N702" s="6" t="n">
        <v>1</v>
      </c>
      <c r="O702" s="6">
        <f>(K702*0.1229+1.05)/4.7</f>
        <v/>
      </c>
      <c r="P702" s="6">
        <f>K702*0.0749/4.7</f>
        <v/>
      </c>
      <c r="Q702" s="5">
        <f>M702+N702+O702+P702</f>
        <v/>
      </c>
      <c r="R702" s="5">
        <f>L702-Q702</f>
        <v/>
      </c>
      <c r="S702" s="6">
        <f>R702*4.7</f>
        <v/>
      </c>
      <c r="T702" s="7">
        <f>IF(L702&gt;0,R702/L702,0)</f>
        <v/>
      </c>
      <c r="U702" s="3" t="inlineStr">
        <is>
          <t>12/05/2026 12:52:54</t>
        </is>
      </c>
    </row>
    <row r="703">
      <c r="A703" s="3" t="inlineStr">
        <is>
          <t>583987941615240326</t>
        </is>
      </c>
      <c r="B703" s="3" t="inlineStr">
        <is>
          <t>已完成</t>
        </is>
      </c>
      <c r="C703" s="3" t="inlineStr">
        <is>
          <t>A2</t>
        </is>
      </c>
      <c r="D703" s="3" t="inlineStr">
        <is>
          <t>魔芋干2包</t>
        </is>
      </c>
      <c r="E703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03" s="3" t="inlineStr">
        <is>
          <t>20 ซอง 200g</t>
        </is>
      </c>
      <c r="G703" s="6" t="n">
        <v>1</v>
      </c>
      <c r="H703" s="6" t="n">
        <v>97.94</v>
      </c>
      <c r="I703" s="6" t="n">
        <v>4.06</v>
      </c>
      <c r="J703" s="6" t="n">
        <v>35</v>
      </c>
      <c r="K703" s="6">
        <f>H703+I703</f>
        <v/>
      </c>
      <c r="L703" s="5">
        <f>K703/4.7</f>
        <v/>
      </c>
      <c r="M703" s="6" t="n">
        <v>12.2</v>
      </c>
      <c r="N703" s="6" t="n">
        <v>0.5</v>
      </c>
      <c r="O703" s="6">
        <f>(K703*0.1229+1.05)/4.7</f>
        <v/>
      </c>
      <c r="P703" s="6">
        <f>K703*0.0749/4.7</f>
        <v/>
      </c>
      <c r="Q703" s="5">
        <f>M703+N703+O703+P703</f>
        <v/>
      </c>
      <c r="R703" s="5">
        <f>L703-Q703</f>
        <v/>
      </c>
      <c r="S703" s="6">
        <f>R703*4.7</f>
        <v/>
      </c>
      <c r="T703" s="7">
        <f>IF(L703&gt;0,R703/L703,0)</f>
        <v/>
      </c>
      <c r="U703" s="3" t="inlineStr">
        <is>
          <t>12/05/2026 12:30:10</t>
        </is>
      </c>
    </row>
    <row r="704">
      <c r="A704" s="3" t="inlineStr">
        <is>
          <t>583987915221141032</t>
        </is>
      </c>
      <c r="B704" s="3" t="inlineStr">
        <is>
          <t>已完成</t>
        </is>
      </c>
      <c r="C704" s="3" t="inlineStr">
        <is>
          <t>C2</t>
        </is>
      </c>
      <c r="D704" s="3" t="inlineStr">
        <is>
          <t>魔芋笋2大袋</t>
        </is>
      </c>
      <c r="E7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4" s="3" t="inlineStr">
        <is>
          <t>รสเผ็ดหอม​, 20 ซอง 400g</t>
        </is>
      </c>
      <c r="G704" s="6" t="n">
        <v>1</v>
      </c>
      <c r="H704" s="6" t="n">
        <v>120</v>
      </c>
      <c r="I704" s="6" t="n">
        <v>0</v>
      </c>
      <c r="J704" s="6" t="n">
        <v>38</v>
      </c>
      <c r="K704" s="6">
        <f>H704+I704</f>
        <v/>
      </c>
      <c r="L704" s="5">
        <f>K704/4.7</f>
        <v/>
      </c>
      <c r="M704" s="6" t="n">
        <v>13.4</v>
      </c>
      <c r="N704" s="6" t="n">
        <v>1</v>
      </c>
      <c r="O704" s="6">
        <f>(K704*0.1229+1.05)/4.7</f>
        <v/>
      </c>
      <c r="P704" s="6">
        <f>K704*0.0749/4.7</f>
        <v/>
      </c>
      <c r="Q704" s="5">
        <f>M704+N704+O704+P704</f>
        <v/>
      </c>
      <c r="R704" s="5">
        <f>L704-Q704</f>
        <v/>
      </c>
      <c r="S704" s="6">
        <f>R704*4.7</f>
        <v/>
      </c>
      <c r="T704" s="7">
        <f>IF(L704&gt;0,R704/L704,0)</f>
        <v/>
      </c>
      <c r="U704" s="3" t="inlineStr">
        <is>
          <t>12/05/2026 12:20:48</t>
        </is>
      </c>
    </row>
    <row r="705">
      <c r="A705" s="3" t="inlineStr">
        <is>
          <t>583986977747404156</t>
        </is>
      </c>
      <c r="B705" s="3" t="inlineStr">
        <is>
          <t>已完成</t>
        </is>
      </c>
      <c r="C705" s="3" t="inlineStr">
        <is>
          <t>C3</t>
        </is>
      </c>
      <c r="D705" s="3" t="inlineStr">
        <is>
          <t>魔芋笋3大袋</t>
        </is>
      </c>
      <c r="E7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5" s="3" t="inlineStr">
        <is>
          <t>รสเผ็ดหอม​, 30 ซอง 600g</t>
        </is>
      </c>
      <c r="G705" s="6" t="n">
        <v>1</v>
      </c>
      <c r="H705" s="6" t="n">
        <v>172</v>
      </c>
      <c r="I705" s="6" t="n">
        <v>0</v>
      </c>
      <c r="J705" s="6" t="n">
        <v>35</v>
      </c>
      <c r="K705" s="6">
        <f>H705+I705</f>
        <v/>
      </c>
      <c r="L705" s="5">
        <f>K705/4.7</f>
        <v/>
      </c>
      <c r="M705" s="6" t="n">
        <v>20.1</v>
      </c>
      <c r="N705" s="6" t="n">
        <v>1</v>
      </c>
      <c r="O705" s="6">
        <f>(K705*0.1229+1.05)/4.7</f>
        <v/>
      </c>
      <c r="P705" s="6">
        <f>K705*0.0749/4.7</f>
        <v/>
      </c>
      <c r="Q705" s="5">
        <f>M705+N705+O705+P705</f>
        <v/>
      </c>
      <c r="R705" s="5">
        <f>L705-Q705</f>
        <v/>
      </c>
      <c r="S705" s="6">
        <f>R705*4.7</f>
        <v/>
      </c>
      <c r="T705" s="7">
        <f>IF(L705&gt;0,R705/L705,0)</f>
        <v/>
      </c>
      <c r="U705" s="3" t="inlineStr">
        <is>
          <t>12/05/2026 11:20:09</t>
        </is>
      </c>
    </row>
    <row r="706">
      <c r="A706" s="3" t="inlineStr">
        <is>
          <t>583986563764028844</t>
        </is>
      </c>
      <c r="B706" s="3" t="inlineStr">
        <is>
          <t>已完成</t>
        </is>
      </c>
      <c r="C706" s="3" t="inlineStr">
        <is>
          <t>B1</t>
        </is>
      </c>
      <c r="D706" s="3" t="inlineStr">
        <is>
          <t>魔芋笋1大袋</t>
        </is>
      </c>
      <c r="E7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6" s="3" t="inlineStr">
        <is>
          <t>รสเปรี้ยวเผ็ด​, 10 ซอง 200g</t>
        </is>
      </c>
      <c r="G706" s="6" t="n">
        <v>1</v>
      </c>
      <c r="H706" s="6" t="n">
        <v>69</v>
      </c>
      <c r="I706" s="6" t="n">
        <v>0</v>
      </c>
      <c r="J706" s="6" t="n">
        <v>38</v>
      </c>
      <c r="K706" s="6">
        <f>H706+I706</f>
        <v/>
      </c>
      <c r="L706" s="5">
        <f>K706/4.7</f>
        <v/>
      </c>
      <c r="M706" s="6" t="n">
        <v>6.699999999999999</v>
      </c>
      <c r="N706" s="6" t="n">
        <v>1</v>
      </c>
      <c r="O706" s="6">
        <f>(K706*0.1229+1.05)/4.7</f>
        <v/>
      </c>
      <c r="P706" s="6">
        <f>K706*0.0749/4.7</f>
        <v/>
      </c>
      <c r="Q706" s="5">
        <f>M706+N706+O706+P706</f>
        <v/>
      </c>
      <c r="R706" s="5">
        <f>L706-Q706</f>
        <v/>
      </c>
      <c r="S706" s="6">
        <f>R706*4.7</f>
        <v/>
      </c>
      <c r="T706" s="7">
        <f>IF(L706&gt;0,R706/L706,0)</f>
        <v/>
      </c>
      <c r="U706" s="3" t="inlineStr">
        <is>
          <t>12/05/2026 10:51:36</t>
        </is>
      </c>
    </row>
    <row r="707">
      <c r="A707" s="3" t="inlineStr">
        <is>
          <t>583986518683125164</t>
        </is>
      </c>
      <c r="B707" s="3" t="inlineStr">
        <is>
          <t>已完成</t>
        </is>
      </c>
      <c r="C707" s="3" t="inlineStr">
        <is>
          <t>C2</t>
        </is>
      </c>
      <c r="D707" s="3" t="inlineStr">
        <is>
          <t>魔芋笋2大袋</t>
        </is>
      </c>
      <c r="E7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7" s="3" t="inlineStr">
        <is>
          <t>รสเผ็ดหอม​, 20 ซอง 400g</t>
        </is>
      </c>
      <c r="G707" s="6" t="n">
        <v>1</v>
      </c>
      <c r="H707" s="6" t="n">
        <v>125</v>
      </c>
      <c r="I707" s="6" t="n">
        <v>0</v>
      </c>
      <c r="J707" s="6" t="n">
        <v>38</v>
      </c>
      <c r="K707" s="6">
        <f>H707+I707</f>
        <v/>
      </c>
      <c r="L707" s="5">
        <f>K707/4.7</f>
        <v/>
      </c>
      <c r="M707" s="6" t="n">
        <v>13.4</v>
      </c>
      <c r="N707" s="6" t="n">
        <v>1</v>
      </c>
      <c r="O707" s="6">
        <f>(K707*0.1229+1.05)/4.7</f>
        <v/>
      </c>
      <c r="P707" s="6">
        <f>K707*0.0749/4.7</f>
        <v/>
      </c>
      <c r="Q707" s="5">
        <f>M707+N707+O707+P707</f>
        <v/>
      </c>
      <c r="R707" s="5">
        <f>L707-Q707</f>
        <v/>
      </c>
      <c r="S707" s="6">
        <f>R707*4.7</f>
        <v/>
      </c>
      <c r="T707" s="7">
        <f>IF(L707&gt;0,R707/L707,0)</f>
        <v/>
      </c>
      <c r="U707" s="3" t="inlineStr">
        <is>
          <t>12/05/2026 10:51:17</t>
        </is>
      </c>
    </row>
    <row r="708">
      <c r="A708" s="3" t="inlineStr">
        <is>
          <t>583986391681566178</t>
        </is>
      </c>
      <c r="B708" s="3" t="inlineStr">
        <is>
          <t>已完成</t>
        </is>
      </c>
      <c r="C708" s="3" t="inlineStr">
        <is>
          <t>ER-B</t>
        </is>
      </c>
      <c r="D708" s="3" t="inlineStr">
        <is>
          <t>广州酒家黄油鸡蛋卷480g</t>
        </is>
      </c>
      <c r="E708" s="3" t="inlineStr">
        <is>
          <t>Egg Roll 2สูตร ทองม้วนไข่กล่องเหล็กพรีเมี่ยม!! GuangZhou Restaurant 454g/480g กล่องล่ะ 24 แท่ง</t>
        </is>
      </c>
      <c r="F708" s="3" t="inlineStr">
        <is>
          <t>Butter สูตรเนยสด พรีเมี่ยม</t>
        </is>
      </c>
      <c r="G708" s="6" t="n">
        <v>1</v>
      </c>
      <c r="H708" s="6" t="n">
        <v>355</v>
      </c>
      <c r="I708" s="6" t="n">
        <v>0</v>
      </c>
      <c r="J708" s="6" t="n">
        <v>29</v>
      </c>
      <c r="K708" s="6">
        <f>H708+I708</f>
        <v/>
      </c>
      <c r="L708" s="5">
        <f>K708/4.7</f>
        <v/>
      </c>
      <c r="M708" s="6" t="n">
        <v>45.49882436351998</v>
      </c>
      <c r="N708" s="6" t="n">
        <v>2</v>
      </c>
      <c r="O708" s="6">
        <f>(K708*0.1229+1.05)/4.7</f>
        <v/>
      </c>
      <c r="P708" s="6">
        <f>K708*0.0749/4.7</f>
        <v/>
      </c>
      <c r="Q708" s="5">
        <f>M708+N708+O708+P708</f>
        <v/>
      </c>
      <c r="R708" s="5">
        <f>L708-Q708</f>
        <v/>
      </c>
      <c r="S708" s="6">
        <f>R708*4.7</f>
        <v/>
      </c>
      <c r="T708" s="7">
        <f>IF(L708&gt;0,R708/L708,0)</f>
        <v/>
      </c>
      <c r="U708" s="3" t="inlineStr">
        <is>
          <t>12/05/2026 10:37:05</t>
        </is>
      </c>
    </row>
    <row r="709">
      <c r="A709" s="3" t="inlineStr">
        <is>
          <t>583985467640481148</t>
        </is>
      </c>
      <c r="B709" s="3" t="inlineStr">
        <is>
          <t>已取消</t>
        </is>
      </c>
      <c r="C709" s="3" t="inlineStr">
        <is>
          <t>C3</t>
        </is>
      </c>
      <c r="D709" s="3" t="inlineStr">
        <is>
          <t>魔芋笋3大袋</t>
        </is>
      </c>
      <c r="E7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9" s="3" t="inlineStr">
        <is>
          <t>รสเผ็ดหอม​, 30 ซอง 600g</t>
        </is>
      </c>
      <c r="G709" s="6" t="n">
        <v>1</v>
      </c>
      <c r="H709" s="6" t="n">
        <v>172</v>
      </c>
      <c r="I709" s="6" t="n">
        <v>0</v>
      </c>
      <c r="J709" s="6" t="n">
        <v>35</v>
      </c>
      <c r="K709" s="6">
        <f>H709+I709</f>
        <v/>
      </c>
      <c r="L709" s="5">
        <f>K709/4.7</f>
        <v/>
      </c>
      <c r="M709" s="6" t="n">
        <v>20.1</v>
      </c>
      <c r="N709" s="6" t="n">
        <v>1</v>
      </c>
      <c r="O709" s="6">
        <f>(K709*0.1229+1.05)/4.7</f>
        <v/>
      </c>
      <c r="P709" s="6">
        <f>K709*0.0749/4.7</f>
        <v/>
      </c>
      <c r="Q709" s="5">
        <f>M709+N709+O709+P709</f>
        <v/>
      </c>
      <c r="R709" s="5">
        <f>L709-Q709</f>
        <v/>
      </c>
      <c r="S709" s="6">
        <f>R709*4.7</f>
        <v/>
      </c>
      <c r="T709" s="7">
        <f>IF(L709&gt;0,R709/L709,0)</f>
        <v/>
      </c>
      <c r="U709" s="3" t="inlineStr">
        <is>
          <t>12/05/2026 09:26:47</t>
        </is>
      </c>
    </row>
    <row r="710">
      <c r="A710" s="3" t="inlineStr">
        <is>
          <t>583985013125252511</t>
        </is>
      </c>
      <c r="B710" s="3" t="inlineStr">
        <is>
          <t>已完成</t>
        </is>
      </c>
      <c r="C710" s="3" t="inlineStr">
        <is>
          <t>CK</t>
        </is>
      </c>
      <c r="D710" s="3" t="inlineStr">
        <is>
          <t>黑松露黑麦苏打饼干</t>
        </is>
      </c>
      <c r="E71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10" s="3" t="inlineStr">
        <is>
          <t>ค่าเริ่มต้น</t>
        </is>
      </c>
      <c r="G710" s="6" t="n">
        <v>1</v>
      </c>
      <c r="H710" s="6" t="n">
        <v>143</v>
      </c>
      <c r="I710" s="6" t="n">
        <v>0</v>
      </c>
      <c r="J710" s="6" t="n">
        <v>0</v>
      </c>
      <c r="K710" s="6">
        <f>H710+I710</f>
        <v/>
      </c>
      <c r="L710" s="5">
        <f>K710/4.7</f>
        <v/>
      </c>
      <c r="M710" s="6" t="n">
        <v>10.72665050209467</v>
      </c>
      <c r="N710" s="6" t="n">
        <v>1</v>
      </c>
      <c r="O710" s="6">
        <f>(K710*0.1229+1.05)/4.7</f>
        <v/>
      </c>
      <c r="P710" s="6">
        <f>K710*0.0749/4.7</f>
        <v/>
      </c>
      <c r="Q710" s="5">
        <f>M710+N710+O710+P710</f>
        <v/>
      </c>
      <c r="R710" s="5">
        <f>L710-Q710</f>
        <v/>
      </c>
      <c r="S710" s="6">
        <f>R710*4.7</f>
        <v/>
      </c>
      <c r="T710" s="7">
        <f>IF(L710&gt;0,R710/L710,0)</f>
        <v/>
      </c>
      <c r="U710" s="3" t="inlineStr">
        <is>
          <t>12/05/2026 08:53:38</t>
        </is>
      </c>
    </row>
    <row r="711">
      <c r="A711" s="3" t="inlineStr">
        <is>
          <t>583984472642062016</t>
        </is>
      </c>
      <c r="B711" s="3" t="inlineStr">
        <is>
          <t>已完成</t>
        </is>
      </c>
      <c r="C711" s="3" t="inlineStr">
        <is>
          <t>CK</t>
        </is>
      </c>
      <c r="D711" s="3" t="inlineStr">
        <is>
          <t>黑松露黑麦苏打饼干</t>
        </is>
      </c>
      <c r="E71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11" s="3" t="inlineStr">
        <is>
          <t>ค่าเริ่มต้น</t>
        </is>
      </c>
      <c r="G711" s="6" t="n">
        <v>1</v>
      </c>
      <c r="H711" s="6" t="n">
        <v>84</v>
      </c>
      <c r="I711" s="6" t="n">
        <v>21</v>
      </c>
      <c r="J711" s="6" t="n">
        <v>35</v>
      </c>
      <c r="K711" s="6">
        <f>H711+I711</f>
        <v/>
      </c>
      <c r="L711" s="5">
        <f>K711/4.7</f>
        <v/>
      </c>
      <c r="M711" s="6" t="n">
        <v>10.72665050209467</v>
      </c>
      <c r="N711" s="6" t="n">
        <v>1</v>
      </c>
      <c r="O711" s="6">
        <f>(K711*0.1229+1.05)/4.7</f>
        <v/>
      </c>
      <c r="P711" s="6">
        <f>K711*0.0749/4.7</f>
        <v/>
      </c>
      <c r="Q711" s="5">
        <f>M711+N711+O711+P711</f>
        <v/>
      </c>
      <c r="R711" s="5">
        <f>L711-Q711</f>
        <v/>
      </c>
      <c r="S711" s="6">
        <f>R711*4.7</f>
        <v/>
      </c>
      <c r="T711" s="7">
        <f>IF(L711&gt;0,R711/L711,0)</f>
        <v/>
      </c>
      <c r="U711" s="3" t="inlineStr">
        <is>
          <t>12/05/2026 08:03:24</t>
        </is>
      </c>
    </row>
    <row r="712">
      <c r="A712" s="3" t="inlineStr">
        <is>
          <t>583982299749844971</t>
        </is>
      </c>
      <c r="B712" s="3" t="inlineStr">
        <is>
          <t>已完成</t>
        </is>
      </c>
      <c r="C712" s="3" t="inlineStr">
        <is>
          <t>C1</t>
        </is>
      </c>
      <c r="D712" s="3" t="inlineStr">
        <is>
          <t>魔芋笋1大袋</t>
        </is>
      </c>
      <c r="E7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2" s="3" t="inlineStr">
        <is>
          <t>รสเผ็ดหอม​, 10 ซอง 200g</t>
        </is>
      </c>
      <c r="G712" s="6" t="n">
        <v>1</v>
      </c>
      <c r="H712" s="6" t="n">
        <v>69</v>
      </c>
      <c r="I712" s="6" t="n">
        <v>0</v>
      </c>
      <c r="J712" s="6" t="n">
        <v>38</v>
      </c>
      <c r="K712" s="6">
        <f>H712+I712</f>
        <v/>
      </c>
      <c r="L712" s="5">
        <f>K712/4.7</f>
        <v/>
      </c>
      <c r="M712" s="6" t="n">
        <v>6.699999999999999</v>
      </c>
      <c r="N712" s="6" t="n">
        <v>1</v>
      </c>
      <c r="O712" s="6">
        <f>(K712*0.1229+1.05)/4.7</f>
        <v/>
      </c>
      <c r="P712" s="6">
        <f>K712*0.0749/4.7</f>
        <v/>
      </c>
      <c r="Q712" s="5">
        <f>M712+N712+O712+P712</f>
        <v/>
      </c>
      <c r="R712" s="5">
        <f>L712-Q712</f>
        <v/>
      </c>
      <c r="S712" s="6">
        <f>R712*4.7</f>
        <v/>
      </c>
      <c r="T712" s="7">
        <f>IF(L712&gt;0,R712/L712,0)</f>
        <v/>
      </c>
      <c r="U712" s="3" t="inlineStr">
        <is>
          <t>12/05/2026 01:23:19</t>
        </is>
      </c>
    </row>
    <row r="713">
      <c r="A713" s="3" t="inlineStr">
        <is>
          <t>583982037395801643</t>
        </is>
      </c>
      <c r="B713" s="3" t="inlineStr">
        <is>
          <t>已完成</t>
        </is>
      </c>
      <c r="C713" s="3" t="inlineStr">
        <is>
          <t>C5s</t>
        </is>
      </c>
      <c r="D713" s="3" t="inlineStr">
        <is>
          <t>香辣味魔芋笋5小袋</t>
        </is>
      </c>
      <c r="E7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3" s="3" t="inlineStr">
        <is>
          <t>รสเผ็ดหอม​, 5 ซอง 100g</t>
        </is>
      </c>
      <c r="G713" s="6" t="n">
        <v>2</v>
      </c>
      <c r="H713" s="6" t="n">
        <v>141</v>
      </c>
      <c r="I713" s="6" t="n">
        <v>0</v>
      </c>
      <c r="J713" s="6" t="n">
        <v>48</v>
      </c>
      <c r="K713" s="6">
        <f>H713+I713</f>
        <v/>
      </c>
      <c r="L713" s="5">
        <f>K713/4.7</f>
        <v/>
      </c>
      <c r="M713" s="6" t="n">
        <v>6.699999999999999</v>
      </c>
      <c r="N713" s="6" t="n">
        <v>1</v>
      </c>
      <c r="O713" s="6">
        <f>(K713*0.1229+1.05)/4.7</f>
        <v/>
      </c>
      <c r="P713" s="6">
        <f>K713*0.0749/4.7</f>
        <v/>
      </c>
      <c r="Q713" s="5">
        <f>M713+N713+O713+P713</f>
        <v/>
      </c>
      <c r="R713" s="5">
        <f>L713-Q713</f>
        <v/>
      </c>
      <c r="S713" s="6">
        <f>R713*4.7</f>
        <v/>
      </c>
      <c r="T713" s="7">
        <f>IF(L713&gt;0,R713/L713,0)</f>
        <v/>
      </c>
      <c r="U713" s="3" t="inlineStr">
        <is>
          <t>12/05/2026 00:35:22</t>
        </is>
      </c>
    </row>
    <row r="714">
      <c r="A714" s="3" t="inlineStr">
        <is>
          <t>583982037395801643</t>
        </is>
      </c>
      <c r="B714" s="3" t="inlineStr">
        <is>
          <t>已完成</t>
        </is>
      </c>
      <c r="C714" s="3" t="inlineStr">
        <is>
          <t>B5s</t>
        </is>
      </c>
      <c r="D714" s="3" t="inlineStr">
        <is>
          <t>酸辣味5小袋</t>
        </is>
      </c>
      <c r="E7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4" s="3" t="inlineStr">
        <is>
          <t>รสเปรี้ยวเผ็ด​, 5 ซอง 100g</t>
        </is>
      </c>
      <c r="G714" s="6" t="n">
        <v>1</v>
      </c>
      <c r="H714" s="6" t="n">
        <v>141</v>
      </c>
      <c r="I714" s="6" t="n">
        <v>0</v>
      </c>
      <c r="J714" s="6" t="n">
        <v>48</v>
      </c>
      <c r="K714" s="6">
        <f>H714+I714</f>
        <v/>
      </c>
      <c r="L714" s="5">
        <f>K714/4.7</f>
        <v/>
      </c>
      <c r="M714" s="6" t="n">
        <v>3.35</v>
      </c>
      <c r="N714" s="6" t="n">
        <v>1</v>
      </c>
      <c r="O714" s="6">
        <f>(K714*0.1229+1.05)/4.7</f>
        <v/>
      </c>
      <c r="P714" s="6">
        <f>K714*0.0749/4.7</f>
        <v/>
      </c>
      <c r="Q714" s="5">
        <f>M714+N714+O714+P714</f>
        <v/>
      </c>
      <c r="R714" s="5">
        <f>L714-Q714</f>
        <v/>
      </c>
      <c r="S714" s="6">
        <f>R714*4.7</f>
        <v/>
      </c>
      <c r="T714" s="7">
        <f>IF(L714&gt;0,R714/L714,0)</f>
        <v/>
      </c>
      <c r="U714" s="3" t="inlineStr">
        <is>
          <t>12/05/2026 00:35:22</t>
        </is>
      </c>
    </row>
    <row r="715">
      <c r="A715" s="3" t="inlineStr">
        <is>
          <t>583981111605822746</t>
        </is>
      </c>
      <c r="B715" s="3" t="inlineStr">
        <is>
          <t>已完成</t>
        </is>
      </c>
      <c r="C715" s="3" t="inlineStr">
        <is>
          <t>CK</t>
        </is>
      </c>
      <c r="D715" s="3" t="inlineStr">
        <is>
          <t>黑松露黑麦苏打饼干</t>
        </is>
      </c>
      <c r="E71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15" s="3" t="inlineStr">
        <is>
          <t>ค่าเริ่มต้น</t>
        </is>
      </c>
      <c r="G715" s="6" t="n">
        <v>1</v>
      </c>
      <c r="H715" s="6" t="n">
        <v>99.95</v>
      </c>
      <c r="I715" s="6" t="n">
        <v>0</v>
      </c>
      <c r="J715" s="6" t="n">
        <v>29</v>
      </c>
      <c r="K715" s="6">
        <f>H715+I715</f>
        <v/>
      </c>
      <c r="L715" s="5">
        <f>K715/4.7</f>
        <v/>
      </c>
      <c r="M715" s="6" t="n">
        <v>10.72665050209467</v>
      </c>
      <c r="N715" s="6" t="n">
        <v>1</v>
      </c>
      <c r="O715" s="6">
        <f>(K715*0.1229+1.05)/4.7</f>
        <v/>
      </c>
      <c r="P715" s="6">
        <f>K715*0.0749/4.7</f>
        <v/>
      </c>
      <c r="Q715" s="5">
        <f>M715+N715+O715+P715</f>
        <v/>
      </c>
      <c r="R715" s="5">
        <f>L715-Q715</f>
        <v/>
      </c>
      <c r="S715" s="6">
        <f>R715*4.7</f>
        <v/>
      </c>
      <c r="T715" s="7">
        <f>IF(L715&gt;0,R715/L715,0)</f>
        <v/>
      </c>
      <c r="U715" s="3" t="inlineStr">
        <is>
          <t>11/05/2026 22:55:12</t>
        </is>
      </c>
    </row>
    <row r="716">
      <c r="A716" s="3" t="inlineStr">
        <is>
          <t>583980486638863994</t>
        </is>
      </c>
      <c r="B716" s="3" t="inlineStr">
        <is>
          <t>已完成</t>
        </is>
      </c>
      <c r="C716" s="3" t="inlineStr">
        <is>
          <t>C1</t>
        </is>
      </c>
      <c r="D716" s="3" t="inlineStr">
        <is>
          <t>魔芋笋1大袋</t>
        </is>
      </c>
      <c r="E7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6" s="3" t="inlineStr">
        <is>
          <t>รสเผ็ดหอม​, 10 ซอง 200g</t>
        </is>
      </c>
      <c r="G716" s="6" t="n">
        <v>1</v>
      </c>
      <c r="H716" s="6" t="n">
        <v>133</v>
      </c>
      <c r="I716" s="6" t="n">
        <v>0</v>
      </c>
      <c r="J716" s="6" t="n">
        <v>48</v>
      </c>
      <c r="K716" s="6">
        <f>H716+I716</f>
        <v/>
      </c>
      <c r="L716" s="5">
        <f>K716/4.7</f>
        <v/>
      </c>
      <c r="M716" s="6" t="n">
        <v>6.699999999999999</v>
      </c>
      <c r="N716" s="6" t="n">
        <v>1</v>
      </c>
      <c r="O716" s="6">
        <f>(K716*0.1229+1.05)/4.7</f>
        <v/>
      </c>
      <c r="P716" s="6">
        <f>K716*0.0749/4.7</f>
        <v/>
      </c>
      <c r="Q716" s="5">
        <f>M716+N716+O716+P716</f>
        <v/>
      </c>
      <c r="R716" s="5">
        <f>L716-Q716</f>
        <v/>
      </c>
      <c r="S716" s="6">
        <f>R716*4.7</f>
        <v/>
      </c>
      <c r="T716" s="7">
        <f>IF(L716&gt;0,R716/L716,0)</f>
        <v/>
      </c>
      <c r="U716" s="3" t="inlineStr">
        <is>
          <t>11/05/2026 22:08:22</t>
        </is>
      </c>
    </row>
    <row r="717">
      <c r="A717" s="3" t="inlineStr">
        <is>
          <t>583980486638863994</t>
        </is>
      </c>
      <c r="B717" s="3" t="inlineStr">
        <is>
          <t>已完成</t>
        </is>
      </c>
      <c r="C717" s="3" t="inlineStr">
        <is>
          <t>B1</t>
        </is>
      </c>
      <c r="D717" s="3" t="inlineStr">
        <is>
          <t>魔芋笋1大袋</t>
        </is>
      </c>
      <c r="E7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7" s="3" t="inlineStr">
        <is>
          <t>รสเปรี้ยวเผ็ด​, 10 ซอง 200g</t>
        </is>
      </c>
      <c r="G717" s="6" t="n">
        <v>1</v>
      </c>
      <c r="H717" s="6" t="n">
        <v>133</v>
      </c>
      <c r="I717" s="6" t="n">
        <v>0</v>
      </c>
      <c r="J717" s="6" t="n">
        <v>48</v>
      </c>
      <c r="K717" s="6">
        <f>H717+I717</f>
        <v/>
      </c>
      <c r="L717" s="5">
        <f>K717/4.7</f>
        <v/>
      </c>
      <c r="M717" s="6" t="n">
        <v>6.699999999999999</v>
      </c>
      <c r="N717" s="6" t="n">
        <v>1</v>
      </c>
      <c r="O717" s="6">
        <f>(K717*0.1229+1.05)/4.7</f>
        <v/>
      </c>
      <c r="P717" s="6">
        <f>K717*0.0749/4.7</f>
        <v/>
      </c>
      <c r="Q717" s="5">
        <f>M717+N717+O717+P717</f>
        <v/>
      </c>
      <c r="R717" s="5">
        <f>L717-Q717</f>
        <v/>
      </c>
      <c r="S717" s="6">
        <f>R717*4.7</f>
        <v/>
      </c>
      <c r="T717" s="7">
        <f>IF(L717&gt;0,R717/L717,0)</f>
        <v/>
      </c>
      <c r="U717" s="3" t="inlineStr">
        <is>
          <t>11/05/2026 22:08:22</t>
        </is>
      </c>
    </row>
    <row r="718">
      <c r="A718" s="3" t="inlineStr">
        <is>
          <t>583979247356183807</t>
        </is>
      </c>
      <c r="B718" s="3" t="inlineStr">
        <is>
          <t>已完成</t>
        </is>
      </c>
      <c r="C718" s="3" t="inlineStr">
        <is>
          <t>C2</t>
        </is>
      </c>
      <c r="D718" s="3" t="inlineStr">
        <is>
          <t>魔芋笋2大袋</t>
        </is>
      </c>
      <c r="E7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8" s="3" t="inlineStr">
        <is>
          <t>รสเผ็ดหอม​, 20 ซอง 400g</t>
        </is>
      </c>
      <c r="G718" s="6" t="n">
        <v>1</v>
      </c>
      <c r="H718" s="6" t="n">
        <v>189</v>
      </c>
      <c r="I718" s="6" t="n">
        <v>0</v>
      </c>
      <c r="J718" s="6" t="n">
        <v>48</v>
      </c>
      <c r="K718" s="6">
        <f>H718+I718</f>
        <v/>
      </c>
      <c r="L718" s="5">
        <f>K718/4.7</f>
        <v/>
      </c>
      <c r="M718" s="6" t="n">
        <v>13.4</v>
      </c>
      <c r="N718" s="6" t="n">
        <v>1</v>
      </c>
      <c r="O718" s="6">
        <f>(K718*0.1229+1.05)/4.7</f>
        <v/>
      </c>
      <c r="P718" s="6">
        <f>K718*0.0749/4.7</f>
        <v/>
      </c>
      <c r="Q718" s="5">
        <f>M718+N718+O718+P718</f>
        <v/>
      </c>
      <c r="R718" s="5">
        <f>L718-Q718</f>
        <v/>
      </c>
      <c r="S718" s="6">
        <f>R718*4.7</f>
        <v/>
      </c>
      <c r="T718" s="7">
        <f>IF(L718&gt;0,R718/L718,0)</f>
        <v/>
      </c>
      <c r="U718" s="3" t="inlineStr">
        <is>
          <t>11/05/2026 20:47:15</t>
        </is>
      </c>
    </row>
    <row r="719">
      <c r="A719" s="3" t="inlineStr">
        <is>
          <t>583979247356183807</t>
        </is>
      </c>
      <c r="B719" s="3" t="inlineStr">
        <is>
          <t>已完成</t>
        </is>
      </c>
      <c r="C719" s="3" t="inlineStr">
        <is>
          <t>B1</t>
        </is>
      </c>
      <c r="D719" s="3" t="inlineStr">
        <is>
          <t>魔芋笋1大袋</t>
        </is>
      </c>
      <c r="E7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9" s="3" t="inlineStr">
        <is>
          <t>รสเปรี้ยวเผ็ด​, 10 ซอง 200g</t>
        </is>
      </c>
      <c r="G719" s="6" t="n">
        <v>1</v>
      </c>
      <c r="H719" s="6" t="n">
        <v>189</v>
      </c>
      <c r="I719" s="6" t="n">
        <v>0</v>
      </c>
      <c r="J719" s="6" t="n">
        <v>48</v>
      </c>
      <c r="K719" s="6">
        <f>H719+I719</f>
        <v/>
      </c>
      <c r="L719" s="5">
        <f>K719/4.7</f>
        <v/>
      </c>
      <c r="M719" s="6" t="n">
        <v>6.699999999999999</v>
      </c>
      <c r="N719" s="6" t="n">
        <v>1</v>
      </c>
      <c r="O719" s="6">
        <f>(K719*0.1229+1.05)/4.7</f>
        <v/>
      </c>
      <c r="P719" s="6">
        <f>K719*0.0749/4.7</f>
        <v/>
      </c>
      <c r="Q719" s="5">
        <f>M719+N719+O719+P719</f>
        <v/>
      </c>
      <c r="R719" s="5">
        <f>L719-Q719</f>
        <v/>
      </c>
      <c r="S719" s="6">
        <f>R719*4.7</f>
        <v/>
      </c>
      <c r="T719" s="7">
        <f>IF(L719&gt;0,R719/L719,0)</f>
        <v/>
      </c>
      <c r="U719" s="3" t="inlineStr">
        <is>
          <t>11/05/2026 20:47:15</t>
        </is>
      </c>
    </row>
    <row r="720">
      <c r="A720" s="3" t="inlineStr">
        <is>
          <t>583977990989382673</t>
        </is>
      </c>
      <c r="B720" s="3" t="inlineStr">
        <is>
          <t>已完成</t>
        </is>
      </c>
      <c r="C720" s="3" t="inlineStr">
        <is>
          <t>C2</t>
        </is>
      </c>
      <c r="D720" s="3" t="inlineStr">
        <is>
          <t>魔芋笋2大袋</t>
        </is>
      </c>
      <c r="E7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0" s="3" t="inlineStr">
        <is>
          <t>รสเผ็ดหอม​, 20 ซอง 400g</t>
        </is>
      </c>
      <c r="G720" s="6" t="n">
        <v>1</v>
      </c>
      <c r="H720" s="6" t="n">
        <v>120</v>
      </c>
      <c r="I720" s="6" t="n">
        <v>0</v>
      </c>
      <c r="J720" s="6" t="n">
        <v>29</v>
      </c>
      <c r="K720" s="6">
        <f>H720+I720</f>
        <v/>
      </c>
      <c r="L720" s="5">
        <f>K720/4.7</f>
        <v/>
      </c>
      <c r="M720" s="6" t="n">
        <v>13.4</v>
      </c>
      <c r="N720" s="6" t="n">
        <v>1</v>
      </c>
      <c r="O720" s="6">
        <f>(K720*0.1229+1.05)/4.7</f>
        <v/>
      </c>
      <c r="P720" s="6">
        <f>K720*0.0749/4.7</f>
        <v/>
      </c>
      <c r="Q720" s="5">
        <f>M720+N720+O720+P720</f>
        <v/>
      </c>
      <c r="R720" s="5">
        <f>L720-Q720</f>
        <v/>
      </c>
      <c r="S720" s="6">
        <f>R720*4.7</f>
        <v/>
      </c>
      <c r="T720" s="7">
        <f>IF(L720&gt;0,R720/L720,0)</f>
        <v/>
      </c>
      <c r="U720" s="3" t="inlineStr">
        <is>
          <t>11/05/2026 19:28:25</t>
        </is>
      </c>
    </row>
    <row r="721">
      <c r="A721" s="3" t="inlineStr">
        <is>
          <t>583977634274247856</t>
        </is>
      </c>
      <c r="B721" s="3" t="inlineStr">
        <is>
          <t>已完成</t>
        </is>
      </c>
      <c r="C721" s="3" t="inlineStr">
        <is>
          <t>C1</t>
        </is>
      </c>
      <c r="D721" s="3" t="inlineStr">
        <is>
          <t>魔芋笋1大袋</t>
        </is>
      </c>
      <c r="E7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1" s="3" t="inlineStr">
        <is>
          <t>รสเผ็ดหอม​, 10 ซอง 200g</t>
        </is>
      </c>
      <c r="G721" s="6" t="n">
        <v>1</v>
      </c>
      <c r="H721" s="6" t="n">
        <v>69</v>
      </c>
      <c r="I721" s="6" t="n">
        <v>0</v>
      </c>
      <c r="J721" s="6" t="n">
        <v>35</v>
      </c>
      <c r="K721" s="6">
        <f>H721+I721</f>
        <v/>
      </c>
      <c r="L721" s="5">
        <f>K721/4.7</f>
        <v/>
      </c>
      <c r="M721" s="6" t="n">
        <v>6.699999999999999</v>
      </c>
      <c r="N721" s="6" t="n">
        <v>1</v>
      </c>
      <c r="O721" s="6">
        <f>(K721*0.1229+1.05)/4.7</f>
        <v/>
      </c>
      <c r="P721" s="6">
        <f>K721*0.0749/4.7</f>
        <v/>
      </c>
      <c r="Q721" s="5">
        <f>M721+N721+O721+P721</f>
        <v/>
      </c>
      <c r="R721" s="5">
        <f>L721-Q721</f>
        <v/>
      </c>
      <c r="S721" s="6">
        <f>R721*4.7</f>
        <v/>
      </c>
      <c r="T721" s="7">
        <f>IF(L721&gt;0,R721/L721,0)</f>
        <v/>
      </c>
      <c r="U721" s="3" t="inlineStr">
        <is>
          <t>11/05/2026 19:04:59</t>
        </is>
      </c>
    </row>
    <row r="722">
      <c r="A722" s="3" t="inlineStr">
        <is>
          <t>583977325537953551</t>
        </is>
      </c>
      <c r="B722" s="3" t="inlineStr">
        <is>
          <t>已完成</t>
        </is>
      </c>
      <c r="C722" s="3" t="inlineStr">
        <is>
          <t>C5s</t>
        </is>
      </c>
      <c r="D722" s="3" t="inlineStr">
        <is>
          <t>香辣味魔芋笋5小袋</t>
        </is>
      </c>
      <c r="E7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2" s="3" t="inlineStr">
        <is>
          <t>รสเผ็ดหอม​, 5 ซอง 100g</t>
        </is>
      </c>
      <c r="G722" s="6" t="n">
        <v>1</v>
      </c>
      <c r="H722" s="6" t="n">
        <v>47</v>
      </c>
      <c r="I722" s="6" t="n">
        <v>0</v>
      </c>
      <c r="J722" s="6" t="n">
        <v>38</v>
      </c>
      <c r="K722" s="6">
        <f>H722+I722</f>
        <v/>
      </c>
      <c r="L722" s="5">
        <f>K722/4.7</f>
        <v/>
      </c>
      <c r="M722" s="6" t="n">
        <v>3.35</v>
      </c>
      <c r="N722" s="6" t="n">
        <v>1</v>
      </c>
      <c r="O722" s="6">
        <f>(K722*0.1229+1.05)/4.7</f>
        <v/>
      </c>
      <c r="P722" s="6">
        <f>K722*0.0749/4.7</f>
        <v/>
      </c>
      <c r="Q722" s="5">
        <f>M722+N722+O722+P722</f>
        <v/>
      </c>
      <c r="R722" s="5">
        <f>L722-Q722</f>
        <v/>
      </c>
      <c r="S722" s="6">
        <f>R722*4.7</f>
        <v/>
      </c>
      <c r="T722" s="7">
        <f>IF(L722&gt;0,R722/L722,0)</f>
        <v/>
      </c>
      <c r="U722" s="3" t="inlineStr">
        <is>
          <t>11/05/2026 18:43:52</t>
        </is>
      </c>
    </row>
    <row r="723">
      <c r="A723" s="3" t="inlineStr">
        <is>
          <t>583976441596446629</t>
        </is>
      </c>
      <c r="B723" s="3" t="inlineStr">
        <is>
          <t>已取消</t>
        </is>
      </c>
      <c r="C723" s="3" t="inlineStr">
        <is>
          <t>C5s</t>
        </is>
      </c>
      <c r="D723" s="3" t="inlineStr">
        <is>
          <t>香辣味魔芋笋5小袋</t>
        </is>
      </c>
      <c r="E7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3" s="3" t="inlineStr">
        <is>
          <t>รสเผ็ดหอม​, 5 ซอง 100g</t>
        </is>
      </c>
      <c r="G723" s="6" t="n">
        <v>1</v>
      </c>
      <c r="H723" s="6" t="n">
        <v>47</v>
      </c>
      <c r="I723" s="6" t="n">
        <v>0</v>
      </c>
      <c r="J723" s="6" t="n">
        <v>38</v>
      </c>
      <c r="K723" s="6">
        <f>H723+I723</f>
        <v/>
      </c>
      <c r="L723" s="5">
        <f>K723/4.7</f>
        <v/>
      </c>
      <c r="M723" s="6" t="n">
        <v>3.35</v>
      </c>
      <c r="N723" s="6" t="n">
        <v>1</v>
      </c>
      <c r="O723" s="6">
        <f>(K723*0.1229+1.05)/4.7</f>
        <v/>
      </c>
      <c r="P723" s="6">
        <f>K723*0.0749/4.7</f>
        <v/>
      </c>
      <c r="Q723" s="5">
        <f>M723+N723+O723+P723</f>
        <v/>
      </c>
      <c r="R723" s="5">
        <f>L723-Q723</f>
        <v/>
      </c>
      <c r="S723" s="6">
        <f>R723*4.7</f>
        <v/>
      </c>
      <c r="T723" s="7">
        <f>IF(L723&gt;0,R723/L723,0)</f>
        <v/>
      </c>
      <c r="U723" s="3" t="inlineStr">
        <is>
          <t>11/05/2026 17:35:16</t>
        </is>
      </c>
    </row>
    <row r="724">
      <c r="A724" s="3" t="inlineStr">
        <is>
          <t>583976308251592185</t>
        </is>
      </c>
      <c r="B724" s="3" t="inlineStr">
        <is>
          <t>已完成</t>
        </is>
      </c>
      <c r="C724" s="3" t="inlineStr">
        <is>
          <t>CK</t>
        </is>
      </c>
      <c r="D724" s="3" t="inlineStr">
        <is>
          <t>黑松露黑麦苏打饼干</t>
        </is>
      </c>
      <c r="E72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24" s="3" t="inlineStr">
        <is>
          <t>ค่าเริ่มต้น</t>
        </is>
      </c>
      <c r="G724" s="6" t="n">
        <v>1</v>
      </c>
      <c r="H724" s="6" t="n">
        <v>100</v>
      </c>
      <c r="I724" s="6" t="n">
        <v>0</v>
      </c>
      <c r="J724" s="6" t="n">
        <v>38</v>
      </c>
      <c r="K724" s="6">
        <f>H724+I724</f>
        <v/>
      </c>
      <c r="L724" s="5">
        <f>K724/4.7</f>
        <v/>
      </c>
      <c r="M724" s="6" t="n">
        <v>10.72665050209467</v>
      </c>
      <c r="N724" s="6" t="n">
        <v>1</v>
      </c>
      <c r="O724" s="6">
        <f>(K724*0.1229+1.05)/4.7</f>
        <v/>
      </c>
      <c r="P724" s="6">
        <f>K724*0.0749/4.7</f>
        <v/>
      </c>
      <c r="Q724" s="5">
        <f>M724+N724+O724+P724</f>
        <v/>
      </c>
      <c r="R724" s="5">
        <f>L724-Q724</f>
        <v/>
      </c>
      <c r="S724" s="6">
        <f>R724*4.7</f>
        <v/>
      </c>
      <c r="T724" s="7">
        <f>IF(L724&gt;0,R724/L724,0)</f>
        <v/>
      </c>
      <c r="U724" s="3" t="inlineStr">
        <is>
          <t>11/05/2026 17:27:01</t>
        </is>
      </c>
    </row>
    <row r="725">
      <c r="A725" s="3" t="inlineStr">
        <is>
          <t>583975605953070892</t>
        </is>
      </c>
      <c r="B725" s="3" t="inlineStr">
        <is>
          <t>已完成</t>
        </is>
      </c>
      <c r="C725" s="3" t="inlineStr">
        <is>
          <t>C5s</t>
        </is>
      </c>
      <c r="D725" s="3" t="inlineStr">
        <is>
          <t>香辣味魔芋笋5小袋</t>
        </is>
      </c>
      <c r="E7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5" s="3" t="inlineStr">
        <is>
          <t>รสเผ็ดหอม​, 5 ซอง 100g</t>
        </is>
      </c>
      <c r="G725" s="6" t="n">
        <v>1</v>
      </c>
      <c r="H725" s="6" t="n">
        <v>47</v>
      </c>
      <c r="I725" s="6" t="n">
        <v>0</v>
      </c>
      <c r="J725" s="6" t="n">
        <v>33</v>
      </c>
      <c r="K725" s="6">
        <f>H725+I725</f>
        <v/>
      </c>
      <c r="L725" s="5">
        <f>K725/4.7</f>
        <v/>
      </c>
      <c r="M725" s="6" t="n">
        <v>3.35</v>
      </c>
      <c r="N725" s="6" t="n">
        <v>1</v>
      </c>
      <c r="O725" s="6">
        <f>(K725*0.1229+1.05)/4.7</f>
        <v/>
      </c>
      <c r="P725" s="6">
        <f>K725*0.0749/4.7</f>
        <v/>
      </c>
      <c r="Q725" s="5">
        <f>M725+N725+O725+P725</f>
        <v/>
      </c>
      <c r="R725" s="5">
        <f>L725-Q725</f>
        <v/>
      </c>
      <c r="S725" s="6">
        <f>R725*4.7</f>
        <v/>
      </c>
      <c r="T725" s="7">
        <f>IF(L725&gt;0,R725/L725,0)</f>
        <v/>
      </c>
      <c r="U725" s="3" t="inlineStr">
        <is>
          <t>11/05/2026 16:26:19</t>
        </is>
      </c>
    </row>
    <row r="726">
      <c r="A726" s="3" t="inlineStr">
        <is>
          <t>583973812557415686</t>
        </is>
      </c>
      <c r="B726" s="3" t="inlineStr">
        <is>
          <t>已完成</t>
        </is>
      </c>
      <c r="C726" s="3" t="inlineStr">
        <is>
          <t>CK</t>
        </is>
      </c>
      <c r="D726" s="3" t="inlineStr">
        <is>
          <t>黑松露黑麦苏打饼干</t>
        </is>
      </c>
      <c r="E72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26" s="3" t="inlineStr">
        <is>
          <t>ค่าเริ่มต้น</t>
        </is>
      </c>
      <c r="G726" s="6" t="n">
        <v>1</v>
      </c>
      <c r="H726" s="6" t="n">
        <v>100</v>
      </c>
      <c r="I726" s="6" t="n">
        <v>0</v>
      </c>
      <c r="J726" s="6" t="n">
        <v>35</v>
      </c>
      <c r="K726" s="6">
        <f>H726+I726</f>
        <v/>
      </c>
      <c r="L726" s="5">
        <f>K726/4.7</f>
        <v/>
      </c>
      <c r="M726" s="6" t="n">
        <v>10.72665050209467</v>
      </c>
      <c r="N726" s="6" t="n">
        <v>1</v>
      </c>
      <c r="O726" s="6">
        <f>(K726*0.1229+1.05)/4.7</f>
        <v/>
      </c>
      <c r="P726" s="6">
        <f>K726*0.0749/4.7</f>
        <v/>
      </c>
      <c r="Q726" s="5">
        <f>M726+N726+O726+P726</f>
        <v/>
      </c>
      <c r="R726" s="5">
        <f>L726-Q726</f>
        <v/>
      </c>
      <c r="S726" s="6">
        <f>R726*4.7</f>
        <v/>
      </c>
      <c r="T726" s="7">
        <f>IF(L726&gt;0,R726/L726,0)</f>
        <v/>
      </c>
      <c r="U726" s="3" t="inlineStr">
        <is>
          <t>11/05/2026 14:09:43</t>
        </is>
      </c>
    </row>
    <row r="727">
      <c r="A727" s="3" t="inlineStr">
        <is>
          <t>583971855508211262</t>
        </is>
      </c>
      <c r="B727" s="3" t="inlineStr">
        <is>
          <t>已完成</t>
        </is>
      </c>
      <c r="C727" s="3" t="inlineStr">
        <is>
          <t>B5s</t>
        </is>
      </c>
      <c r="D727" s="3" t="inlineStr">
        <is>
          <t>酸辣味5小袋</t>
        </is>
      </c>
      <c r="E7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7" s="3" t="inlineStr">
        <is>
          <t>รสเปรี้ยวเผ็ด​, 5 ซอง 100g</t>
        </is>
      </c>
      <c r="G727" s="6" t="n">
        <v>1</v>
      </c>
      <c r="H727" s="6" t="n">
        <v>47</v>
      </c>
      <c r="I727" s="6" t="n">
        <v>0</v>
      </c>
      <c r="J727" s="6" t="n">
        <v>38</v>
      </c>
      <c r="K727" s="6">
        <f>H727+I727</f>
        <v/>
      </c>
      <c r="L727" s="5">
        <f>K727/4.7</f>
        <v/>
      </c>
      <c r="M727" s="6" t="n">
        <v>3.35</v>
      </c>
      <c r="N727" s="6" t="n">
        <v>1</v>
      </c>
      <c r="O727" s="6">
        <f>(K727*0.1229+1.05)/4.7</f>
        <v/>
      </c>
      <c r="P727" s="6">
        <f>K727*0.0749/4.7</f>
        <v/>
      </c>
      <c r="Q727" s="5">
        <f>M727+N727+O727+P727</f>
        <v/>
      </c>
      <c r="R727" s="5">
        <f>L727-Q727</f>
        <v/>
      </c>
      <c r="S727" s="6">
        <f>R727*4.7</f>
        <v/>
      </c>
      <c r="T727" s="7">
        <f>IF(L727&gt;0,R727/L727,0)</f>
        <v/>
      </c>
      <c r="U727" s="3" t="inlineStr">
        <is>
          <t>11/05/2026 11:51:26</t>
        </is>
      </c>
    </row>
    <row r="728">
      <c r="A728" s="3" t="inlineStr">
        <is>
          <t>583970066233591435</t>
        </is>
      </c>
      <c r="B728" s="3" t="inlineStr">
        <is>
          <t>已完成</t>
        </is>
      </c>
      <c r="C728" s="3" t="inlineStr">
        <is>
          <t>CK</t>
        </is>
      </c>
      <c r="D728" s="3" t="inlineStr">
        <is>
          <t>黑松露黑麦苏打饼干</t>
        </is>
      </c>
      <c r="E72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28" s="3" t="inlineStr">
        <is>
          <t>ค่าเริ่มต้น</t>
        </is>
      </c>
      <c r="G728" s="6" t="n">
        <v>1</v>
      </c>
      <c r="H728" s="6" t="n">
        <v>82</v>
      </c>
      <c r="I728" s="6" t="n">
        <v>30</v>
      </c>
      <c r="J728" s="6" t="n">
        <v>28</v>
      </c>
      <c r="K728" s="6">
        <f>H728+I728</f>
        <v/>
      </c>
      <c r="L728" s="5">
        <f>K728/4.7</f>
        <v/>
      </c>
      <c r="M728" s="6" t="n">
        <v>10.72665050209467</v>
      </c>
      <c r="N728" s="6" t="n">
        <v>1</v>
      </c>
      <c r="O728" s="6">
        <f>(K728*0.1229+1.05)/4.7</f>
        <v/>
      </c>
      <c r="P728" s="6">
        <f>K728*0.0749/4.7</f>
        <v/>
      </c>
      <c r="Q728" s="5">
        <f>M728+N728+O728+P728</f>
        <v/>
      </c>
      <c r="R728" s="5">
        <f>L728-Q728</f>
        <v/>
      </c>
      <c r="S728" s="6">
        <f>R728*4.7</f>
        <v/>
      </c>
      <c r="T728" s="7">
        <f>IF(L728&gt;0,R728/L728,0)</f>
        <v/>
      </c>
      <c r="U728" s="3" t="inlineStr">
        <is>
          <t>11/05/2026 09:36:14</t>
        </is>
      </c>
    </row>
    <row r="729">
      <c r="A729" s="3" t="inlineStr">
        <is>
          <t>583967096286971032</t>
        </is>
      </c>
      <c r="B729" s="3" t="inlineStr">
        <is>
          <t>已完成</t>
        </is>
      </c>
      <c r="C729" s="3" t="inlineStr">
        <is>
          <t>C5s</t>
        </is>
      </c>
      <c r="D729" s="3" t="inlineStr">
        <is>
          <t>香辣味魔芋笋5小袋</t>
        </is>
      </c>
      <c r="E7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9" s="3" t="inlineStr">
        <is>
          <t>รสเผ็ดหอม​, 5 ซอง 100g</t>
        </is>
      </c>
      <c r="G729" s="6" t="n">
        <v>1</v>
      </c>
      <c r="H729" s="6" t="n">
        <v>47</v>
      </c>
      <c r="I729" s="6" t="n">
        <v>0</v>
      </c>
      <c r="J729" s="6" t="n">
        <v>38</v>
      </c>
      <c r="K729" s="6">
        <f>H729+I729</f>
        <v/>
      </c>
      <c r="L729" s="5">
        <f>K729/4.7</f>
        <v/>
      </c>
      <c r="M729" s="6" t="n">
        <v>3.35</v>
      </c>
      <c r="N729" s="6" t="n">
        <v>1</v>
      </c>
      <c r="O729" s="6">
        <f>(K729*0.1229+1.05)/4.7</f>
        <v/>
      </c>
      <c r="P729" s="6">
        <f>K729*0.0749/4.7</f>
        <v/>
      </c>
      <c r="Q729" s="5">
        <f>M729+N729+O729+P729</f>
        <v/>
      </c>
      <c r="R729" s="5">
        <f>L729-Q729</f>
        <v/>
      </c>
      <c r="S729" s="6">
        <f>R729*4.7</f>
        <v/>
      </c>
      <c r="T729" s="7">
        <f>IF(L729&gt;0,R729/L729,0)</f>
        <v/>
      </c>
      <c r="U729" s="3" t="inlineStr">
        <is>
          <t>11/05/2026 02:21:18</t>
        </is>
      </c>
    </row>
    <row r="730">
      <c r="A730" s="3" t="inlineStr">
        <is>
          <t>583966648991515683</t>
        </is>
      </c>
      <c r="B730" s="3" t="inlineStr">
        <is>
          <t>已完成</t>
        </is>
      </c>
      <c r="C730" s="3" t="inlineStr">
        <is>
          <t>B1</t>
        </is>
      </c>
      <c r="D730" s="3" t="inlineStr">
        <is>
          <t>魔芋笋1大袋</t>
        </is>
      </c>
      <c r="E7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0" s="3" t="inlineStr">
        <is>
          <t>รสเปรี้ยวเผ็ด​, 10 ซอง 200g</t>
        </is>
      </c>
      <c r="G730" s="6" t="n">
        <v>1</v>
      </c>
      <c r="H730" s="6" t="n">
        <v>69</v>
      </c>
      <c r="I730" s="6" t="n">
        <v>0</v>
      </c>
      <c r="J730" s="6" t="n">
        <v>29</v>
      </c>
      <c r="K730" s="6">
        <f>H730+I730</f>
        <v/>
      </c>
      <c r="L730" s="5">
        <f>K730/4.7</f>
        <v/>
      </c>
      <c r="M730" s="6" t="n">
        <v>6.699999999999999</v>
      </c>
      <c r="N730" s="6" t="n">
        <v>1</v>
      </c>
      <c r="O730" s="6">
        <f>(K730*0.1229+1.05)/4.7</f>
        <v/>
      </c>
      <c r="P730" s="6">
        <f>K730*0.0749/4.7</f>
        <v/>
      </c>
      <c r="Q730" s="5">
        <f>M730+N730+O730+P730</f>
        <v/>
      </c>
      <c r="R730" s="5">
        <f>L730-Q730</f>
        <v/>
      </c>
      <c r="S730" s="6">
        <f>R730*4.7</f>
        <v/>
      </c>
      <c r="T730" s="7">
        <f>IF(L730&gt;0,R730/L730,0)</f>
        <v/>
      </c>
      <c r="U730" s="3" t="inlineStr">
        <is>
          <t>11/05/2026 00:47:29</t>
        </is>
      </c>
    </row>
    <row r="731">
      <c r="A731" s="3" t="inlineStr">
        <is>
          <t>583965988841424119</t>
        </is>
      </c>
      <c r="B731" s="3" t="inlineStr">
        <is>
          <t>已完成</t>
        </is>
      </c>
      <c r="C731" s="3" t="inlineStr">
        <is>
          <t>C3</t>
        </is>
      </c>
      <c r="D731" s="3" t="inlineStr">
        <is>
          <t>魔芋笋3大袋</t>
        </is>
      </c>
      <c r="E7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1" s="3" t="inlineStr">
        <is>
          <t>รสเผ็ดหอม​, 30 ซอง 600g</t>
        </is>
      </c>
      <c r="G731" s="6" t="n">
        <v>1</v>
      </c>
      <c r="H731" s="6" t="n">
        <v>103.2</v>
      </c>
      <c r="I731" s="6" t="n">
        <v>68.8</v>
      </c>
      <c r="J731" s="6" t="n">
        <v>38</v>
      </c>
      <c r="K731" s="6">
        <f>H731+I731</f>
        <v/>
      </c>
      <c r="L731" s="5">
        <f>K731/4.7</f>
        <v/>
      </c>
      <c r="M731" s="6" t="n">
        <v>20.1</v>
      </c>
      <c r="N731" s="6" t="n">
        <v>1</v>
      </c>
      <c r="O731" s="6">
        <f>(K731*0.1229+1.05)/4.7</f>
        <v/>
      </c>
      <c r="P731" s="6">
        <f>K731*0.0749/4.7</f>
        <v/>
      </c>
      <c r="Q731" s="5">
        <f>M731+N731+O731+P731</f>
        <v/>
      </c>
      <c r="R731" s="5">
        <f>L731-Q731</f>
        <v/>
      </c>
      <c r="S731" s="6">
        <f>R731*4.7</f>
        <v/>
      </c>
      <c r="T731" s="7">
        <f>IF(L731&gt;0,R731/L731,0)</f>
        <v/>
      </c>
      <c r="U731" s="3" t="inlineStr">
        <is>
          <t>10/05/2026 23:29:54</t>
        </is>
      </c>
    </row>
    <row r="732">
      <c r="A732" s="3" t="inlineStr">
        <is>
          <t>583965098268001660</t>
        </is>
      </c>
      <c r="B732" s="3" t="inlineStr">
        <is>
          <t>已完成</t>
        </is>
      </c>
      <c r="C732" s="3" t="inlineStr">
        <is>
          <t>C2</t>
        </is>
      </c>
      <c r="D732" s="3" t="inlineStr">
        <is>
          <t>魔芋笋2大袋</t>
        </is>
      </c>
      <c r="E7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2" s="3" t="inlineStr">
        <is>
          <t>รสเผ็ดหอม​, 20 ซอง 400g</t>
        </is>
      </c>
      <c r="G732" s="6" t="n">
        <v>1</v>
      </c>
      <c r="H732" s="6" t="n">
        <v>120</v>
      </c>
      <c r="I732" s="6" t="n">
        <v>0</v>
      </c>
      <c r="J732" s="6" t="n">
        <v>37</v>
      </c>
      <c r="K732" s="6">
        <f>H732+I732</f>
        <v/>
      </c>
      <c r="L732" s="5">
        <f>K732/4.7</f>
        <v/>
      </c>
      <c r="M732" s="6" t="n">
        <v>13.4</v>
      </c>
      <c r="N732" s="6" t="n">
        <v>1</v>
      </c>
      <c r="O732" s="6">
        <f>(K732*0.1229+1.05)/4.7</f>
        <v/>
      </c>
      <c r="P732" s="6">
        <f>K732*0.0749/4.7</f>
        <v/>
      </c>
      <c r="Q732" s="5">
        <f>M732+N732+O732+P732</f>
        <v/>
      </c>
      <c r="R732" s="5">
        <f>L732-Q732</f>
        <v/>
      </c>
      <c r="S732" s="6">
        <f>R732*4.7</f>
        <v/>
      </c>
      <c r="T732" s="7">
        <f>IF(L732&gt;0,R732/L732,0)</f>
        <v/>
      </c>
      <c r="U732" s="3" t="inlineStr">
        <is>
          <t>10/05/2026 22:19:54</t>
        </is>
      </c>
    </row>
    <row r="733">
      <c r="A733" s="3" t="inlineStr">
        <is>
          <t>583964794702890985</t>
        </is>
      </c>
      <c r="B733" s="3" t="inlineStr">
        <is>
          <t>已完成</t>
        </is>
      </c>
      <c r="C733" s="3" t="inlineStr">
        <is>
          <t>C1</t>
        </is>
      </c>
      <c r="D733" s="3" t="inlineStr">
        <is>
          <t>魔芋笋1大袋</t>
        </is>
      </c>
      <c r="E7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3" s="3" t="inlineStr">
        <is>
          <t>รสเผ็ดหอม​, 10 ซอง 200g</t>
        </is>
      </c>
      <c r="G733" s="6" t="n">
        <v>1</v>
      </c>
      <c r="H733" s="6" t="n">
        <v>69</v>
      </c>
      <c r="I733" s="6" t="n">
        <v>0</v>
      </c>
      <c r="J733" s="6" t="n">
        <v>38</v>
      </c>
      <c r="K733" s="6">
        <f>H733+I733</f>
        <v/>
      </c>
      <c r="L733" s="5">
        <f>K733/4.7</f>
        <v/>
      </c>
      <c r="M733" s="6" t="n">
        <v>6.699999999999999</v>
      </c>
      <c r="N733" s="6" t="n">
        <v>1</v>
      </c>
      <c r="O733" s="6">
        <f>(K733*0.1229+1.05)/4.7</f>
        <v/>
      </c>
      <c r="P733" s="6">
        <f>K733*0.0749/4.7</f>
        <v/>
      </c>
      <c r="Q733" s="5">
        <f>M733+N733+O733+P733</f>
        <v/>
      </c>
      <c r="R733" s="5">
        <f>L733-Q733</f>
        <v/>
      </c>
      <c r="S733" s="6">
        <f>R733*4.7</f>
        <v/>
      </c>
      <c r="T733" s="7">
        <f>IF(L733&gt;0,R733/L733,0)</f>
        <v/>
      </c>
      <c r="U733" s="3" t="inlineStr">
        <is>
          <t>10/05/2026 21:54:13</t>
        </is>
      </c>
    </row>
    <row r="734">
      <c r="A734" s="3" t="inlineStr">
        <is>
          <t>583964025772016947</t>
        </is>
      </c>
      <c r="B734" s="3" t="inlineStr">
        <is>
          <t>已完成</t>
        </is>
      </c>
      <c r="C734" s="3" t="inlineStr">
        <is>
          <t>C2</t>
        </is>
      </c>
      <c r="D734" s="3" t="inlineStr">
        <is>
          <t>魔芋笋2大袋</t>
        </is>
      </c>
      <c r="E7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4" s="3" t="inlineStr">
        <is>
          <t>รสเผ็ดหอม​, 20 ซอง 400g</t>
        </is>
      </c>
      <c r="G734" s="6" t="n">
        <v>1</v>
      </c>
      <c r="H734" s="6" t="n">
        <v>120</v>
      </c>
      <c r="I734" s="6" t="n">
        <v>0</v>
      </c>
      <c r="J734" s="6" t="n">
        <v>29</v>
      </c>
      <c r="K734" s="6">
        <f>H734+I734</f>
        <v/>
      </c>
      <c r="L734" s="5">
        <f>K734/4.7</f>
        <v/>
      </c>
      <c r="M734" s="6" t="n">
        <v>13.4</v>
      </c>
      <c r="N734" s="6" t="n">
        <v>1</v>
      </c>
      <c r="O734" s="6">
        <f>(K734*0.1229+1.05)/4.7</f>
        <v/>
      </c>
      <c r="P734" s="6">
        <f>K734*0.0749/4.7</f>
        <v/>
      </c>
      <c r="Q734" s="5">
        <f>M734+N734+O734+P734</f>
        <v/>
      </c>
      <c r="R734" s="5">
        <f>L734-Q734</f>
        <v/>
      </c>
      <c r="S734" s="6">
        <f>R734*4.7</f>
        <v/>
      </c>
      <c r="T734" s="7">
        <f>IF(L734&gt;0,R734/L734,0)</f>
        <v/>
      </c>
      <c r="U734" s="3" t="inlineStr">
        <is>
          <t>10/05/2026 21:10:08</t>
        </is>
      </c>
    </row>
    <row r="735">
      <c r="A735" s="3" t="inlineStr">
        <is>
          <t>583964012562318523</t>
        </is>
      </c>
      <c r="B735" s="3" t="inlineStr">
        <is>
          <t>已完成</t>
        </is>
      </c>
      <c r="C735" s="3" t="inlineStr">
        <is>
          <t>C2</t>
        </is>
      </c>
      <c r="D735" s="3" t="inlineStr">
        <is>
          <t>魔芋笋2大袋</t>
        </is>
      </c>
      <c r="E7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5" s="3" t="inlineStr">
        <is>
          <t>รสเผ็ดหอม​, 20 ซอง 400g</t>
        </is>
      </c>
      <c r="G735" s="6" t="n">
        <v>1</v>
      </c>
      <c r="H735" s="6" t="n">
        <v>85</v>
      </c>
      <c r="I735" s="6" t="n">
        <v>40</v>
      </c>
      <c r="J735" s="6" t="n">
        <v>38</v>
      </c>
      <c r="K735" s="6">
        <f>H735+I735</f>
        <v/>
      </c>
      <c r="L735" s="5">
        <f>K735/4.7</f>
        <v/>
      </c>
      <c r="M735" s="6" t="n">
        <v>13.4</v>
      </c>
      <c r="N735" s="6" t="n">
        <v>1</v>
      </c>
      <c r="O735" s="6">
        <f>(K735*0.1229+1.05)/4.7</f>
        <v/>
      </c>
      <c r="P735" s="6">
        <f>K735*0.0749/4.7</f>
        <v/>
      </c>
      <c r="Q735" s="5">
        <f>M735+N735+O735+P735</f>
        <v/>
      </c>
      <c r="R735" s="5">
        <f>L735-Q735</f>
        <v/>
      </c>
      <c r="S735" s="6">
        <f>R735*4.7</f>
        <v/>
      </c>
      <c r="T735" s="7">
        <f>IF(L735&gt;0,R735/L735,0)</f>
        <v/>
      </c>
      <c r="U735" s="3" t="inlineStr">
        <is>
          <t>10/05/2026 21:04:02</t>
        </is>
      </c>
    </row>
    <row r="736">
      <c r="A736" s="3" t="inlineStr">
        <is>
          <t>583963829914404342</t>
        </is>
      </c>
      <c r="B736" s="3" t="inlineStr">
        <is>
          <t>已完成</t>
        </is>
      </c>
      <c r="C736" s="3" t="inlineStr">
        <is>
          <t>C1</t>
        </is>
      </c>
      <c r="D736" s="3" t="inlineStr">
        <is>
          <t>魔芋笋1大袋</t>
        </is>
      </c>
      <c r="E7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6" s="3" t="inlineStr">
        <is>
          <t>รสเผ็ดหอม​, 10 ซอง 200g</t>
        </is>
      </c>
      <c r="G736" s="6" t="n">
        <v>1</v>
      </c>
      <c r="H736" s="6" t="n">
        <v>69</v>
      </c>
      <c r="I736" s="6" t="n">
        <v>0</v>
      </c>
      <c r="J736" s="6" t="n">
        <v>29</v>
      </c>
      <c r="K736" s="6">
        <f>H736+I736</f>
        <v/>
      </c>
      <c r="L736" s="5">
        <f>K736/4.7</f>
        <v/>
      </c>
      <c r="M736" s="6" t="n">
        <v>6.699999999999999</v>
      </c>
      <c r="N736" s="6" t="n">
        <v>1</v>
      </c>
      <c r="O736" s="6">
        <f>(K736*0.1229+1.05)/4.7</f>
        <v/>
      </c>
      <c r="P736" s="6">
        <f>K736*0.0749/4.7</f>
        <v/>
      </c>
      <c r="Q736" s="5">
        <f>M736+N736+O736+P736</f>
        <v/>
      </c>
      <c r="R736" s="5">
        <f>L736-Q736</f>
        <v/>
      </c>
      <c r="S736" s="6">
        <f>R736*4.7</f>
        <v/>
      </c>
      <c r="T736" s="7">
        <f>IF(L736&gt;0,R736/L736,0)</f>
        <v/>
      </c>
      <c r="U736" s="3" t="inlineStr">
        <is>
          <t>10/05/2026 20:56:47</t>
        </is>
      </c>
    </row>
    <row r="737">
      <c r="A737" s="3" t="inlineStr">
        <is>
          <t>583962804633503627</t>
        </is>
      </c>
      <c r="B737" s="3" t="inlineStr">
        <is>
          <t>已完成</t>
        </is>
      </c>
      <c r="C737" s="3" t="inlineStr">
        <is>
          <t>C1</t>
        </is>
      </c>
      <c r="D737" s="3" t="inlineStr">
        <is>
          <t>魔芋笋1大袋</t>
        </is>
      </c>
      <c r="E7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7" s="3" t="inlineStr">
        <is>
          <t>รสเผ็ดหอม​, 10 ซอง 200g</t>
        </is>
      </c>
      <c r="G737" s="6" t="n">
        <v>1</v>
      </c>
      <c r="H737" s="6" t="n">
        <v>68.59999999999999</v>
      </c>
      <c r="I737" s="6" t="n">
        <v>0.4</v>
      </c>
      <c r="J737" s="6" t="n">
        <v>30</v>
      </c>
      <c r="K737" s="6">
        <f>H737+I737</f>
        <v/>
      </c>
      <c r="L737" s="5">
        <f>K737/4.7</f>
        <v/>
      </c>
      <c r="M737" s="6" t="n">
        <v>6.699999999999999</v>
      </c>
      <c r="N737" s="6" t="n">
        <v>1</v>
      </c>
      <c r="O737" s="6">
        <f>(K737*0.1229+1.05)/4.7</f>
        <v/>
      </c>
      <c r="P737" s="6">
        <f>K737*0.0749/4.7</f>
        <v/>
      </c>
      <c r="Q737" s="5">
        <f>M737+N737+O737+P737</f>
        <v/>
      </c>
      <c r="R737" s="5">
        <f>L737-Q737</f>
        <v/>
      </c>
      <c r="S737" s="6">
        <f>R737*4.7</f>
        <v/>
      </c>
      <c r="T737" s="7">
        <f>IF(L737&gt;0,R737/L737,0)</f>
        <v/>
      </c>
      <c r="U737" s="3" t="inlineStr">
        <is>
          <t>10/05/2026 19:45:55</t>
        </is>
      </c>
    </row>
    <row r="738">
      <c r="A738" s="3" t="inlineStr">
        <is>
          <t>583961902757152650</t>
        </is>
      </c>
      <c r="B738" s="3" t="inlineStr">
        <is>
          <t>已完成</t>
        </is>
      </c>
      <c r="C738" s="3" t="inlineStr">
        <is>
          <t>B1</t>
        </is>
      </c>
      <c r="D738" s="3" t="inlineStr">
        <is>
          <t>魔芋笋1大袋</t>
        </is>
      </c>
      <c r="E7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8" s="3" t="inlineStr">
        <is>
          <t>รสเปรี้ยวเผ็ด​, 10 ซอง 200g</t>
        </is>
      </c>
      <c r="G738" s="6" t="n">
        <v>1</v>
      </c>
      <c r="H738" s="6" t="n">
        <v>69</v>
      </c>
      <c r="I738" s="6" t="n">
        <v>0</v>
      </c>
      <c r="J738" s="6" t="n">
        <v>35</v>
      </c>
      <c r="K738" s="6">
        <f>H738+I738</f>
        <v/>
      </c>
      <c r="L738" s="5">
        <f>K738/4.7</f>
        <v/>
      </c>
      <c r="M738" s="6" t="n">
        <v>6.699999999999999</v>
      </c>
      <c r="N738" s="6" t="n">
        <v>1</v>
      </c>
      <c r="O738" s="6">
        <f>(K738*0.1229+1.05)/4.7</f>
        <v/>
      </c>
      <c r="P738" s="6">
        <f>K738*0.0749/4.7</f>
        <v/>
      </c>
      <c r="Q738" s="5">
        <f>M738+N738+O738+P738</f>
        <v/>
      </c>
      <c r="R738" s="5">
        <f>L738-Q738</f>
        <v/>
      </c>
      <c r="S738" s="6">
        <f>R738*4.7</f>
        <v/>
      </c>
      <c r="T738" s="7">
        <f>IF(L738&gt;0,R738/L738,0)</f>
        <v/>
      </c>
      <c r="U738" s="3" t="inlineStr">
        <is>
          <t>10/05/2026 18:54:11</t>
        </is>
      </c>
    </row>
    <row r="739">
      <c r="A739" s="3" t="inlineStr">
        <is>
          <t>583961113935579064</t>
        </is>
      </c>
      <c r="B739" s="3" t="inlineStr">
        <is>
          <t>已完成</t>
        </is>
      </c>
      <c r="C739" s="3" t="inlineStr">
        <is>
          <t>B1</t>
        </is>
      </c>
      <c r="D739" s="3" t="inlineStr">
        <is>
          <t>魔芋笋1大袋</t>
        </is>
      </c>
      <c r="E7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9" s="3" t="inlineStr">
        <is>
          <t>รสเปรี้ยวเผ็ด​, 10 ซอง 200g</t>
        </is>
      </c>
      <c r="G739" s="6" t="n">
        <v>1</v>
      </c>
      <c r="H739" s="6" t="n">
        <v>135</v>
      </c>
      <c r="I739" s="6" t="n">
        <v>0</v>
      </c>
      <c r="J739" s="6" t="n">
        <v>48</v>
      </c>
      <c r="K739" s="6">
        <f>H739+I739</f>
        <v/>
      </c>
      <c r="L739" s="5">
        <f>K739/4.7</f>
        <v/>
      </c>
      <c r="M739" s="6" t="n">
        <v>6.699999999999999</v>
      </c>
      <c r="N739" s="6" t="n">
        <v>1</v>
      </c>
      <c r="O739" s="6">
        <f>(K739*0.1229+1.05)/4.7</f>
        <v/>
      </c>
      <c r="P739" s="6">
        <f>K739*0.0749/4.7</f>
        <v/>
      </c>
      <c r="Q739" s="5">
        <f>M739+N739+O739+P739</f>
        <v/>
      </c>
      <c r="R739" s="5">
        <f>L739-Q739</f>
        <v/>
      </c>
      <c r="S739" s="6">
        <f>R739*4.7</f>
        <v/>
      </c>
      <c r="T739" s="7">
        <f>IF(L739&gt;0,R739/L739,0)</f>
        <v/>
      </c>
      <c r="U739" s="3" t="inlineStr">
        <is>
          <t>10/05/2026 17:48:42</t>
        </is>
      </c>
    </row>
    <row r="740">
      <c r="A740" s="3" t="inlineStr">
        <is>
          <t>583961113935579064</t>
        </is>
      </c>
      <c r="B740" s="3" t="inlineStr">
        <is>
          <t>已完成</t>
        </is>
      </c>
      <c r="C740" s="3" t="inlineStr">
        <is>
          <t>C1</t>
        </is>
      </c>
      <c r="D740" s="3" t="inlineStr">
        <is>
          <t>魔芋笋1大袋</t>
        </is>
      </c>
      <c r="E7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0" s="3" t="inlineStr">
        <is>
          <t>รสเผ็ดหอม​, 10 ซอง 200g</t>
        </is>
      </c>
      <c r="G740" s="6" t="n">
        <v>1</v>
      </c>
      <c r="H740" s="6" t="n">
        <v>135</v>
      </c>
      <c r="I740" s="6" t="n">
        <v>0</v>
      </c>
      <c r="J740" s="6" t="n">
        <v>48</v>
      </c>
      <c r="K740" s="6">
        <f>H740+I740</f>
        <v/>
      </c>
      <c r="L740" s="5">
        <f>K740/4.7</f>
        <v/>
      </c>
      <c r="M740" s="6" t="n">
        <v>6.699999999999999</v>
      </c>
      <c r="N740" s="6" t="n">
        <v>1</v>
      </c>
      <c r="O740" s="6">
        <f>(K740*0.1229+1.05)/4.7</f>
        <v/>
      </c>
      <c r="P740" s="6">
        <f>K740*0.0749/4.7</f>
        <v/>
      </c>
      <c r="Q740" s="5">
        <f>M740+N740+O740+P740</f>
        <v/>
      </c>
      <c r="R740" s="5">
        <f>L740-Q740</f>
        <v/>
      </c>
      <c r="S740" s="6">
        <f>R740*4.7</f>
        <v/>
      </c>
      <c r="T740" s="7">
        <f>IF(L740&gt;0,R740/L740,0)</f>
        <v/>
      </c>
      <c r="U740" s="3" t="inlineStr">
        <is>
          <t>10/05/2026 17:48:42</t>
        </is>
      </c>
    </row>
    <row r="741">
      <c r="A741" s="3" t="inlineStr">
        <is>
          <t>583960938322035899</t>
        </is>
      </c>
      <c r="B741" s="3" t="inlineStr">
        <is>
          <t>已完成</t>
        </is>
      </c>
      <c r="C741" s="3" t="inlineStr">
        <is>
          <t>B2</t>
        </is>
      </c>
      <c r="D741" s="3" t="inlineStr">
        <is>
          <t>魔芋笋2大袋</t>
        </is>
      </c>
      <c r="E7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1" s="3" t="inlineStr">
        <is>
          <t>รสเปรี้ยวเผ็ด​, 20 ซอง 400g</t>
        </is>
      </c>
      <c r="G741" s="6" t="n">
        <v>1</v>
      </c>
      <c r="H741" s="6" t="n">
        <v>75</v>
      </c>
      <c r="I741" s="6" t="n">
        <v>50</v>
      </c>
      <c r="J741" s="6" t="n">
        <v>38</v>
      </c>
      <c r="K741" s="6">
        <f>H741+I741</f>
        <v/>
      </c>
      <c r="L741" s="5">
        <f>K741/4.7</f>
        <v/>
      </c>
      <c r="M741" s="6" t="n">
        <v>13.4</v>
      </c>
      <c r="N741" s="6" t="n">
        <v>1</v>
      </c>
      <c r="O741" s="6">
        <f>(K741*0.1229+1.05)/4.7</f>
        <v/>
      </c>
      <c r="P741" s="6">
        <f>K741*0.0749/4.7</f>
        <v/>
      </c>
      <c r="Q741" s="5">
        <f>M741+N741+O741+P741</f>
        <v/>
      </c>
      <c r="R741" s="5">
        <f>L741-Q741</f>
        <v/>
      </c>
      <c r="S741" s="6">
        <f>R741*4.7</f>
        <v/>
      </c>
      <c r="T741" s="7">
        <f>IF(L741&gt;0,R741/L741,0)</f>
        <v/>
      </c>
      <c r="U741" s="3" t="inlineStr">
        <is>
          <t>10/05/2026 17:40:37</t>
        </is>
      </c>
    </row>
    <row r="742">
      <c r="A742" s="3" t="inlineStr">
        <is>
          <t>583960900175037822</t>
        </is>
      </c>
      <c r="B742" s="3" t="inlineStr">
        <is>
          <t>已完成</t>
        </is>
      </c>
      <c r="C742" s="3" t="inlineStr">
        <is>
          <t>C2</t>
        </is>
      </c>
      <c r="D742" s="3" t="inlineStr">
        <is>
          <t>魔芋笋2大袋</t>
        </is>
      </c>
      <c r="E7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2" s="3" t="inlineStr">
        <is>
          <t>รสเผ็ดหอม​, 20 ซอง 400g</t>
        </is>
      </c>
      <c r="G742" s="6" t="n">
        <v>1</v>
      </c>
      <c r="H742" s="6" t="n">
        <v>125</v>
      </c>
      <c r="I742" s="6" t="n">
        <v>0</v>
      </c>
      <c r="J742" s="6" t="n">
        <v>35</v>
      </c>
      <c r="K742" s="6">
        <f>H742+I742</f>
        <v/>
      </c>
      <c r="L742" s="5">
        <f>K742/4.7</f>
        <v/>
      </c>
      <c r="M742" s="6" t="n">
        <v>13.4</v>
      </c>
      <c r="N742" s="6" t="n">
        <v>1</v>
      </c>
      <c r="O742" s="6">
        <f>(K742*0.1229+1.05)/4.7</f>
        <v/>
      </c>
      <c r="P742" s="6">
        <f>K742*0.0749/4.7</f>
        <v/>
      </c>
      <c r="Q742" s="5">
        <f>M742+N742+O742+P742</f>
        <v/>
      </c>
      <c r="R742" s="5">
        <f>L742-Q742</f>
        <v/>
      </c>
      <c r="S742" s="6">
        <f>R742*4.7</f>
        <v/>
      </c>
      <c r="T742" s="7">
        <f>IF(L742&gt;0,R742/L742,0)</f>
        <v/>
      </c>
      <c r="U742" s="3" t="inlineStr">
        <is>
          <t>10/05/2026 17:38:11</t>
        </is>
      </c>
    </row>
    <row r="743">
      <c r="A743" s="3" t="inlineStr">
        <is>
          <t>583960485929059719</t>
        </is>
      </c>
      <c r="B743" s="3" t="inlineStr">
        <is>
          <t>已取消</t>
        </is>
      </c>
      <c r="C743" s="3" t="inlineStr">
        <is>
          <t>C5s</t>
        </is>
      </c>
      <c r="D743" s="3" t="inlineStr">
        <is>
          <t>香辣味魔芋笋5小袋</t>
        </is>
      </c>
      <c r="E7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3" s="3" t="inlineStr">
        <is>
          <t>รสเผ็ดหอม​, 5 ซอง 100g</t>
        </is>
      </c>
      <c r="G743" s="6" t="n">
        <v>1</v>
      </c>
      <c r="H743" s="6" t="n">
        <v>47</v>
      </c>
      <c r="I743" s="6" t="n">
        <v>0</v>
      </c>
      <c r="J743" s="6" t="n">
        <v>35</v>
      </c>
      <c r="K743" s="6">
        <f>H743+I743</f>
        <v/>
      </c>
      <c r="L743" s="5">
        <f>K743/4.7</f>
        <v/>
      </c>
      <c r="M743" s="6" t="n">
        <v>3.35</v>
      </c>
      <c r="N743" s="6" t="n">
        <v>1</v>
      </c>
      <c r="O743" s="6">
        <f>(K743*0.1229+1.05)/4.7</f>
        <v/>
      </c>
      <c r="P743" s="6">
        <f>K743*0.0749/4.7</f>
        <v/>
      </c>
      <c r="Q743" s="5">
        <f>M743+N743+O743+P743</f>
        <v/>
      </c>
      <c r="R743" s="5">
        <f>L743-Q743</f>
        <v/>
      </c>
      <c r="S743" s="6">
        <f>R743*4.7</f>
        <v/>
      </c>
      <c r="T743" s="7">
        <f>IF(L743&gt;0,R743/L743,0)</f>
        <v/>
      </c>
      <c r="U743" s="3" t="inlineStr">
        <is>
          <t>10/05/2026 17:06:06</t>
        </is>
      </c>
    </row>
    <row r="744">
      <c r="A744" s="3" t="inlineStr">
        <is>
          <t>583960254692558352</t>
        </is>
      </c>
      <c r="B744" s="3" t="inlineStr">
        <is>
          <t>已完成</t>
        </is>
      </c>
      <c r="C744" s="3" t="inlineStr">
        <is>
          <t>CK</t>
        </is>
      </c>
      <c r="D744" s="3" t="inlineStr">
        <is>
          <t>黑松露黑麦苏打饼干</t>
        </is>
      </c>
      <c r="E74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44" s="3" t="inlineStr">
        <is>
          <t>ค่าเริ่มต้น</t>
        </is>
      </c>
      <c r="G744" s="6" t="n">
        <v>2</v>
      </c>
      <c r="H744" s="6" t="n">
        <v>205</v>
      </c>
      <c r="I744" s="6" t="n">
        <v>0</v>
      </c>
      <c r="J744" s="6" t="n">
        <v>27</v>
      </c>
      <c r="K744" s="6">
        <f>H744+I744</f>
        <v/>
      </c>
      <c r="L744" s="5">
        <f>K744/4.7</f>
        <v/>
      </c>
      <c r="M744" s="6" t="n">
        <v>21.45330100418933</v>
      </c>
      <c r="N744" s="6" t="n">
        <v>1</v>
      </c>
      <c r="O744" s="6">
        <f>(K744*0.1229+1.05)/4.7</f>
        <v/>
      </c>
      <c r="P744" s="6">
        <f>K744*0.0749/4.7</f>
        <v/>
      </c>
      <c r="Q744" s="5">
        <f>M744+N744+O744+P744</f>
        <v/>
      </c>
      <c r="R744" s="5">
        <f>L744-Q744</f>
        <v/>
      </c>
      <c r="S744" s="6">
        <f>R744*4.7</f>
        <v/>
      </c>
      <c r="T744" s="7">
        <f>IF(L744&gt;0,R744/L744,0)</f>
        <v/>
      </c>
      <c r="U744" s="3" t="inlineStr">
        <is>
          <t>10/05/2026 16:44:51</t>
        </is>
      </c>
    </row>
    <row r="745">
      <c r="A745" s="3" t="inlineStr">
        <is>
          <t>583957701280433405</t>
        </is>
      </c>
      <c r="B745" s="3" t="inlineStr">
        <is>
          <t>已完成</t>
        </is>
      </c>
      <c r="C745" s="3" t="inlineStr">
        <is>
          <t>B1</t>
        </is>
      </c>
      <c r="D745" s="3" t="inlineStr">
        <is>
          <t>魔芋笋1大袋</t>
        </is>
      </c>
      <c r="E7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5" s="3" t="inlineStr">
        <is>
          <t>รสเปรี้ยวเผ็ด​, 10 ซอง 200g</t>
        </is>
      </c>
      <c r="G745" s="6" t="n">
        <v>1</v>
      </c>
      <c r="H745" s="6" t="n">
        <v>69</v>
      </c>
      <c r="I745" s="6" t="n">
        <v>0</v>
      </c>
      <c r="J745" s="6" t="n">
        <v>38</v>
      </c>
      <c r="K745" s="6">
        <f>H745+I745</f>
        <v/>
      </c>
      <c r="L745" s="5">
        <f>K745/4.7</f>
        <v/>
      </c>
      <c r="M745" s="6" t="n">
        <v>6.699999999999999</v>
      </c>
      <c r="N745" s="6" t="n">
        <v>1</v>
      </c>
      <c r="O745" s="6">
        <f>(K745*0.1229+1.05)/4.7</f>
        <v/>
      </c>
      <c r="P745" s="6">
        <f>K745*0.0749/4.7</f>
        <v/>
      </c>
      <c r="Q745" s="5">
        <f>M745+N745+O745+P745</f>
        <v/>
      </c>
      <c r="R745" s="5">
        <f>L745-Q745</f>
        <v/>
      </c>
      <c r="S745" s="6">
        <f>R745*4.7</f>
        <v/>
      </c>
      <c r="T745" s="7">
        <f>IF(L745&gt;0,R745/L745,0)</f>
        <v/>
      </c>
      <c r="U745" s="3" t="inlineStr">
        <is>
          <t>10/05/2026 13:37:21</t>
        </is>
      </c>
    </row>
    <row r="746">
      <c r="A746" s="3" t="inlineStr">
        <is>
          <t>583956945493853908</t>
        </is>
      </c>
      <c r="B746" s="3" t="inlineStr">
        <is>
          <t>已完成</t>
        </is>
      </c>
      <c r="C746" s="3" t="inlineStr">
        <is>
          <t>C1</t>
        </is>
      </c>
      <c r="D746" s="3" t="inlineStr">
        <is>
          <t>魔芋笋1大袋</t>
        </is>
      </c>
      <c r="E7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6" s="3" t="inlineStr">
        <is>
          <t>รสเผ็ดหอม​, 10 ซอง 200g</t>
        </is>
      </c>
      <c r="G746" s="6" t="n">
        <v>1</v>
      </c>
      <c r="H746" s="6" t="n">
        <v>63.48</v>
      </c>
      <c r="I746" s="6" t="n">
        <v>5.52</v>
      </c>
      <c r="J746" s="6" t="n">
        <v>38</v>
      </c>
      <c r="K746" s="6">
        <f>H746+I746</f>
        <v/>
      </c>
      <c r="L746" s="5">
        <f>K746/4.7</f>
        <v/>
      </c>
      <c r="M746" s="6" t="n">
        <v>6.699999999999999</v>
      </c>
      <c r="N746" s="6" t="n">
        <v>1</v>
      </c>
      <c r="O746" s="6">
        <f>(K746*0.1229+1.05)/4.7</f>
        <v/>
      </c>
      <c r="P746" s="6">
        <f>K746*0.0749/4.7</f>
        <v/>
      </c>
      <c r="Q746" s="5">
        <f>M746+N746+O746+P746</f>
        <v/>
      </c>
      <c r="R746" s="5">
        <f>L746-Q746</f>
        <v/>
      </c>
      <c r="S746" s="6">
        <f>R746*4.7</f>
        <v/>
      </c>
      <c r="T746" s="7">
        <f>IF(L746&gt;0,R746/L746,0)</f>
        <v/>
      </c>
      <c r="U746" s="3" t="inlineStr">
        <is>
          <t>10/05/2026 12:40:14</t>
        </is>
      </c>
    </row>
    <row r="747">
      <c r="A747" s="3" t="inlineStr">
        <is>
          <t>583956025550866113</t>
        </is>
      </c>
      <c r="B747" s="3" t="inlineStr">
        <is>
          <t>已完成</t>
        </is>
      </c>
      <c r="C747" s="3" t="inlineStr">
        <is>
          <t>C1</t>
        </is>
      </c>
      <c r="D747" s="3" t="inlineStr">
        <is>
          <t>魔芋笋1大袋</t>
        </is>
      </c>
      <c r="E7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7" s="3" t="inlineStr">
        <is>
          <t>รสเผ็ดหอม​, 10 ซอง 200g</t>
        </is>
      </c>
      <c r="G747" s="6" t="n">
        <v>1</v>
      </c>
      <c r="H747" s="6" t="n">
        <v>69</v>
      </c>
      <c r="I747" s="6" t="n">
        <v>0</v>
      </c>
      <c r="J747" s="6" t="n">
        <v>38</v>
      </c>
      <c r="K747" s="6">
        <f>H747+I747</f>
        <v/>
      </c>
      <c r="L747" s="5">
        <f>K747/4.7</f>
        <v/>
      </c>
      <c r="M747" s="6" t="n">
        <v>6.699999999999999</v>
      </c>
      <c r="N747" s="6" t="n">
        <v>1</v>
      </c>
      <c r="O747" s="6">
        <f>(K747*0.1229+1.05)/4.7</f>
        <v/>
      </c>
      <c r="P747" s="6">
        <f>K747*0.0749/4.7</f>
        <v/>
      </c>
      <c r="Q747" s="5">
        <f>M747+N747+O747+P747</f>
        <v/>
      </c>
      <c r="R747" s="5">
        <f>L747-Q747</f>
        <v/>
      </c>
      <c r="S747" s="6">
        <f>R747*4.7</f>
        <v/>
      </c>
      <c r="T747" s="7">
        <f>IF(L747&gt;0,R747/L747,0)</f>
        <v/>
      </c>
      <c r="U747" s="3" t="inlineStr">
        <is>
          <t>10/05/2026 11:38:23</t>
        </is>
      </c>
    </row>
    <row r="748">
      <c r="A748" s="3" t="inlineStr">
        <is>
          <t>583954002100914165</t>
        </is>
      </c>
      <c r="B748" s="3" t="inlineStr">
        <is>
          <t>已完成</t>
        </is>
      </c>
      <c r="C748" s="3" t="inlineStr">
        <is>
          <t>C5s</t>
        </is>
      </c>
      <c r="D748" s="3" t="inlineStr">
        <is>
          <t>香辣味魔芋笋5小袋</t>
        </is>
      </c>
      <c r="E7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8" s="3" t="inlineStr">
        <is>
          <t>รสเผ็ดหอม​, 5 ซอง 100g</t>
        </is>
      </c>
      <c r="G748" s="6" t="n">
        <v>1</v>
      </c>
      <c r="H748" s="6" t="n">
        <v>43.24</v>
      </c>
      <c r="I748" s="6" t="n">
        <v>3.76</v>
      </c>
      <c r="J748" s="6" t="n">
        <v>38</v>
      </c>
      <c r="K748" s="6">
        <f>H748+I748</f>
        <v/>
      </c>
      <c r="L748" s="5">
        <f>K748/4.7</f>
        <v/>
      </c>
      <c r="M748" s="6" t="n">
        <v>3.35</v>
      </c>
      <c r="N748" s="6" t="n">
        <v>1</v>
      </c>
      <c r="O748" s="6">
        <f>(K748*0.1229+1.05)/4.7</f>
        <v/>
      </c>
      <c r="P748" s="6">
        <f>K748*0.0749/4.7</f>
        <v/>
      </c>
      <c r="Q748" s="5">
        <f>M748+N748+O748+P748</f>
        <v/>
      </c>
      <c r="R748" s="5">
        <f>L748-Q748</f>
        <v/>
      </c>
      <c r="S748" s="6">
        <f>R748*4.7</f>
        <v/>
      </c>
      <c r="T748" s="7">
        <f>IF(L748&gt;0,R748/L748,0)</f>
        <v/>
      </c>
      <c r="U748" s="3" t="inlineStr">
        <is>
          <t>10/05/2026 09:10:09</t>
        </is>
      </c>
    </row>
    <row r="749">
      <c r="A749" s="3" t="inlineStr">
        <is>
          <t>583953550094533777</t>
        </is>
      </c>
      <c r="B749" s="3" t="inlineStr">
        <is>
          <t>已完成</t>
        </is>
      </c>
      <c r="C749" s="3" t="inlineStr">
        <is>
          <t>C2</t>
        </is>
      </c>
      <c r="D749" s="3" t="inlineStr">
        <is>
          <t>魔芋笋2大袋</t>
        </is>
      </c>
      <c r="E7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9" s="3" t="inlineStr">
        <is>
          <t>รสเผ็ดหอม​, 20 ซอง 400g</t>
        </is>
      </c>
      <c r="G749" s="6" t="n">
        <v>1</v>
      </c>
      <c r="H749" s="6" t="n">
        <v>120</v>
      </c>
      <c r="I749" s="6" t="n">
        <v>0</v>
      </c>
      <c r="J749" s="6" t="n">
        <v>35</v>
      </c>
      <c r="K749" s="6">
        <f>H749+I749</f>
        <v/>
      </c>
      <c r="L749" s="5">
        <f>K749/4.7</f>
        <v/>
      </c>
      <c r="M749" s="6" t="n">
        <v>13.4</v>
      </c>
      <c r="N749" s="6" t="n">
        <v>1</v>
      </c>
      <c r="O749" s="6">
        <f>(K749*0.1229+1.05)/4.7</f>
        <v/>
      </c>
      <c r="P749" s="6">
        <f>K749*0.0749/4.7</f>
        <v/>
      </c>
      <c r="Q749" s="5">
        <f>M749+N749+O749+P749</f>
        <v/>
      </c>
      <c r="R749" s="5">
        <f>L749-Q749</f>
        <v/>
      </c>
      <c r="S749" s="6">
        <f>R749*4.7</f>
        <v/>
      </c>
      <c r="T749" s="7">
        <f>IF(L749&gt;0,R749/L749,0)</f>
        <v/>
      </c>
      <c r="U749" s="3" t="inlineStr">
        <is>
          <t>10/05/2026 08:28:38</t>
        </is>
      </c>
    </row>
    <row r="750">
      <c r="A750" s="3" t="inlineStr">
        <is>
          <t>583953370872972368</t>
        </is>
      </c>
      <c r="B750" s="3" t="inlineStr">
        <is>
          <t>已完成</t>
        </is>
      </c>
      <c r="C750" s="3" t="inlineStr">
        <is>
          <t>C3</t>
        </is>
      </c>
      <c r="D750" s="3" t="inlineStr">
        <is>
          <t>魔芋笋3大袋</t>
        </is>
      </c>
      <c r="E7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0" s="3" t="inlineStr">
        <is>
          <t>รสเผ็ดหอม​, 30 ซอง 600g</t>
        </is>
      </c>
      <c r="G750" s="6" t="n">
        <v>4</v>
      </c>
      <c r="H750" s="6" t="n">
        <v>663</v>
      </c>
      <c r="I750" s="6" t="n">
        <v>20</v>
      </c>
      <c r="J750" s="6" t="n">
        <v>54</v>
      </c>
      <c r="K750" s="6">
        <f>H750+I750</f>
        <v/>
      </c>
      <c r="L750" s="5">
        <f>K750/4.7</f>
        <v/>
      </c>
      <c r="M750" s="6" t="n">
        <v>80.40000000000001</v>
      </c>
      <c r="N750" s="6" t="n">
        <v>1</v>
      </c>
      <c r="O750" s="6">
        <f>(K750*0.1229+1.05)/4.7</f>
        <v/>
      </c>
      <c r="P750" s="6">
        <f>K750*0.0749/4.7</f>
        <v/>
      </c>
      <c r="Q750" s="5">
        <f>M750+N750+O750+P750</f>
        <v/>
      </c>
      <c r="R750" s="5">
        <f>L750-Q750</f>
        <v/>
      </c>
      <c r="S750" s="6">
        <f>R750*4.7</f>
        <v/>
      </c>
      <c r="T750" s="7">
        <f>IF(L750&gt;0,R750/L750,0)</f>
        <v/>
      </c>
      <c r="U750" s="3" t="inlineStr">
        <is>
          <t>10/05/2026 08:13:02</t>
        </is>
      </c>
    </row>
    <row r="751">
      <c r="A751" s="3" t="inlineStr">
        <is>
          <t>583951571569313308</t>
        </is>
      </c>
      <c r="B751" s="3" t="inlineStr">
        <is>
          <t>已完成</t>
        </is>
      </c>
      <c r="C751" s="3" t="inlineStr">
        <is>
          <t>C2</t>
        </is>
      </c>
      <c r="D751" s="3" t="inlineStr">
        <is>
          <t>魔芋笋2大袋</t>
        </is>
      </c>
      <c r="E7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1" s="3" t="inlineStr">
        <is>
          <t>รสเผ็ดหอม​, 20 ซอง 400g</t>
        </is>
      </c>
      <c r="G751" s="6" t="n">
        <v>1</v>
      </c>
      <c r="H751" s="6" t="n">
        <v>120</v>
      </c>
      <c r="I751" s="6" t="n">
        <v>0</v>
      </c>
      <c r="J751" s="6" t="n">
        <v>38</v>
      </c>
      <c r="K751" s="6">
        <f>H751+I751</f>
        <v/>
      </c>
      <c r="L751" s="5">
        <f>K751/4.7</f>
        <v/>
      </c>
      <c r="M751" s="6" t="n">
        <v>13.4</v>
      </c>
      <c r="N751" s="6" t="n">
        <v>1</v>
      </c>
      <c r="O751" s="6">
        <f>(K751*0.1229+1.05)/4.7</f>
        <v/>
      </c>
      <c r="P751" s="6">
        <f>K751*0.0749/4.7</f>
        <v/>
      </c>
      <c r="Q751" s="5">
        <f>M751+N751+O751+P751</f>
        <v/>
      </c>
      <c r="R751" s="5">
        <f>L751-Q751</f>
        <v/>
      </c>
      <c r="S751" s="6">
        <f>R751*4.7</f>
        <v/>
      </c>
      <c r="T751" s="7">
        <f>IF(L751&gt;0,R751/L751,0)</f>
        <v/>
      </c>
      <c r="U751" s="3" t="inlineStr">
        <is>
          <t>10/05/2026 02:59:03</t>
        </is>
      </c>
    </row>
    <row r="752">
      <c r="A752" s="3" t="inlineStr">
        <is>
          <t>583951498608019000</t>
        </is>
      </c>
      <c r="B752" s="3" t="inlineStr">
        <is>
          <t>已完成</t>
        </is>
      </c>
      <c r="C752" s="3" t="inlineStr">
        <is>
          <t>B1</t>
        </is>
      </c>
      <c r="D752" s="3" t="inlineStr">
        <is>
          <t>魔芋笋1大袋</t>
        </is>
      </c>
      <c r="E7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2" s="3" t="inlineStr">
        <is>
          <t>รสเปรี้ยวเผ็ด​, 10 ซอง 200g</t>
        </is>
      </c>
      <c r="G752" s="6" t="n">
        <v>1</v>
      </c>
      <c r="H752" s="6" t="n">
        <v>64.40000000000001</v>
      </c>
      <c r="I752" s="6" t="n">
        <v>5.6</v>
      </c>
      <c r="J752" s="6" t="n">
        <v>38</v>
      </c>
      <c r="K752" s="6">
        <f>H752+I752</f>
        <v/>
      </c>
      <c r="L752" s="5">
        <f>K752/4.7</f>
        <v/>
      </c>
      <c r="M752" s="6" t="n">
        <v>6.699999999999999</v>
      </c>
      <c r="N752" s="6" t="n">
        <v>1</v>
      </c>
      <c r="O752" s="6">
        <f>(K752*0.1229+1.05)/4.7</f>
        <v/>
      </c>
      <c r="P752" s="6">
        <f>K752*0.0749/4.7</f>
        <v/>
      </c>
      <c r="Q752" s="5">
        <f>M752+N752+O752+P752</f>
        <v/>
      </c>
      <c r="R752" s="5">
        <f>L752-Q752</f>
        <v/>
      </c>
      <c r="S752" s="6">
        <f>R752*4.7</f>
        <v/>
      </c>
      <c r="T752" s="7">
        <f>IF(L752&gt;0,R752/L752,0)</f>
        <v/>
      </c>
      <c r="U752" s="3" t="inlineStr">
        <is>
          <t>10/05/2026 02:40:51</t>
        </is>
      </c>
    </row>
    <row r="753">
      <c r="A753" s="3" t="inlineStr">
        <is>
          <t>583951504357951032</t>
        </is>
      </c>
      <c r="B753" s="3" t="inlineStr">
        <is>
          <t>已完成</t>
        </is>
      </c>
      <c r="C753" s="3" t="inlineStr">
        <is>
          <t>C1</t>
        </is>
      </c>
      <c r="D753" s="3" t="inlineStr">
        <is>
          <t>魔芋笋1大袋</t>
        </is>
      </c>
      <c r="E7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3" s="3" t="inlineStr">
        <is>
          <t>รสเผ็ดหอม​, 10 ซอง 200g</t>
        </is>
      </c>
      <c r="G753" s="6" t="n">
        <v>1</v>
      </c>
      <c r="H753" s="6" t="n">
        <v>70</v>
      </c>
      <c r="I753" s="6" t="n">
        <v>0</v>
      </c>
      <c r="J753" s="6" t="n">
        <v>38</v>
      </c>
      <c r="K753" s="6">
        <f>H753+I753</f>
        <v/>
      </c>
      <c r="L753" s="5">
        <f>K753/4.7</f>
        <v/>
      </c>
      <c r="M753" s="6" t="n">
        <v>6.699999999999999</v>
      </c>
      <c r="N753" s="6" t="n">
        <v>1</v>
      </c>
      <c r="O753" s="6">
        <f>(K753*0.1229+1.05)/4.7</f>
        <v/>
      </c>
      <c r="P753" s="6">
        <f>K753*0.0749/4.7</f>
        <v/>
      </c>
      <c r="Q753" s="5">
        <f>M753+N753+O753+P753</f>
        <v/>
      </c>
      <c r="R753" s="5">
        <f>L753-Q753</f>
        <v/>
      </c>
      <c r="S753" s="6">
        <f>R753*4.7</f>
        <v/>
      </c>
      <c r="T753" s="7">
        <f>IF(L753&gt;0,R753/L753,0)</f>
        <v/>
      </c>
      <c r="U753" s="3" t="inlineStr">
        <is>
          <t>10/05/2026 02:39:20</t>
        </is>
      </c>
    </row>
    <row r="754">
      <c r="A754" s="3" t="inlineStr">
        <is>
          <t>583951137370768764</t>
        </is>
      </c>
      <c r="B754" s="3" t="inlineStr">
        <is>
          <t>已完成</t>
        </is>
      </c>
      <c r="C754" s="3" t="inlineStr">
        <is>
          <t>C2</t>
        </is>
      </c>
      <c r="D754" s="3" t="inlineStr">
        <is>
          <t>魔芋笋2大袋</t>
        </is>
      </c>
      <c r="E7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4" s="3" t="inlineStr">
        <is>
          <t>รสเผ็ดหอม​, 20 ซอง 400g</t>
        </is>
      </c>
      <c r="G754" s="6" t="n">
        <v>1</v>
      </c>
      <c r="H754" s="6" t="n">
        <v>125</v>
      </c>
      <c r="I754" s="6" t="n">
        <v>0</v>
      </c>
      <c r="J754" s="6" t="n">
        <v>38</v>
      </c>
      <c r="K754" s="6">
        <f>H754+I754</f>
        <v/>
      </c>
      <c r="L754" s="5">
        <f>K754/4.7</f>
        <v/>
      </c>
      <c r="M754" s="6" t="n">
        <v>13.4</v>
      </c>
      <c r="N754" s="6" t="n">
        <v>1</v>
      </c>
      <c r="O754" s="6">
        <f>(K754*0.1229+1.05)/4.7</f>
        <v/>
      </c>
      <c r="P754" s="6">
        <f>K754*0.0749/4.7</f>
        <v/>
      </c>
      <c r="Q754" s="5">
        <f>M754+N754+O754+P754</f>
        <v/>
      </c>
      <c r="R754" s="5">
        <f>L754-Q754</f>
        <v/>
      </c>
      <c r="S754" s="6">
        <f>R754*4.7</f>
        <v/>
      </c>
      <c r="T754" s="7">
        <f>IF(L754&gt;0,R754/L754,0)</f>
        <v/>
      </c>
      <c r="U754" s="3" t="inlineStr">
        <is>
          <t>10/05/2026 01:16:10</t>
        </is>
      </c>
    </row>
    <row r="755">
      <c r="A755" s="3" t="inlineStr">
        <is>
          <t>583950931333580780</t>
        </is>
      </c>
      <c r="B755" s="3" t="inlineStr">
        <is>
          <t>已完成</t>
        </is>
      </c>
      <c r="C755" s="3" t="inlineStr">
        <is>
          <t>C3</t>
        </is>
      </c>
      <c r="D755" s="3" t="inlineStr">
        <is>
          <t>魔芋笋3大袋</t>
        </is>
      </c>
      <c r="E7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5" s="3" t="inlineStr">
        <is>
          <t>รสเผ็ดหอม​, 30 ซอง 600g</t>
        </is>
      </c>
      <c r="G755" s="6" t="n">
        <v>1</v>
      </c>
      <c r="H755" s="6" t="n">
        <v>339</v>
      </c>
      <c r="I755" s="6" t="n">
        <v>0</v>
      </c>
      <c r="J755" s="6" t="n">
        <v>48</v>
      </c>
      <c r="K755" s="6">
        <f>H755+I755</f>
        <v/>
      </c>
      <c r="L755" s="5">
        <f>K755/4.7</f>
        <v/>
      </c>
      <c r="M755" s="6" t="n">
        <v>20.1</v>
      </c>
      <c r="N755" s="6" t="n">
        <v>1</v>
      </c>
      <c r="O755" s="6">
        <f>(K755*0.1229+1.05)/4.7</f>
        <v/>
      </c>
      <c r="P755" s="6">
        <f>K755*0.0749/4.7</f>
        <v/>
      </c>
      <c r="Q755" s="5">
        <f>M755+N755+O755+P755</f>
        <v/>
      </c>
      <c r="R755" s="5">
        <f>L755-Q755</f>
        <v/>
      </c>
      <c r="S755" s="6">
        <f>R755*4.7</f>
        <v/>
      </c>
      <c r="T755" s="7">
        <f>IF(L755&gt;0,R755/L755,0)</f>
        <v/>
      </c>
      <c r="U755" s="3" t="inlineStr">
        <is>
          <t>10/05/2026 00:43:26</t>
        </is>
      </c>
    </row>
    <row r="756">
      <c r="A756" s="3" t="inlineStr">
        <is>
          <t>583950931333580780</t>
        </is>
      </c>
      <c r="B756" s="3" t="inlineStr">
        <is>
          <t>已完成</t>
        </is>
      </c>
      <c r="C756" s="3" t="inlineStr">
        <is>
          <t>B3</t>
        </is>
      </c>
      <c r="D756" s="3" t="inlineStr">
        <is>
          <t>魔芋笋3大袋</t>
        </is>
      </c>
      <c r="E7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6" s="3" t="inlineStr">
        <is>
          <t>รสเปรี้ยวเผ็ด​, 30 ซอง 600g</t>
        </is>
      </c>
      <c r="G756" s="6" t="n">
        <v>1</v>
      </c>
      <c r="H756" s="6" t="n">
        <v>339</v>
      </c>
      <c r="I756" s="6" t="n">
        <v>0</v>
      </c>
      <c r="J756" s="6" t="n">
        <v>48</v>
      </c>
      <c r="K756" s="6">
        <f>H756+I756</f>
        <v/>
      </c>
      <c r="L756" s="5">
        <f>K756/4.7</f>
        <v/>
      </c>
      <c r="M756" s="6" t="n">
        <v>20.1</v>
      </c>
      <c r="N756" s="6" t="n">
        <v>1</v>
      </c>
      <c r="O756" s="6">
        <f>(K756*0.1229+1.05)/4.7</f>
        <v/>
      </c>
      <c r="P756" s="6">
        <f>K756*0.0749/4.7</f>
        <v/>
      </c>
      <c r="Q756" s="5">
        <f>M756+N756+O756+P756</f>
        <v/>
      </c>
      <c r="R756" s="5">
        <f>L756-Q756</f>
        <v/>
      </c>
      <c r="S756" s="6">
        <f>R756*4.7</f>
        <v/>
      </c>
      <c r="T756" s="7">
        <f>IF(L756&gt;0,R756/L756,0)</f>
        <v/>
      </c>
      <c r="U756" s="3" t="inlineStr">
        <is>
          <t>10/05/2026 00:43:26</t>
        </is>
      </c>
    </row>
    <row r="757">
      <c r="A757" s="3" t="inlineStr">
        <is>
          <t>583950631951173110</t>
        </is>
      </c>
      <c r="B757" s="3" t="inlineStr">
        <is>
          <t>已取消</t>
        </is>
      </c>
      <c r="C757" s="3" t="inlineStr">
        <is>
          <t>C1</t>
        </is>
      </c>
      <c r="D757" s="3" t="inlineStr">
        <is>
          <t>魔芋笋1大袋</t>
        </is>
      </c>
      <c r="E7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7" s="3" t="inlineStr">
        <is>
          <t>รสเผ็ดหอม​, 10 ซอง 200g</t>
        </is>
      </c>
      <c r="G757" s="6" t="n">
        <v>1</v>
      </c>
      <c r="H757" s="6" t="n">
        <v>69</v>
      </c>
      <c r="I757" s="6" t="n">
        <v>0</v>
      </c>
      <c r="J757" s="6" t="n">
        <v>29</v>
      </c>
      <c r="K757" s="6">
        <f>H757+I757</f>
        <v/>
      </c>
      <c r="L757" s="5">
        <f>K757/4.7</f>
        <v/>
      </c>
      <c r="M757" s="6" t="n">
        <v>6.699999999999999</v>
      </c>
      <c r="N757" s="6" t="n">
        <v>1</v>
      </c>
      <c r="O757" s="6">
        <f>(K757*0.1229+1.05)/4.7</f>
        <v/>
      </c>
      <c r="P757" s="6">
        <f>K757*0.0749/4.7</f>
        <v/>
      </c>
      <c r="Q757" s="5">
        <f>M757+N757+O757+P757</f>
        <v/>
      </c>
      <c r="R757" s="5">
        <f>L757-Q757</f>
        <v/>
      </c>
      <c r="S757" s="6">
        <f>R757*4.7</f>
        <v/>
      </c>
      <c r="T757" s="7">
        <f>IF(L757&gt;0,R757/L757,0)</f>
        <v/>
      </c>
      <c r="U757" s="3" t="inlineStr">
        <is>
          <t>10/05/2026 00:07:29</t>
        </is>
      </c>
    </row>
    <row r="758">
      <c r="A758" s="3" t="inlineStr">
        <is>
          <t>583949295124907521</t>
        </is>
      </c>
      <c r="B758" s="3" t="inlineStr">
        <is>
          <t>已完成</t>
        </is>
      </c>
      <c r="C758" s="3" t="inlineStr">
        <is>
          <t>CK</t>
        </is>
      </c>
      <c r="D758" s="3" t="inlineStr">
        <is>
          <t>黑松露黑麦苏打饼干</t>
        </is>
      </c>
      <c r="E75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58" s="3" t="inlineStr">
        <is>
          <t>ค่าเริ่มต้น</t>
        </is>
      </c>
      <c r="G758" s="6" t="n">
        <v>1</v>
      </c>
      <c r="H758" s="6" t="n">
        <v>104</v>
      </c>
      <c r="I758" s="6" t="n">
        <v>0</v>
      </c>
      <c r="J758" s="6" t="n">
        <v>29</v>
      </c>
      <c r="K758" s="6">
        <f>H758+I758</f>
        <v/>
      </c>
      <c r="L758" s="5">
        <f>K758/4.7</f>
        <v/>
      </c>
      <c r="M758" s="6" t="n">
        <v>10.72665050209467</v>
      </c>
      <c r="N758" s="6" t="n">
        <v>1</v>
      </c>
      <c r="O758" s="6">
        <f>(K758*0.1229+1.05)/4.7</f>
        <v/>
      </c>
      <c r="P758" s="6">
        <f>K758*0.0749/4.7</f>
        <v/>
      </c>
      <c r="Q758" s="5">
        <f>M758+N758+O758+P758</f>
        <v/>
      </c>
      <c r="R758" s="5">
        <f>L758-Q758</f>
        <v/>
      </c>
      <c r="S758" s="6">
        <f>R758*4.7</f>
        <v/>
      </c>
      <c r="T758" s="7">
        <f>IF(L758&gt;0,R758/L758,0)</f>
        <v/>
      </c>
      <c r="U758" s="3" t="inlineStr">
        <is>
          <t>09/05/2026 22:14:34</t>
        </is>
      </c>
    </row>
    <row r="759">
      <c r="A759" s="3" t="inlineStr">
        <is>
          <t>583949218803778878</t>
        </is>
      </c>
      <c r="B759" s="3" t="inlineStr">
        <is>
          <t>已完成</t>
        </is>
      </c>
      <c r="C759" s="3" t="inlineStr">
        <is>
          <t>B1</t>
        </is>
      </c>
      <c r="D759" s="3" t="inlineStr">
        <is>
          <t>魔芋笋1大袋</t>
        </is>
      </c>
      <c r="E7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9" s="3" t="inlineStr">
        <is>
          <t>รสเปรี้ยวเผ็ด​, 10 ซอง 200g</t>
        </is>
      </c>
      <c r="G759" s="6" t="n">
        <v>1</v>
      </c>
      <c r="H759" s="6" t="n">
        <v>63.48</v>
      </c>
      <c r="I759" s="6" t="n">
        <v>5.52</v>
      </c>
      <c r="J759" s="6" t="n">
        <v>35</v>
      </c>
      <c r="K759" s="6">
        <f>H759+I759</f>
        <v/>
      </c>
      <c r="L759" s="5">
        <f>K759/4.7</f>
        <v/>
      </c>
      <c r="M759" s="6" t="n">
        <v>6.699999999999999</v>
      </c>
      <c r="N759" s="6" t="n">
        <v>1</v>
      </c>
      <c r="O759" s="6">
        <f>(K759*0.1229+1.05)/4.7</f>
        <v/>
      </c>
      <c r="P759" s="6">
        <f>K759*0.0749/4.7</f>
        <v/>
      </c>
      <c r="Q759" s="5">
        <f>M759+N759+O759+P759</f>
        <v/>
      </c>
      <c r="R759" s="5">
        <f>L759-Q759</f>
        <v/>
      </c>
      <c r="S759" s="6">
        <f>R759*4.7</f>
        <v/>
      </c>
      <c r="T759" s="7">
        <f>IF(L759&gt;0,R759/L759,0)</f>
        <v/>
      </c>
      <c r="U759" s="3" t="inlineStr">
        <is>
          <t>09/05/2026 22:12:18</t>
        </is>
      </c>
    </row>
    <row r="760">
      <c r="A760" s="3" t="inlineStr">
        <is>
          <t>583947460250142637</t>
        </is>
      </c>
      <c r="B760" s="3" t="inlineStr">
        <is>
          <t>已完成</t>
        </is>
      </c>
      <c r="C760" s="3" t="inlineStr">
        <is>
          <t>C5s</t>
        </is>
      </c>
      <c r="D760" s="3" t="inlineStr">
        <is>
          <t>香辣味魔芋笋5小袋</t>
        </is>
      </c>
      <c r="E7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0" s="3" t="inlineStr">
        <is>
          <t>รสเผ็ดหอม​, 5 ซอง 100g</t>
        </is>
      </c>
      <c r="G760" s="6" t="n">
        <v>1</v>
      </c>
      <c r="H760" s="6" t="n">
        <v>47</v>
      </c>
      <c r="I760" s="6" t="n">
        <v>0</v>
      </c>
      <c r="J760" s="6" t="n">
        <v>38</v>
      </c>
      <c r="K760" s="6">
        <f>H760+I760</f>
        <v/>
      </c>
      <c r="L760" s="5">
        <f>K760/4.7</f>
        <v/>
      </c>
      <c r="M760" s="6" t="n">
        <v>3.35</v>
      </c>
      <c r="N760" s="6" t="n">
        <v>1</v>
      </c>
      <c r="O760" s="6">
        <f>(K760*0.1229+1.05)/4.7</f>
        <v/>
      </c>
      <c r="P760" s="6">
        <f>K760*0.0749/4.7</f>
        <v/>
      </c>
      <c r="Q760" s="5">
        <f>M760+N760+O760+P760</f>
        <v/>
      </c>
      <c r="R760" s="5">
        <f>L760-Q760</f>
        <v/>
      </c>
      <c r="S760" s="6">
        <f>R760*4.7</f>
        <v/>
      </c>
      <c r="T760" s="7">
        <f>IF(L760&gt;0,R760/L760,0)</f>
        <v/>
      </c>
      <c r="U760" s="3" t="inlineStr">
        <is>
          <t>09/05/2026 20:23:42</t>
        </is>
      </c>
    </row>
    <row r="761">
      <c r="A761" s="3" t="inlineStr">
        <is>
          <t>583944555681056669</t>
        </is>
      </c>
      <c r="B761" s="3" t="inlineStr">
        <is>
          <t>已完成</t>
        </is>
      </c>
      <c r="C761" s="3" t="inlineStr">
        <is>
          <t>C2</t>
        </is>
      </c>
      <c r="D761" s="3" t="inlineStr">
        <is>
          <t>魔芋笋2大袋</t>
        </is>
      </c>
      <c r="E7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1" s="3" t="inlineStr">
        <is>
          <t>รสเผ็ดหอม​, 20 ซอง 400g</t>
        </is>
      </c>
      <c r="G761" s="6" t="n">
        <v>1</v>
      </c>
      <c r="H761" s="6" t="n">
        <v>158</v>
      </c>
      <c r="I761" s="6" t="n">
        <v>0</v>
      </c>
      <c r="J761" s="6" t="n">
        <v>0</v>
      </c>
      <c r="K761" s="6">
        <f>H761+I761</f>
        <v/>
      </c>
      <c r="L761" s="5">
        <f>K761/4.7</f>
        <v/>
      </c>
      <c r="M761" s="6" t="n">
        <v>13.4</v>
      </c>
      <c r="N761" s="6" t="n">
        <v>1</v>
      </c>
      <c r="O761" s="6">
        <f>(K761*0.1229+1.05)/4.7</f>
        <v/>
      </c>
      <c r="P761" s="6">
        <f>K761*0.0749/4.7</f>
        <v/>
      </c>
      <c r="Q761" s="5">
        <f>M761+N761+O761+P761</f>
        <v/>
      </c>
      <c r="R761" s="5">
        <f>L761-Q761</f>
        <v/>
      </c>
      <c r="S761" s="6">
        <f>R761*4.7</f>
        <v/>
      </c>
      <c r="T761" s="7">
        <f>IF(L761&gt;0,R761/L761,0)</f>
        <v/>
      </c>
      <c r="U761" s="3" t="inlineStr">
        <is>
          <t>09/05/2026 17:11:22</t>
        </is>
      </c>
    </row>
    <row r="762">
      <c r="A762" s="3" t="inlineStr">
        <is>
          <t>583944290529871052</t>
        </is>
      </c>
      <c r="B762" s="3" t="inlineStr">
        <is>
          <t>已取消</t>
        </is>
      </c>
      <c r="C762" s="3" t="inlineStr">
        <is>
          <t>C1</t>
        </is>
      </c>
      <c r="D762" s="3" t="inlineStr">
        <is>
          <t>魔芋笋1大袋</t>
        </is>
      </c>
      <c r="E762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762" s="3" t="inlineStr">
        <is>
          <t>รสเผ็ดหอม​, 1pcs</t>
        </is>
      </c>
      <c r="G762" s="6" t="n">
        <v>1</v>
      </c>
      <c r="H762" s="6" t="n">
        <v>68</v>
      </c>
      <c r="I762" s="6" t="n">
        <v>0</v>
      </c>
      <c r="J762" s="6" t="n">
        <v>38</v>
      </c>
      <c r="K762" s="6">
        <f>H762+I762</f>
        <v/>
      </c>
      <c r="L762" s="5">
        <f>K762/4.7</f>
        <v/>
      </c>
      <c r="M762" s="6" t="n">
        <v>6.699999999999999</v>
      </c>
      <c r="N762" s="6" t="n">
        <v>1</v>
      </c>
      <c r="O762" s="6">
        <f>(K762*0.1229+1.05)/4.7</f>
        <v/>
      </c>
      <c r="P762" s="6">
        <f>K762*0.0749/4.7</f>
        <v/>
      </c>
      <c r="Q762" s="5">
        <f>M762+N762+O762+P762</f>
        <v/>
      </c>
      <c r="R762" s="5">
        <f>L762-Q762</f>
        <v/>
      </c>
      <c r="S762" s="6">
        <f>R762*4.7</f>
        <v/>
      </c>
      <c r="T762" s="7">
        <f>IF(L762&gt;0,R762/L762,0)</f>
        <v/>
      </c>
      <c r="U762" s="3" t="inlineStr">
        <is>
          <t>09/05/2026 16:53:57</t>
        </is>
      </c>
    </row>
    <row r="763">
      <c r="A763" s="3" t="inlineStr">
        <is>
          <t>583941491266978938</t>
        </is>
      </c>
      <c r="B763" s="3" t="inlineStr">
        <is>
          <t>已完成</t>
        </is>
      </c>
      <c r="C763" s="3" t="inlineStr">
        <is>
          <t>B1</t>
        </is>
      </c>
      <c r="D763" s="3" t="inlineStr">
        <is>
          <t>魔芋笋1大袋</t>
        </is>
      </c>
      <c r="E7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3" s="3" t="inlineStr">
        <is>
          <t>รสเปรี้ยวเผ็ด​, 10 ซอง 200g</t>
        </is>
      </c>
      <c r="G763" s="6" t="n">
        <v>1</v>
      </c>
      <c r="H763" s="6" t="n">
        <v>63.48</v>
      </c>
      <c r="I763" s="6" t="n">
        <v>5.52</v>
      </c>
      <c r="J763" s="6" t="n">
        <v>29</v>
      </c>
      <c r="K763" s="6">
        <f>H763+I763</f>
        <v/>
      </c>
      <c r="L763" s="5">
        <f>K763/4.7</f>
        <v/>
      </c>
      <c r="M763" s="6" t="n">
        <v>6.699999999999999</v>
      </c>
      <c r="N763" s="6" t="n">
        <v>1</v>
      </c>
      <c r="O763" s="6">
        <f>(K763*0.1229+1.05)/4.7</f>
        <v/>
      </c>
      <c r="P763" s="6">
        <f>K763*0.0749/4.7</f>
        <v/>
      </c>
      <c r="Q763" s="5">
        <f>M763+N763+O763+P763</f>
        <v/>
      </c>
      <c r="R763" s="5">
        <f>L763-Q763</f>
        <v/>
      </c>
      <c r="S763" s="6">
        <f>R763*4.7</f>
        <v/>
      </c>
      <c r="T763" s="7">
        <f>IF(L763&gt;0,R763/L763,0)</f>
        <v/>
      </c>
      <c r="U763" s="3" t="inlineStr">
        <is>
          <t>09/05/2026 13:40:15</t>
        </is>
      </c>
    </row>
    <row r="764">
      <c r="A764" s="3" t="inlineStr">
        <is>
          <t>583941336483071004</t>
        </is>
      </c>
      <c r="B764" s="3" t="inlineStr">
        <is>
          <t>已取消</t>
        </is>
      </c>
      <c r="C764" s="3" t="inlineStr">
        <is>
          <t>C5s</t>
        </is>
      </c>
      <c r="D764" s="3" t="inlineStr">
        <is>
          <t>香辣味魔芋笋5小袋</t>
        </is>
      </c>
      <c r="E7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4" s="3" t="inlineStr">
        <is>
          <t>รสเผ็ดหอม​, 5 ซอง 100g</t>
        </is>
      </c>
      <c r="G764" s="6" t="n">
        <v>1</v>
      </c>
      <c r="H764" s="6" t="n">
        <v>47</v>
      </c>
      <c r="I764" s="6" t="n">
        <v>0</v>
      </c>
      <c r="J764" s="6" t="n">
        <v>38</v>
      </c>
      <c r="K764" s="6">
        <f>H764+I764</f>
        <v/>
      </c>
      <c r="L764" s="5">
        <f>K764/4.7</f>
        <v/>
      </c>
      <c r="M764" s="6" t="n">
        <v>3.35</v>
      </c>
      <c r="N764" s="6" t="n">
        <v>1</v>
      </c>
      <c r="O764" s="6">
        <f>(K764*0.1229+1.05)/4.7</f>
        <v/>
      </c>
      <c r="P764" s="6">
        <f>K764*0.0749/4.7</f>
        <v/>
      </c>
      <c r="Q764" s="5">
        <f>M764+N764+O764+P764</f>
        <v/>
      </c>
      <c r="R764" s="5">
        <f>L764-Q764</f>
        <v/>
      </c>
      <c r="S764" s="6">
        <f>R764*4.7</f>
        <v/>
      </c>
      <c r="T764" s="7">
        <f>IF(L764&gt;0,R764/L764,0)</f>
        <v/>
      </c>
      <c r="U764" s="3" t="inlineStr">
        <is>
          <t>09/05/2026 13:34:45</t>
        </is>
      </c>
    </row>
    <row r="765">
      <c r="A765" s="3" t="inlineStr">
        <is>
          <t>583938861855442451</t>
        </is>
      </c>
      <c r="B765" s="3" t="inlineStr">
        <is>
          <t>已完成</t>
        </is>
      </c>
      <c r="C765" s="3" t="inlineStr">
        <is>
          <t>CK</t>
        </is>
      </c>
      <c r="D765" s="3" t="inlineStr">
        <is>
          <t>黑松露黑麦苏打饼干</t>
        </is>
      </c>
      <c r="E76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65" s="3" t="inlineStr">
        <is>
          <t>ค่าเริ่มต้น</t>
        </is>
      </c>
      <c r="G765" s="6" t="n">
        <v>2</v>
      </c>
      <c r="H765" s="6" t="n">
        <v>126</v>
      </c>
      <c r="I765" s="6" t="n">
        <v>84</v>
      </c>
      <c r="J765" s="6" t="n">
        <v>38</v>
      </c>
      <c r="K765" s="6">
        <f>H765+I765</f>
        <v/>
      </c>
      <c r="L765" s="5">
        <f>K765/4.7</f>
        <v/>
      </c>
      <c r="M765" s="6" t="n">
        <v>21.45330100418933</v>
      </c>
      <c r="N765" s="6" t="n">
        <v>1</v>
      </c>
      <c r="O765" s="6">
        <f>(K765*0.1229+1.05)/4.7</f>
        <v/>
      </c>
      <c r="P765" s="6">
        <f>K765*0.0749/4.7</f>
        <v/>
      </c>
      <c r="Q765" s="5">
        <f>M765+N765+O765+P765</f>
        <v/>
      </c>
      <c r="R765" s="5">
        <f>L765-Q765</f>
        <v/>
      </c>
      <c r="S765" s="6">
        <f>R765*4.7</f>
        <v/>
      </c>
      <c r="T765" s="7">
        <f>IF(L765&gt;0,R765/L765,0)</f>
        <v/>
      </c>
      <c r="U765" s="3" t="inlineStr">
        <is>
          <t>09/05/2026 10:58:38</t>
        </is>
      </c>
    </row>
    <row r="766">
      <c r="A766" s="3" t="inlineStr">
        <is>
          <t>583938738377295183</t>
        </is>
      </c>
      <c r="B766" s="3" t="inlineStr">
        <is>
          <t>已完成</t>
        </is>
      </c>
      <c r="C766" s="3" t="inlineStr">
        <is>
          <t>C2</t>
        </is>
      </c>
      <c r="D766" s="3" t="inlineStr">
        <is>
          <t>魔芋笋2大袋</t>
        </is>
      </c>
      <c r="E7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6" s="3" t="inlineStr">
        <is>
          <t>รสเผ็ดหอม​, 20 ซอง 400g</t>
        </is>
      </c>
      <c r="G766" s="6" t="n">
        <v>1</v>
      </c>
      <c r="H766" s="6" t="n">
        <v>125</v>
      </c>
      <c r="I766" s="6" t="n">
        <v>0</v>
      </c>
      <c r="J766" s="6" t="n">
        <v>38</v>
      </c>
      <c r="K766" s="6">
        <f>H766+I766</f>
        <v/>
      </c>
      <c r="L766" s="5">
        <f>K766/4.7</f>
        <v/>
      </c>
      <c r="M766" s="6" t="n">
        <v>13.4</v>
      </c>
      <c r="N766" s="6" t="n">
        <v>1</v>
      </c>
      <c r="O766" s="6">
        <f>(K766*0.1229+1.05)/4.7</f>
        <v/>
      </c>
      <c r="P766" s="6">
        <f>K766*0.0749/4.7</f>
        <v/>
      </c>
      <c r="Q766" s="5">
        <f>M766+N766+O766+P766</f>
        <v/>
      </c>
      <c r="R766" s="5">
        <f>L766-Q766</f>
        <v/>
      </c>
      <c r="S766" s="6">
        <f>R766*4.7</f>
        <v/>
      </c>
      <c r="T766" s="7">
        <f>IF(L766&gt;0,R766/L766,0)</f>
        <v/>
      </c>
      <c r="U766" s="3" t="inlineStr">
        <is>
          <t>09/05/2026 10:52:52</t>
        </is>
      </c>
    </row>
    <row r="767">
      <c r="A767" s="3" t="inlineStr">
        <is>
          <t>583938752042271795</t>
        </is>
      </c>
      <c r="B767" s="3" t="inlineStr">
        <is>
          <t>已完成</t>
        </is>
      </c>
      <c r="C767" s="3" t="inlineStr">
        <is>
          <t>B5s</t>
        </is>
      </c>
      <c r="D767" s="3" t="inlineStr">
        <is>
          <t>酸辣味5小袋</t>
        </is>
      </c>
      <c r="E7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7" s="3" t="inlineStr">
        <is>
          <t>รสเปรี้ยวเผ็ด​, 5 ซอง 100g</t>
        </is>
      </c>
      <c r="G767" s="6" t="n">
        <v>1</v>
      </c>
      <c r="H767" s="6" t="n">
        <v>94</v>
      </c>
      <c r="I767" s="6" t="n">
        <v>0</v>
      </c>
      <c r="J767" s="6" t="n">
        <v>98</v>
      </c>
      <c r="K767" s="6">
        <f>H767+I767</f>
        <v/>
      </c>
      <c r="L767" s="5">
        <f>K767/4.7</f>
        <v/>
      </c>
      <c r="M767" s="6" t="n">
        <v>3.35</v>
      </c>
      <c r="N767" s="6" t="n">
        <v>1</v>
      </c>
      <c r="O767" s="6">
        <f>(K767*0.1229+1.05)/4.7</f>
        <v/>
      </c>
      <c r="P767" s="6">
        <f>K767*0.0749/4.7</f>
        <v/>
      </c>
      <c r="Q767" s="5">
        <f>M767+N767+O767+P767</f>
        <v/>
      </c>
      <c r="R767" s="5">
        <f>L767-Q767</f>
        <v/>
      </c>
      <c r="S767" s="6">
        <f>R767*4.7</f>
        <v/>
      </c>
      <c r="T767" s="7">
        <f>IF(L767&gt;0,R767/L767,0)</f>
        <v/>
      </c>
      <c r="U767" s="3" t="inlineStr">
        <is>
          <t>09/05/2026 10:52:42</t>
        </is>
      </c>
    </row>
    <row r="768">
      <c r="A768" s="3" t="inlineStr">
        <is>
          <t>583938752042271795</t>
        </is>
      </c>
      <c r="B768" s="3" t="inlineStr">
        <is>
          <t>已完成</t>
        </is>
      </c>
      <c r="C768" s="3" t="inlineStr">
        <is>
          <t>C5s</t>
        </is>
      </c>
      <c r="D768" s="3" t="inlineStr">
        <is>
          <t>香辣味魔芋笋5小袋</t>
        </is>
      </c>
      <c r="E7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8" s="3" t="inlineStr">
        <is>
          <t>รสเผ็ดหอม​, 5 ซอง 100g</t>
        </is>
      </c>
      <c r="G768" s="6" t="n">
        <v>1</v>
      </c>
      <c r="H768" s="6" t="n">
        <v>94</v>
      </c>
      <c r="I768" s="6" t="n">
        <v>0</v>
      </c>
      <c r="J768" s="6" t="n">
        <v>98</v>
      </c>
      <c r="K768" s="6">
        <f>H768+I768</f>
        <v/>
      </c>
      <c r="L768" s="5">
        <f>K768/4.7</f>
        <v/>
      </c>
      <c r="M768" s="6" t="n">
        <v>3.35</v>
      </c>
      <c r="N768" s="6" t="n">
        <v>1</v>
      </c>
      <c r="O768" s="6">
        <f>(K768*0.1229+1.05)/4.7</f>
        <v/>
      </c>
      <c r="P768" s="6">
        <f>K768*0.0749/4.7</f>
        <v/>
      </c>
      <c r="Q768" s="5">
        <f>M768+N768+O768+P768</f>
        <v/>
      </c>
      <c r="R768" s="5">
        <f>L768-Q768</f>
        <v/>
      </c>
      <c r="S768" s="6">
        <f>R768*4.7</f>
        <v/>
      </c>
      <c r="T768" s="7">
        <f>IF(L768&gt;0,R768/L768,0)</f>
        <v/>
      </c>
      <c r="U768" s="3" t="inlineStr">
        <is>
          <t>09/05/2026 10:52:42</t>
        </is>
      </c>
    </row>
    <row r="769">
      <c r="A769" s="3" t="inlineStr">
        <is>
          <t>583936996833920569</t>
        </is>
      </c>
      <c r="B769" s="3" t="inlineStr">
        <is>
          <t>已完成</t>
        </is>
      </c>
      <c r="C769" s="3" t="inlineStr">
        <is>
          <t>C1</t>
        </is>
      </c>
      <c r="D769" s="3" t="inlineStr">
        <is>
          <t>魔芋笋1大袋</t>
        </is>
      </c>
      <c r="E7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9" s="3" t="inlineStr">
        <is>
          <t>รสเผ็ดหอม​, 10 ซอง 200g</t>
        </is>
      </c>
      <c r="G769" s="6" t="n">
        <v>1</v>
      </c>
      <c r="H769" s="6" t="n">
        <v>69</v>
      </c>
      <c r="I769" s="6" t="n">
        <v>0</v>
      </c>
      <c r="J769" s="6" t="n">
        <v>35</v>
      </c>
      <c r="K769" s="6">
        <f>H769+I769</f>
        <v/>
      </c>
      <c r="L769" s="5">
        <f>K769/4.7</f>
        <v/>
      </c>
      <c r="M769" s="6" t="n">
        <v>6.699999999999999</v>
      </c>
      <c r="N769" s="6" t="n">
        <v>1</v>
      </c>
      <c r="O769" s="6">
        <f>(K769*0.1229+1.05)/4.7</f>
        <v/>
      </c>
      <c r="P769" s="6">
        <f>K769*0.0749/4.7</f>
        <v/>
      </c>
      <c r="Q769" s="5">
        <f>M769+N769+O769+P769</f>
        <v/>
      </c>
      <c r="R769" s="5">
        <f>L769-Q769</f>
        <v/>
      </c>
      <c r="S769" s="6">
        <f>R769*4.7</f>
        <v/>
      </c>
      <c r="T769" s="7">
        <f>IF(L769&gt;0,R769/L769,0)</f>
        <v/>
      </c>
      <c r="U769" s="3" t="inlineStr">
        <is>
          <t>09/05/2026 08:53:16</t>
        </is>
      </c>
    </row>
    <row r="770">
      <c r="A770" s="3" t="inlineStr">
        <is>
          <t>583934371711321168</t>
        </is>
      </c>
      <c r="B770" s="3" t="inlineStr">
        <is>
          <t>已取消</t>
        </is>
      </c>
      <c r="C770" s="3" t="inlineStr">
        <is>
          <t>C3</t>
        </is>
      </c>
      <c r="D770" s="3" t="inlineStr">
        <is>
          <t>魔芋笋3大袋</t>
        </is>
      </c>
      <c r="E7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0" s="3" t="inlineStr">
        <is>
          <t>รสเผ็ดหอม​, 30 ซอง 600g</t>
        </is>
      </c>
      <c r="G770" s="6" t="n">
        <v>3</v>
      </c>
      <c r="H770" s="6" t="n">
        <v>481</v>
      </c>
      <c r="I770" s="6" t="n">
        <v>30</v>
      </c>
      <c r="J770" s="6" t="n">
        <v>48</v>
      </c>
      <c r="K770" s="6">
        <f>H770+I770</f>
        <v/>
      </c>
      <c r="L770" s="5">
        <f>K770/4.7</f>
        <v/>
      </c>
      <c r="M770" s="6" t="n">
        <v>60.3</v>
      </c>
      <c r="N770" s="6" t="n">
        <v>1</v>
      </c>
      <c r="O770" s="6">
        <f>(K770*0.1229+1.05)/4.7</f>
        <v/>
      </c>
      <c r="P770" s="6">
        <f>K770*0.0749/4.7</f>
        <v/>
      </c>
      <c r="Q770" s="5">
        <f>M770+N770+O770+P770</f>
        <v/>
      </c>
      <c r="R770" s="5">
        <f>L770-Q770</f>
        <v/>
      </c>
      <c r="S770" s="6">
        <f>R770*4.7</f>
        <v/>
      </c>
      <c r="T770" s="7">
        <f>IF(L770&gt;0,R770/L770,0)</f>
        <v/>
      </c>
      <c r="U770" s="3" t="inlineStr">
        <is>
          <t>09/05/2026 04:49:23</t>
        </is>
      </c>
    </row>
    <row r="771">
      <c r="A771" s="3" t="inlineStr">
        <is>
          <t>583933539851077142</t>
        </is>
      </c>
      <c r="B771" s="3" t="inlineStr">
        <is>
          <t>已完成</t>
        </is>
      </c>
      <c r="C771" s="3" t="inlineStr">
        <is>
          <t>C2</t>
        </is>
      </c>
      <c r="D771" s="3" t="inlineStr">
        <is>
          <t>魔芋笋2大袋</t>
        </is>
      </c>
      <c r="E7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1" s="3" t="inlineStr">
        <is>
          <t>รสเผ็ดหอม​, 20 ซอง 400g</t>
        </is>
      </c>
      <c r="G771" s="6" t="n">
        <v>1</v>
      </c>
      <c r="H771" s="6" t="n">
        <v>125</v>
      </c>
      <c r="I771" s="6" t="n">
        <v>0</v>
      </c>
      <c r="J771" s="6" t="n">
        <v>35</v>
      </c>
      <c r="K771" s="6">
        <f>H771+I771</f>
        <v/>
      </c>
      <c r="L771" s="5">
        <f>K771/4.7</f>
        <v/>
      </c>
      <c r="M771" s="6" t="n">
        <v>13.4</v>
      </c>
      <c r="N771" s="6" t="n">
        <v>1</v>
      </c>
      <c r="O771" s="6">
        <f>(K771*0.1229+1.05)/4.7</f>
        <v/>
      </c>
      <c r="P771" s="6">
        <f>K771*0.0749/4.7</f>
        <v/>
      </c>
      <c r="Q771" s="5">
        <f>M771+N771+O771+P771</f>
        <v/>
      </c>
      <c r="R771" s="5">
        <f>L771-Q771</f>
        <v/>
      </c>
      <c r="S771" s="6">
        <f>R771*4.7</f>
        <v/>
      </c>
      <c r="T771" s="7">
        <f>IF(L771&gt;0,R771/L771,0)</f>
        <v/>
      </c>
      <c r="U771" s="3" t="inlineStr">
        <is>
          <t>09/05/2026 02:24:03</t>
        </is>
      </c>
    </row>
    <row r="772">
      <c r="A772" s="3" t="inlineStr">
        <is>
          <t>583933372462564656</t>
        </is>
      </c>
      <c r="B772" s="3" t="inlineStr">
        <is>
          <t>已完成</t>
        </is>
      </c>
      <c r="C772" s="3" t="inlineStr">
        <is>
          <t>ER-B</t>
        </is>
      </c>
      <c r="D772" s="3" t="inlineStr">
        <is>
          <t>广州酒家黄油鸡蛋卷480g</t>
        </is>
      </c>
      <c r="E772" s="3" t="inlineStr">
        <is>
          <t>Egg Roll 2สูตร ทองม้วนไข่กล่องเหล็กพรีเมี่ยม!! GuangZhou Restaurant 454g/480g กล่องล่ะ 24 แท่ง</t>
        </is>
      </c>
      <c r="F772" s="3" t="inlineStr">
        <is>
          <t>Butter สูตรเนยสด พรีเมี่ยม</t>
        </is>
      </c>
      <c r="G772" s="6" t="n">
        <v>1</v>
      </c>
      <c r="H772" s="6" t="n">
        <v>365</v>
      </c>
      <c r="I772" s="6" t="n">
        <v>40</v>
      </c>
      <c r="J772" s="6" t="n">
        <v>35</v>
      </c>
      <c r="K772" s="6">
        <f>H772+I772</f>
        <v/>
      </c>
      <c r="L772" s="5">
        <f>K772/4.7</f>
        <v/>
      </c>
      <c r="M772" s="6" t="n">
        <v>45.49882436351998</v>
      </c>
      <c r="N772" s="6" t="n">
        <v>2</v>
      </c>
      <c r="O772" s="6">
        <f>(K772*0.1229+1.05)/4.7</f>
        <v/>
      </c>
      <c r="P772" s="6">
        <f>K772*0.0749/4.7</f>
        <v/>
      </c>
      <c r="Q772" s="5">
        <f>M772+N772+O772+P772</f>
        <v/>
      </c>
      <c r="R772" s="5">
        <f>L772-Q772</f>
        <v/>
      </c>
      <c r="S772" s="6">
        <f>R772*4.7</f>
        <v/>
      </c>
      <c r="T772" s="7">
        <f>IF(L772&gt;0,R772/L772,0)</f>
        <v/>
      </c>
      <c r="U772" s="3" t="inlineStr">
        <is>
          <t>09/05/2026 01:56:26</t>
        </is>
      </c>
    </row>
    <row r="773">
      <c r="A773" s="3" t="inlineStr">
        <is>
          <t>583932815066367358</t>
        </is>
      </c>
      <c r="B773" s="3" t="inlineStr">
        <is>
          <t>已完成</t>
        </is>
      </c>
      <c r="C773" s="3" t="inlineStr">
        <is>
          <t>C5s</t>
        </is>
      </c>
      <c r="D773" s="3" t="inlineStr">
        <is>
          <t>香辣味魔芋笋5小袋</t>
        </is>
      </c>
      <c r="E7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3" s="3" t="inlineStr">
        <is>
          <t>รสเผ็ดหอม​, 5 ซอง 100g</t>
        </is>
      </c>
      <c r="G773" s="6" t="n">
        <v>1</v>
      </c>
      <c r="H773" s="6" t="n">
        <v>47</v>
      </c>
      <c r="I773" s="6" t="n">
        <v>0</v>
      </c>
      <c r="J773" s="6" t="n">
        <v>35</v>
      </c>
      <c r="K773" s="6">
        <f>H773+I773</f>
        <v/>
      </c>
      <c r="L773" s="5">
        <f>K773/4.7</f>
        <v/>
      </c>
      <c r="M773" s="6" t="n">
        <v>3.35</v>
      </c>
      <c r="N773" s="6" t="n">
        <v>1</v>
      </c>
      <c r="O773" s="6">
        <f>(K773*0.1229+1.05)/4.7</f>
        <v/>
      </c>
      <c r="P773" s="6">
        <f>K773*0.0749/4.7</f>
        <v/>
      </c>
      <c r="Q773" s="5">
        <f>M773+N773+O773+P773</f>
        <v/>
      </c>
      <c r="R773" s="5">
        <f>L773-Q773</f>
        <v/>
      </c>
      <c r="S773" s="6">
        <f>R773*4.7</f>
        <v/>
      </c>
      <c r="T773" s="7">
        <f>IF(L773&gt;0,R773/L773,0)</f>
        <v/>
      </c>
      <c r="U773" s="3" t="inlineStr">
        <is>
          <t>09/05/2026 00:46:49</t>
        </is>
      </c>
    </row>
    <row r="774">
      <c r="A774" s="3" t="inlineStr">
        <is>
          <t>583932697193251842</t>
        </is>
      </c>
      <c r="B774" s="3" t="inlineStr">
        <is>
          <t>已完成</t>
        </is>
      </c>
      <c r="C774" s="3" t="inlineStr">
        <is>
          <t>ER-B</t>
        </is>
      </c>
      <c r="D774" s="3" t="inlineStr">
        <is>
          <t>广州酒家黄油鸡蛋卷480g</t>
        </is>
      </c>
      <c r="E774" s="3" t="inlineStr">
        <is>
          <t>Egg Roll 2สูตร ทองม้วนไข่กล่องเหล็กพรีเมี่ยม!! GuangZhou Restaurant 454g/480g กล่องล่ะ 24 แท่ง</t>
        </is>
      </c>
      <c r="F774" s="3" t="inlineStr">
        <is>
          <t>Butter สูตรเนยสด พรีเมี่ยม</t>
        </is>
      </c>
      <c r="G774" s="6" t="n">
        <v>1</v>
      </c>
      <c r="H774" s="6" t="n">
        <v>367.78</v>
      </c>
      <c r="I774" s="6" t="n">
        <v>37.22</v>
      </c>
      <c r="J774" s="6" t="n">
        <v>38</v>
      </c>
      <c r="K774" s="6">
        <f>H774+I774</f>
        <v/>
      </c>
      <c r="L774" s="5">
        <f>K774/4.7</f>
        <v/>
      </c>
      <c r="M774" s="6" t="n">
        <v>45.49882436351998</v>
      </c>
      <c r="N774" s="6" t="n">
        <v>2</v>
      </c>
      <c r="O774" s="6">
        <f>(K774*0.1229+1.05)/4.7</f>
        <v/>
      </c>
      <c r="P774" s="6">
        <f>K774*0.0749/4.7</f>
        <v/>
      </c>
      <c r="Q774" s="5">
        <f>M774+N774+O774+P774</f>
        <v/>
      </c>
      <c r="R774" s="5">
        <f>L774-Q774</f>
        <v/>
      </c>
      <c r="S774" s="6">
        <f>R774*4.7</f>
        <v/>
      </c>
      <c r="T774" s="7">
        <f>IF(L774&gt;0,R774/L774,0)</f>
        <v/>
      </c>
      <c r="U774" s="3" t="inlineStr">
        <is>
          <t>09/05/2026 00:32:25</t>
        </is>
      </c>
    </row>
    <row r="775">
      <c r="A775" s="3" t="inlineStr">
        <is>
          <t>583932606496539962</t>
        </is>
      </c>
      <c r="B775" s="3" t="inlineStr">
        <is>
          <t>已完成</t>
        </is>
      </c>
      <c r="C775" s="3" t="inlineStr">
        <is>
          <t>C5s</t>
        </is>
      </c>
      <c r="D775" s="3" t="inlineStr">
        <is>
          <t>香辣味魔芋笋5小袋</t>
        </is>
      </c>
      <c r="E7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5" s="3" t="inlineStr">
        <is>
          <t>รสเผ็ดหอม​, 5 ซอง 100g</t>
        </is>
      </c>
      <c r="G775" s="6" t="n">
        <v>1</v>
      </c>
      <c r="H775" s="6" t="n">
        <v>46.9</v>
      </c>
      <c r="I775" s="6" t="n">
        <v>0.1</v>
      </c>
      <c r="J775" s="6" t="n">
        <v>35</v>
      </c>
      <c r="K775" s="6">
        <f>H775+I775</f>
        <v/>
      </c>
      <c r="L775" s="5">
        <f>K775/4.7</f>
        <v/>
      </c>
      <c r="M775" s="6" t="n">
        <v>3.35</v>
      </c>
      <c r="N775" s="6" t="n">
        <v>1</v>
      </c>
      <c r="O775" s="6">
        <f>(K775*0.1229+1.05)/4.7</f>
        <v/>
      </c>
      <c r="P775" s="6">
        <f>K775*0.0749/4.7</f>
        <v/>
      </c>
      <c r="Q775" s="5">
        <f>M775+N775+O775+P775</f>
        <v/>
      </c>
      <c r="R775" s="5">
        <f>L775-Q775</f>
        <v/>
      </c>
      <c r="S775" s="6">
        <f>R775*4.7</f>
        <v/>
      </c>
      <c r="T775" s="7">
        <f>IF(L775&gt;0,R775/L775,0)</f>
        <v/>
      </c>
      <c r="U775" s="3" t="inlineStr">
        <is>
          <t>09/05/2026 00:23:13</t>
        </is>
      </c>
    </row>
    <row r="776">
      <c r="A776" s="3" t="inlineStr">
        <is>
          <t>583932253376120159</t>
        </is>
      </c>
      <c r="B776" s="3" t="inlineStr">
        <is>
          <t>已完成</t>
        </is>
      </c>
      <c r="C776" s="3" t="inlineStr">
        <is>
          <t>CK</t>
        </is>
      </c>
      <c r="D776" s="3" t="inlineStr">
        <is>
          <t>黑松露黑麦苏打饼干</t>
        </is>
      </c>
      <c r="E77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76" s="3" t="inlineStr">
        <is>
          <t>ค่าเริ่มต้น</t>
        </is>
      </c>
      <c r="G776" s="6" t="n">
        <v>1</v>
      </c>
      <c r="H776" s="6" t="n">
        <v>70</v>
      </c>
      <c r="I776" s="6" t="n">
        <v>30</v>
      </c>
      <c r="J776" s="6" t="n">
        <v>35</v>
      </c>
      <c r="K776" s="6">
        <f>H776+I776</f>
        <v/>
      </c>
      <c r="L776" s="5">
        <f>K776/4.7</f>
        <v/>
      </c>
      <c r="M776" s="6" t="n">
        <v>10.72665050209467</v>
      </c>
      <c r="N776" s="6" t="n">
        <v>1</v>
      </c>
      <c r="O776" s="6">
        <f>(K776*0.1229+1.05)/4.7</f>
        <v/>
      </c>
      <c r="P776" s="6">
        <f>K776*0.0749/4.7</f>
        <v/>
      </c>
      <c r="Q776" s="5">
        <f>M776+N776+O776+P776</f>
        <v/>
      </c>
      <c r="R776" s="5">
        <f>L776-Q776</f>
        <v/>
      </c>
      <c r="S776" s="6">
        <f>R776*4.7</f>
        <v/>
      </c>
      <c r="T776" s="7">
        <f>IF(L776&gt;0,R776/L776,0)</f>
        <v/>
      </c>
      <c r="U776" s="3" t="inlineStr">
        <is>
          <t>08/05/2026 23:49:26</t>
        </is>
      </c>
    </row>
    <row r="777">
      <c r="A777" s="3" t="inlineStr">
        <is>
          <t>583930750266934916</t>
        </is>
      </c>
      <c r="B777" s="3" t="inlineStr">
        <is>
          <t>已完成</t>
        </is>
      </c>
      <c r="C777" s="3" t="inlineStr">
        <is>
          <t>B3</t>
        </is>
      </c>
      <c r="D777" s="3" t="inlineStr">
        <is>
          <t>魔芋笋3大袋</t>
        </is>
      </c>
      <c r="E7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7" s="3" t="inlineStr">
        <is>
          <t>รสเปรี้ยวเผ็ด​, 30 ซอง 600g</t>
        </is>
      </c>
      <c r="G777" s="6" t="n">
        <v>2</v>
      </c>
      <c r="H777" s="6" t="n">
        <v>344</v>
      </c>
      <c r="I777" s="6" t="n">
        <v>0</v>
      </c>
      <c r="J777" s="6" t="n">
        <v>98</v>
      </c>
      <c r="K777" s="6">
        <f>H777+I777</f>
        <v/>
      </c>
      <c r="L777" s="5">
        <f>K777/4.7</f>
        <v/>
      </c>
      <c r="M777" s="6" t="n">
        <v>40.2</v>
      </c>
      <c r="N777" s="6" t="n">
        <v>1</v>
      </c>
      <c r="O777" s="6">
        <f>(K777*0.1229+1.05)/4.7</f>
        <v/>
      </c>
      <c r="P777" s="6">
        <f>K777*0.0749/4.7</f>
        <v/>
      </c>
      <c r="Q777" s="5">
        <f>M777+N777+O777+P777</f>
        <v/>
      </c>
      <c r="R777" s="5">
        <f>L777-Q777</f>
        <v/>
      </c>
      <c r="S777" s="6">
        <f>R777*4.7</f>
        <v/>
      </c>
      <c r="T777" s="7">
        <f>IF(L777&gt;0,R777/L777,0)</f>
        <v/>
      </c>
      <c r="U777" s="3" t="inlineStr">
        <is>
          <t>08/05/2026 22:07:37</t>
        </is>
      </c>
    </row>
    <row r="778">
      <c r="A778" s="3" t="inlineStr">
        <is>
          <t>583930312618444258</t>
        </is>
      </c>
      <c r="B778" s="3" t="inlineStr">
        <is>
          <t>已完成</t>
        </is>
      </c>
      <c r="C778" s="3" t="inlineStr">
        <is>
          <t>C3</t>
        </is>
      </c>
      <c r="D778" s="3" t="inlineStr">
        <is>
          <t>魔芋笋3大袋</t>
        </is>
      </c>
      <c r="E7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8" s="3" t="inlineStr">
        <is>
          <t>รสเผ็ดหอม​, 30 ซอง 600g</t>
        </is>
      </c>
      <c r="G778" s="6" t="n">
        <v>1</v>
      </c>
      <c r="H778" s="6" t="n">
        <v>167</v>
      </c>
      <c r="I778" s="6" t="n">
        <v>0</v>
      </c>
      <c r="J778" s="6" t="n">
        <v>29</v>
      </c>
      <c r="K778" s="6">
        <f>H778+I778</f>
        <v/>
      </c>
      <c r="L778" s="5">
        <f>K778/4.7</f>
        <v/>
      </c>
      <c r="M778" s="6" t="n">
        <v>20.1</v>
      </c>
      <c r="N778" s="6" t="n">
        <v>1</v>
      </c>
      <c r="O778" s="6">
        <f>(K778*0.1229+1.05)/4.7</f>
        <v/>
      </c>
      <c r="P778" s="6">
        <f>K778*0.0749/4.7</f>
        <v/>
      </c>
      <c r="Q778" s="5">
        <f>M778+N778+O778+P778</f>
        <v/>
      </c>
      <c r="R778" s="5">
        <f>L778-Q778</f>
        <v/>
      </c>
      <c r="S778" s="6">
        <f>R778*4.7</f>
        <v/>
      </c>
      <c r="T778" s="7">
        <f>IF(L778&gt;0,R778/L778,0)</f>
        <v/>
      </c>
      <c r="U778" s="3" t="inlineStr">
        <is>
          <t>08/05/2026 21:39:50</t>
        </is>
      </c>
    </row>
    <row r="779">
      <c r="A779" s="3" t="inlineStr">
        <is>
          <t>583929738581869824</t>
        </is>
      </c>
      <c r="B779" s="3" t="inlineStr">
        <is>
          <t>已取消</t>
        </is>
      </c>
      <c r="C779" s="3" t="inlineStr">
        <is>
          <t>A2</t>
        </is>
      </c>
      <c r="D779" s="3" t="inlineStr">
        <is>
          <t>魔芋干2包</t>
        </is>
      </c>
      <c r="E779" s="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79" s="3" t="inlineStr">
        <is>
          <t>20 ซอง 200g</t>
        </is>
      </c>
      <c r="G779" s="6" t="n">
        <v>1</v>
      </c>
      <c r="H779" s="6" t="n">
        <v>92.92</v>
      </c>
      <c r="I779" s="6" t="n">
        <v>9.08</v>
      </c>
      <c r="J779" s="6" t="n">
        <v>38</v>
      </c>
      <c r="K779" s="6">
        <f>H779+I779</f>
        <v/>
      </c>
      <c r="L779" s="5">
        <f>K779/4.7</f>
        <v/>
      </c>
      <c r="M779" s="6" t="n">
        <v>12.2</v>
      </c>
      <c r="N779" s="6" t="n">
        <v>0.5</v>
      </c>
      <c r="O779" s="6">
        <f>(K779*0.1229+1.05)/4.7</f>
        <v/>
      </c>
      <c r="P779" s="6">
        <f>K779*0.0749/4.7</f>
        <v/>
      </c>
      <c r="Q779" s="5">
        <f>M779+N779+O779+P779</f>
        <v/>
      </c>
      <c r="R779" s="5">
        <f>L779-Q779</f>
        <v/>
      </c>
      <c r="S779" s="6">
        <f>R779*4.7</f>
        <v/>
      </c>
      <c r="T779" s="7">
        <f>IF(L779&gt;0,R779/L779,0)</f>
        <v/>
      </c>
      <c r="U779" s="3" t="inlineStr">
        <is>
          <t>08/05/2026 21:08:58</t>
        </is>
      </c>
    </row>
    <row r="780">
      <c r="A780" s="3" t="inlineStr">
        <is>
          <t>583928845847987422</t>
        </is>
      </c>
      <c r="B780" s="3" t="inlineStr">
        <is>
          <t>已完成</t>
        </is>
      </c>
      <c r="C780" s="3" t="inlineStr">
        <is>
          <t>C5s</t>
        </is>
      </c>
      <c r="D780" s="3" t="inlineStr">
        <is>
          <t>香辣味魔芋笋5小袋</t>
        </is>
      </c>
      <c r="E7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0" s="3" t="inlineStr">
        <is>
          <t>รสเผ็ดหอม​, 5 ซอง 100g</t>
        </is>
      </c>
      <c r="G780" s="6" t="n">
        <v>1</v>
      </c>
      <c r="H780" s="6" t="n">
        <v>94</v>
      </c>
      <c r="I780" s="6" t="n">
        <v>0</v>
      </c>
      <c r="J780" s="6" t="n">
        <v>48</v>
      </c>
      <c r="K780" s="6">
        <f>H780+I780</f>
        <v/>
      </c>
      <c r="L780" s="5">
        <f>K780/4.7</f>
        <v/>
      </c>
      <c r="M780" s="6" t="n">
        <v>3.35</v>
      </c>
      <c r="N780" s="6" t="n">
        <v>1</v>
      </c>
      <c r="O780" s="6">
        <f>(K780*0.1229+1.05)/4.7</f>
        <v/>
      </c>
      <c r="P780" s="6">
        <f>K780*0.0749/4.7</f>
        <v/>
      </c>
      <c r="Q780" s="5">
        <f>M780+N780+O780+P780</f>
        <v/>
      </c>
      <c r="R780" s="5">
        <f>L780-Q780</f>
        <v/>
      </c>
      <c r="S780" s="6">
        <f>R780*4.7</f>
        <v/>
      </c>
      <c r="T780" s="7">
        <f>IF(L780&gt;0,R780/L780,0)</f>
        <v/>
      </c>
      <c r="U780" s="3" t="inlineStr">
        <is>
          <t>08/05/2026 20:21:13</t>
        </is>
      </c>
    </row>
    <row r="781">
      <c r="A781" s="3" t="inlineStr">
        <is>
          <t>583928845847987422</t>
        </is>
      </c>
      <c r="B781" s="3" t="inlineStr">
        <is>
          <t>已完成</t>
        </is>
      </c>
      <c r="C781" s="3" t="inlineStr">
        <is>
          <t>B5s</t>
        </is>
      </c>
      <c r="D781" s="3" t="inlineStr">
        <is>
          <t>酸辣味5小袋</t>
        </is>
      </c>
      <c r="E7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1" s="3" t="inlineStr">
        <is>
          <t>รสเปรี้ยวเผ็ด​, 5 ซอง 100g</t>
        </is>
      </c>
      <c r="G781" s="6" t="n">
        <v>1</v>
      </c>
      <c r="H781" s="6" t="n">
        <v>94</v>
      </c>
      <c r="I781" s="6" t="n">
        <v>0</v>
      </c>
      <c r="J781" s="6" t="n">
        <v>48</v>
      </c>
      <c r="K781" s="6">
        <f>H781+I781</f>
        <v/>
      </c>
      <c r="L781" s="5">
        <f>K781/4.7</f>
        <v/>
      </c>
      <c r="M781" s="6" t="n">
        <v>3.35</v>
      </c>
      <c r="N781" s="6" t="n">
        <v>1</v>
      </c>
      <c r="O781" s="6">
        <f>(K781*0.1229+1.05)/4.7</f>
        <v/>
      </c>
      <c r="P781" s="6">
        <f>K781*0.0749/4.7</f>
        <v/>
      </c>
      <c r="Q781" s="5">
        <f>M781+N781+O781+P781</f>
        <v/>
      </c>
      <c r="R781" s="5">
        <f>L781-Q781</f>
        <v/>
      </c>
      <c r="S781" s="6">
        <f>R781*4.7</f>
        <v/>
      </c>
      <c r="T781" s="7">
        <f>IF(L781&gt;0,R781/L781,0)</f>
        <v/>
      </c>
      <c r="U781" s="3" t="inlineStr">
        <is>
          <t>08/05/2026 20:21:13</t>
        </is>
      </c>
    </row>
    <row r="782">
      <c r="A782" s="3" t="inlineStr">
        <is>
          <t>583928489692399325</t>
        </is>
      </c>
      <c r="B782" s="3" t="inlineStr">
        <is>
          <t>已完成</t>
        </is>
      </c>
      <c r="C782" s="3" t="inlineStr">
        <is>
          <t>C1</t>
        </is>
      </c>
      <c r="D782" s="3" t="inlineStr">
        <is>
          <t>魔芋笋1大袋</t>
        </is>
      </c>
      <c r="E7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2" s="3" t="inlineStr">
        <is>
          <t>รสเผ็ดหอม​, 10 ซอง 200g</t>
        </is>
      </c>
      <c r="G782" s="6" t="n">
        <v>1</v>
      </c>
      <c r="H782" s="6" t="n">
        <v>69</v>
      </c>
      <c r="I782" s="6" t="n">
        <v>0</v>
      </c>
      <c r="J782" s="6" t="n">
        <v>38</v>
      </c>
      <c r="K782" s="6">
        <f>H782+I782</f>
        <v/>
      </c>
      <c r="L782" s="5">
        <f>K782/4.7</f>
        <v/>
      </c>
      <c r="M782" s="6" t="n">
        <v>6.699999999999999</v>
      </c>
      <c r="N782" s="6" t="n">
        <v>1</v>
      </c>
      <c r="O782" s="6">
        <f>(K782*0.1229+1.05)/4.7</f>
        <v/>
      </c>
      <c r="P782" s="6">
        <f>K782*0.0749/4.7</f>
        <v/>
      </c>
      <c r="Q782" s="5">
        <f>M782+N782+O782+P782</f>
        <v/>
      </c>
      <c r="R782" s="5">
        <f>L782-Q782</f>
        <v/>
      </c>
      <c r="S782" s="6">
        <f>R782*4.7</f>
        <v/>
      </c>
      <c r="T782" s="7">
        <f>IF(L782&gt;0,R782/L782,0)</f>
        <v/>
      </c>
      <c r="U782" s="3" t="inlineStr">
        <is>
          <t>08/05/2026 20:06:37</t>
        </is>
      </c>
    </row>
    <row r="783">
      <c r="A783" s="3" t="inlineStr">
        <is>
          <t>583926770599757313</t>
        </is>
      </c>
      <c r="B783" s="3" t="inlineStr">
        <is>
          <t>已完成</t>
        </is>
      </c>
      <c r="C783" s="3" t="inlineStr">
        <is>
          <t>C2</t>
        </is>
      </c>
      <c r="D783" s="3" t="inlineStr">
        <is>
          <t>魔芋笋2大袋</t>
        </is>
      </c>
      <c r="E7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3" s="3" t="inlineStr">
        <is>
          <t>รสเผ็ดหอม​, 20 ซอง 400g</t>
        </is>
      </c>
      <c r="G783" s="6" t="n">
        <v>1</v>
      </c>
      <c r="H783" s="6" t="n">
        <v>72</v>
      </c>
      <c r="I783" s="6" t="n">
        <v>48</v>
      </c>
      <c r="J783" s="6" t="n">
        <v>38</v>
      </c>
      <c r="K783" s="6">
        <f>H783+I783</f>
        <v/>
      </c>
      <c r="L783" s="5">
        <f>K783/4.7</f>
        <v/>
      </c>
      <c r="M783" s="6" t="n">
        <v>13.4</v>
      </c>
      <c r="N783" s="6" t="n">
        <v>1</v>
      </c>
      <c r="O783" s="6">
        <f>(K783*0.1229+1.05)/4.7</f>
        <v/>
      </c>
      <c r="P783" s="6">
        <f>K783*0.0749/4.7</f>
        <v/>
      </c>
      <c r="Q783" s="5">
        <f>M783+N783+O783+P783</f>
        <v/>
      </c>
      <c r="R783" s="5">
        <f>L783-Q783</f>
        <v/>
      </c>
      <c r="S783" s="6">
        <f>R783*4.7</f>
        <v/>
      </c>
      <c r="T783" s="7">
        <f>IF(L783&gt;0,R783/L783,0)</f>
        <v/>
      </c>
      <c r="U783" s="3" t="inlineStr">
        <is>
          <t>08/05/2026 18:21:27</t>
        </is>
      </c>
    </row>
    <row r="784">
      <c r="A784" s="3" t="inlineStr">
        <is>
          <t>583925914440795880</t>
        </is>
      </c>
      <c r="B784" s="3" t="inlineStr">
        <is>
          <t>已取消</t>
        </is>
      </c>
      <c r="C784" s="3" t="inlineStr">
        <is>
          <t>C3</t>
        </is>
      </c>
      <c r="D784" s="3" t="inlineStr">
        <is>
          <t>魔芋笋3大袋</t>
        </is>
      </c>
      <c r="E7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4" s="3" t="inlineStr">
        <is>
          <t>รสเผ็ดหอม​, 30 ซอง 600g</t>
        </is>
      </c>
      <c r="G784" s="6" t="n">
        <v>1</v>
      </c>
      <c r="H784" s="6" t="n">
        <v>172</v>
      </c>
      <c r="I784" s="6" t="n">
        <v>0</v>
      </c>
      <c r="J784" s="6" t="n">
        <v>35</v>
      </c>
      <c r="K784" s="6">
        <f>H784+I784</f>
        <v/>
      </c>
      <c r="L784" s="5">
        <f>K784/4.7</f>
        <v/>
      </c>
      <c r="M784" s="6" t="n">
        <v>20.1</v>
      </c>
      <c r="N784" s="6" t="n">
        <v>1</v>
      </c>
      <c r="O784" s="6">
        <f>(K784*0.1229+1.05)/4.7</f>
        <v/>
      </c>
      <c r="P784" s="6">
        <f>K784*0.0749/4.7</f>
        <v/>
      </c>
      <c r="Q784" s="5">
        <f>M784+N784+O784+P784</f>
        <v/>
      </c>
      <c r="R784" s="5">
        <f>L784-Q784</f>
        <v/>
      </c>
      <c r="S784" s="6">
        <f>R784*4.7</f>
        <v/>
      </c>
      <c r="T784" s="7">
        <f>IF(L784&gt;0,R784/L784,0)</f>
        <v/>
      </c>
      <c r="U784" s="3" t="inlineStr">
        <is>
          <t>08/05/2026 17:31:22</t>
        </is>
      </c>
    </row>
    <row r="785">
      <c r="A785" s="3" t="inlineStr">
        <is>
          <t>583921945439078011</t>
        </is>
      </c>
      <c r="B785" s="3" t="inlineStr">
        <is>
          <t>已完成</t>
        </is>
      </c>
      <c r="C785" s="3" t="inlineStr">
        <is>
          <t>C1</t>
        </is>
      </c>
      <c r="D785" s="3" t="inlineStr">
        <is>
          <t>魔芋笋1大袋</t>
        </is>
      </c>
      <c r="E7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5" s="3" t="inlineStr">
        <is>
          <t>รสเผ็ดหอม​, 10 ซอง 200g</t>
        </is>
      </c>
      <c r="G785" s="6" t="n">
        <v>1</v>
      </c>
      <c r="H785" s="6" t="n">
        <v>106.4</v>
      </c>
      <c r="I785" s="6" t="n">
        <v>13.3</v>
      </c>
      <c r="J785" s="6" t="n">
        <v>48</v>
      </c>
      <c r="K785" s="6">
        <f>H785+I785</f>
        <v/>
      </c>
      <c r="L785" s="5">
        <f>K785/4.7</f>
        <v/>
      </c>
      <c r="M785" s="6" t="n">
        <v>6.699999999999999</v>
      </c>
      <c r="N785" s="6" t="n">
        <v>1</v>
      </c>
      <c r="O785" s="6">
        <f>(K785*0.1229+1.05)/4.7</f>
        <v/>
      </c>
      <c r="P785" s="6">
        <f>K785*0.0749/4.7</f>
        <v/>
      </c>
      <c r="Q785" s="5">
        <f>M785+N785+O785+P785</f>
        <v/>
      </c>
      <c r="R785" s="5">
        <f>L785-Q785</f>
        <v/>
      </c>
      <c r="S785" s="6">
        <f>R785*4.7</f>
        <v/>
      </c>
      <c r="T785" s="7">
        <f>IF(L785&gt;0,R785/L785,0)</f>
        <v/>
      </c>
      <c r="U785" s="3" t="inlineStr">
        <is>
          <t>08/05/2026 13:14:15</t>
        </is>
      </c>
    </row>
    <row r="786">
      <c r="A786" s="3" t="inlineStr">
        <is>
          <t>583921945439078011</t>
        </is>
      </c>
      <c r="B786" s="3" t="inlineStr">
        <is>
          <t>已完成</t>
        </is>
      </c>
      <c r="C786" s="3" t="inlineStr">
        <is>
          <t>B1</t>
        </is>
      </c>
      <c r="D786" s="3" t="inlineStr">
        <is>
          <t>魔芋笋1大袋</t>
        </is>
      </c>
      <c r="E7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6" s="3" t="inlineStr">
        <is>
          <t>รสเปรี้ยวเผ็ด​, 10 ซอง 200g</t>
        </is>
      </c>
      <c r="G786" s="6" t="n">
        <v>1</v>
      </c>
      <c r="H786" s="6" t="n">
        <v>106.4</v>
      </c>
      <c r="I786" s="6" t="n">
        <v>13.3</v>
      </c>
      <c r="J786" s="6" t="n">
        <v>48</v>
      </c>
      <c r="K786" s="6">
        <f>H786+I786</f>
        <v/>
      </c>
      <c r="L786" s="5">
        <f>K786/4.7</f>
        <v/>
      </c>
      <c r="M786" s="6" t="n">
        <v>6.699999999999999</v>
      </c>
      <c r="N786" s="6" t="n">
        <v>1</v>
      </c>
      <c r="O786" s="6">
        <f>(K786*0.1229+1.05)/4.7</f>
        <v/>
      </c>
      <c r="P786" s="6">
        <f>K786*0.0749/4.7</f>
        <v/>
      </c>
      <c r="Q786" s="5">
        <f>M786+N786+O786+P786</f>
        <v/>
      </c>
      <c r="R786" s="5">
        <f>L786-Q786</f>
        <v/>
      </c>
      <c r="S786" s="6">
        <f>R786*4.7</f>
        <v/>
      </c>
      <c r="T786" s="7">
        <f>IF(L786&gt;0,R786/L786,0)</f>
        <v/>
      </c>
      <c r="U786" s="3" t="inlineStr">
        <is>
          <t>08/05/2026 13:14:15</t>
        </is>
      </c>
    </row>
    <row r="787">
      <c r="A787" s="3" t="inlineStr">
        <is>
          <t>583920182256240597</t>
        </is>
      </c>
      <c r="B787" s="3" t="inlineStr">
        <is>
          <t>已取消</t>
        </is>
      </c>
      <c r="C787" s="3" t="inlineStr">
        <is>
          <t>B2</t>
        </is>
      </c>
      <c r="D787" s="3" t="inlineStr">
        <is>
          <t>魔芋笋2大袋</t>
        </is>
      </c>
      <c r="E7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7" s="3" t="inlineStr">
        <is>
          <t>รสเปรี้ยวเผ็ด​, 20 ซอง 400g</t>
        </is>
      </c>
      <c r="G787" s="6" t="n">
        <v>1</v>
      </c>
      <c r="H787" s="6" t="n">
        <v>120</v>
      </c>
      <c r="I787" s="6" t="n">
        <v>0</v>
      </c>
      <c r="J787" s="6" t="n">
        <v>38</v>
      </c>
      <c r="K787" s="6">
        <f>H787+I787</f>
        <v/>
      </c>
      <c r="L787" s="5">
        <f>K787/4.7</f>
        <v/>
      </c>
      <c r="M787" s="6" t="n">
        <v>13.4</v>
      </c>
      <c r="N787" s="6" t="n">
        <v>1</v>
      </c>
      <c r="O787" s="6">
        <f>(K787*0.1229+1.05)/4.7</f>
        <v/>
      </c>
      <c r="P787" s="6">
        <f>K787*0.0749/4.7</f>
        <v/>
      </c>
      <c r="Q787" s="5">
        <f>M787+N787+O787+P787</f>
        <v/>
      </c>
      <c r="R787" s="5">
        <f>L787-Q787</f>
        <v/>
      </c>
      <c r="S787" s="6">
        <f>R787*4.7</f>
        <v/>
      </c>
      <c r="T787" s="7">
        <f>IF(L787&gt;0,R787/L787,0)</f>
        <v/>
      </c>
      <c r="U787" s="3" t="inlineStr">
        <is>
          <t>08/05/2026 11:14:56</t>
        </is>
      </c>
    </row>
    <row r="788">
      <c r="A788" s="3" t="inlineStr">
        <is>
          <t>583918396904015152</t>
        </is>
      </c>
      <c r="B788" s="3" t="inlineStr">
        <is>
          <t>已完成</t>
        </is>
      </c>
      <c r="C788" s="3" t="inlineStr">
        <is>
          <t>C1</t>
        </is>
      </c>
      <c r="D788" s="3" t="inlineStr">
        <is>
          <t>魔芋笋1大袋</t>
        </is>
      </c>
      <c r="E7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8" s="3" t="inlineStr">
        <is>
          <t>รสเผ็ดหอม​, 10 ซอง 200g</t>
        </is>
      </c>
      <c r="G788" s="6" t="n">
        <v>2</v>
      </c>
      <c r="H788" s="6" t="n">
        <v>276</v>
      </c>
      <c r="I788" s="6" t="n">
        <v>0</v>
      </c>
      <c r="J788" s="6" t="n">
        <v>54</v>
      </c>
      <c r="K788" s="6">
        <f>H788+I788</f>
        <v/>
      </c>
      <c r="L788" s="5">
        <f>K788/4.7</f>
        <v/>
      </c>
      <c r="M788" s="6" t="n">
        <v>13.4</v>
      </c>
      <c r="N788" s="6" t="n">
        <v>1</v>
      </c>
      <c r="O788" s="6">
        <f>(K788*0.1229+1.05)/4.7</f>
        <v/>
      </c>
      <c r="P788" s="6">
        <f>K788*0.0749/4.7</f>
        <v/>
      </c>
      <c r="Q788" s="5">
        <f>M788+N788+O788+P788</f>
        <v/>
      </c>
      <c r="R788" s="5">
        <f>L788-Q788</f>
        <v/>
      </c>
      <c r="S788" s="6">
        <f>R788*4.7</f>
        <v/>
      </c>
      <c r="T788" s="7">
        <f>IF(L788&gt;0,R788/L788,0)</f>
        <v/>
      </c>
      <c r="U788" s="3" t="inlineStr">
        <is>
          <t>08/05/2026 08:57:59</t>
        </is>
      </c>
    </row>
    <row r="789">
      <c r="A789" s="3" t="inlineStr">
        <is>
          <t>583918396904015152</t>
        </is>
      </c>
      <c r="B789" s="3" t="inlineStr">
        <is>
          <t>已完成</t>
        </is>
      </c>
      <c r="C789" s="3" t="inlineStr">
        <is>
          <t>B1</t>
        </is>
      </c>
      <c r="D789" s="3" t="inlineStr">
        <is>
          <t>魔芋笋1大袋</t>
        </is>
      </c>
      <c r="E7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9" s="3" t="inlineStr">
        <is>
          <t>รสเปรี้ยวเผ็ด​, 10 ซอง 200g</t>
        </is>
      </c>
      <c r="G789" s="6" t="n">
        <v>2</v>
      </c>
      <c r="H789" s="6" t="n">
        <v>276</v>
      </c>
      <c r="I789" s="6" t="n">
        <v>0</v>
      </c>
      <c r="J789" s="6" t="n">
        <v>54</v>
      </c>
      <c r="K789" s="6">
        <f>H789+I789</f>
        <v/>
      </c>
      <c r="L789" s="5">
        <f>K789/4.7</f>
        <v/>
      </c>
      <c r="M789" s="6" t="n">
        <v>13.4</v>
      </c>
      <c r="N789" s="6" t="n">
        <v>1</v>
      </c>
      <c r="O789" s="6">
        <f>(K789*0.1229+1.05)/4.7</f>
        <v/>
      </c>
      <c r="P789" s="6">
        <f>K789*0.0749/4.7</f>
        <v/>
      </c>
      <c r="Q789" s="5">
        <f>M789+N789+O789+P789</f>
        <v/>
      </c>
      <c r="R789" s="5">
        <f>L789-Q789</f>
        <v/>
      </c>
      <c r="S789" s="6">
        <f>R789*4.7</f>
        <v/>
      </c>
      <c r="T789" s="7">
        <f>IF(L789&gt;0,R789/L789,0)</f>
        <v/>
      </c>
      <c r="U789" s="3" t="inlineStr">
        <is>
          <t>08/05/2026 08:57:59</t>
        </is>
      </c>
    </row>
    <row r="790">
      <c r="A790" s="3" t="inlineStr">
        <is>
          <t>583917221945836982</t>
        </is>
      </c>
      <c r="B790" s="3" t="inlineStr">
        <is>
          <t>已完成</t>
        </is>
      </c>
      <c r="C790" s="3" t="inlineStr">
        <is>
          <t>CK</t>
        </is>
      </c>
      <c r="D790" s="3" t="inlineStr">
        <is>
          <t>黑松露黑麦苏打饼干</t>
        </is>
      </c>
      <c r="E79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90" s="3" t="inlineStr">
        <is>
          <t>ค่าเริ่มต้น</t>
        </is>
      </c>
      <c r="G790" s="6" t="n">
        <v>1</v>
      </c>
      <c r="H790" s="6" t="n">
        <v>70</v>
      </c>
      <c r="I790" s="6" t="n">
        <v>30</v>
      </c>
      <c r="J790" s="6" t="n">
        <v>35</v>
      </c>
      <c r="K790" s="6">
        <f>H790+I790</f>
        <v/>
      </c>
      <c r="L790" s="5">
        <f>K790/4.7</f>
        <v/>
      </c>
      <c r="M790" s="6" t="n">
        <v>10.72665050209467</v>
      </c>
      <c r="N790" s="6" t="n">
        <v>1</v>
      </c>
      <c r="O790" s="6">
        <f>(K790*0.1229+1.05)/4.7</f>
        <v/>
      </c>
      <c r="P790" s="6">
        <f>K790*0.0749/4.7</f>
        <v/>
      </c>
      <c r="Q790" s="5">
        <f>M790+N790+O790+P790</f>
        <v/>
      </c>
      <c r="R790" s="5">
        <f>L790-Q790</f>
        <v/>
      </c>
      <c r="S790" s="6">
        <f>R790*4.7</f>
        <v/>
      </c>
      <c r="T790" s="7">
        <f>IF(L790&gt;0,R790/L790,0)</f>
        <v/>
      </c>
      <c r="U790" s="3" t="inlineStr">
        <is>
          <t>08/05/2026 07:19:16</t>
        </is>
      </c>
    </row>
    <row r="791">
      <c r="A791" s="3" t="inlineStr">
        <is>
          <t>583915226070288052</t>
        </is>
      </c>
      <c r="B791" s="3" t="inlineStr">
        <is>
          <t>已完成</t>
        </is>
      </c>
      <c r="C791" s="3" t="inlineStr">
        <is>
          <t>C1</t>
        </is>
      </c>
      <c r="D791" s="3" t="inlineStr">
        <is>
          <t>魔芋笋1大袋</t>
        </is>
      </c>
      <c r="E7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1" s="3" t="inlineStr">
        <is>
          <t>รสเผ็ดหอม​, 10 ซอง 200g</t>
        </is>
      </c>
      <c r="G791" s="6" t="n">
        <v>1</v>
      </c>
      <c r="H791" s="6" t="n">
        <v>69</v>
      </c>
      <c r="I791" s="6" t="n">
        <v>0</v>
      </c>
      <c r="J791" s="6" t="n">
        <v>38</v>
      </c>
      <c r="K791" s="6">
        <f>H791+I791</f>
        <v/>
      </c>
      <c r="L791" s="5">
        <f>K791/4.7</f>
        <v/>
      </c>
      <c r="M791" s="6" t="n">
        <v>6.699999999999999</v>
      </c>
      <c r="N791" s="6" t="n">
        <v>1</v>
      </c>
      <c r="O791" s="6">
        <f>(K791*0.1229+1.05)/4.7</f>
        <v/>
      </c>
      <c r="P791" s="6">
        <f>K791*0.0749/4.7</f>
        <v/>
      </c>
      <c r="Q791" s="5">
        <f>M791+N791+O791+P791</f>
        <v/>
      </c>
      <c r="R791" s="5">
        <f>L791-Q791</f>
        <v/>
      </c>
      <c r="S791" s="6">
        <f>R791*4.7</f>
        <v/>
      </c>
      <c r="T791" s="7">
        <f>IF(L791&gt;0,R791/L791,0)</f>
        <v/>
      </c>
      <c r="U791" s="3" t="inlineStr">
        <is>
          <t>08/05/2026 00:37:53</t>
        </is>
      </c>
    </row>
    <row r="792">
      <c r="A792" s="3" t="inlineStr">
        <is>
          <t>583915161941477178</t>
        </is>
      </c>
      <c r="B792" s="3" t="inlineStr">
        <is>
          <t>已完成</t>
        </is>
      </c>
      <c r="C792" s="3" t="inlineStr">
        <is>
          <t>C1</t>
        </is>
      </c>
      <c r="D792" s="3" t="inlineStr">
        <is>
          <t>魔芋笋1大袋</t>
        </is>
      </c>
      <c r="E7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2" s="3" t="inlineStr">
        <is>
          <t>รสเผ็ดหอม​, 10 ซอง 200g</t>
        </is>
      </c>
      <c r="G792" s="6" t="n">
        <v>1</v>
      </c>
      <c r="H792" s="6" t="n">
        <v>69</v>
      </c>
      <c r="I792" s="6" t="n">
        <v>0</v>
      </c>
      <c r="J792" s="6" t="n">
        <v>38</v>
      </c>
      <c r="K792" s="6">
        <f>H792+I792</f>
        <v/>
      </c>
      <c r="L792" s="5">
        <f>K792/4.7</f>
        <v/>
      </c>
      <c r="M792" s="6" t="n">
        <v>6.699999999999999</v>
      </c>
      <c r="N792" s="6" t="n">
        <v>1</v>
      </c>
      <c r="O792" s="6">
        <f>(K792*0.1229+1.05)/4.7</f>
        <v/>
      </c>
      <c r="P792" s="6">
        <f>K792*0.0749/4.7</f>
        <v/>
      </c>
      <c r="Q792" s="5">
        <f>M792+N792+O792+P792</f>
        <v/>
      </c>
      <c r="R792" s="5">
        <f>L792-Q792</f>
        <v/>
      </c>
      <c r="S792" s="6">
        <f>R792*4.7</f>
        <v/>
      </c>
      <c r="T792" s="7">
        <f>IF(L792&gt;0,R792/L792,0)</f>
        <v/>
      </c>
      <c r="U792" s="3" t="inlineStr">
        <is>
          <t>08/05/2026 00:29:20</t>
        </is>
      </c>
    </row>
    <row r="793">
      <c r="A793" s="3" t="inlineStr">
        <is>
          <t>583912827094860968</t>
        </is>
      </c>
      <c r="B793" s="3" t="inlineStr">
        <is>
          <t>已完成</t>
        </is>
      </c>
      <c r="C793" s="3" t="inlineStr">
        <is>
          <t>C2</t>
        </is>
      </c>
      <c r="D793" s="3" t="inlineStr">
        <is>
          <t>魔芋笋2大袋</t>
        </is>
      </c>
      <c r="E7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3" s="3" t="inlineStr">
        <is>
          <t>รสเผ็ดหอม​, 20 ซอง 400g</t>
        </is>
      </c>
      <c r="G793" s="6" t="n">
        <v>1</v>
      </c>
      <c r="H793" s="6" t="n">
        <v>185</v>
      </c>
      <c r="I793" s="6" t="n">
        <v>30</v>
      </c>
      <c r="J793" s="6" t="n">
        <v>58</v>
      </c>
      <c r="K793" s="6">
        <f>H793+I793</f>
        <v/>
      </c>
      <c r="L793" s="5">
        <f>K793/4.7</f>
        <v/>
      </c>
      <c r="M793" s="6" t="n">
        <v>13.4</v>
      </c>
      <c r="N793" s="6" t="n">
        <v>1</v>
      </c>
      <c r="O793" s="6">
        <f>(K793*0.1229+1.05)/4.7</f>
        <v/>
      </c>
      <c r="P793" s="6">
        <f>K793*0.0749/4.7</f>
        <v/>
      </c>
      <c r="Q793" s="5">
        <f>M793+N793+O793+P793</f>
        <v/>
      </c>
      <c r="R793" s="5">
        <f>L793-Q793</f>
        <v/>
      </c>
      <c r="S793" s="6">
        <f>R793*4.7</f>
        <v/>
      </c>
      <c r="T793" s="7">
        <f>IF(L793&gt;0,R793/L793,0)</f>
        <v/>
      </c>
      <c r="U793" s="3" t="inlineStr">
        <is>
          <t>07/05/2026 21:17:37</t>
        </is>
      </c>
    </row>
    <row r="794">
      <c r="A794" s="3" t="inlineStr">
        <is>
          <t>583912827094860968</t>
        </is>
      </c>
      <c r="B794" s="3" t="inlineStr">
        <is>
          <t>已完成</t>
        </is>
      </c>
      <c r="C794" s="3" t="inlineStr">
        <is>
          <t>B2</t>
        </is>
      </c>
      <c r="D794" s="3" t="inlineStr">
        <is>
          <t>魔芋笋2大袋</t>
        </is>
      </c>
      <c r="E7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4" s="3" t="inlineStr">
        <is>
          <t>รสเปรี้ยวเผ็ด​, 20 ซอง 400g</t>
        </is>
      </c>
      <c r="G794" s="6" t="n">
        <v>1</v>
      </c>
      <c r="H794" s="6" t="n">
        <v>185</v>
      </c>
      <c r="I794" s="6" t="n">
        <v>30</v>
      </c>
      <c r="J794" s="6" t="n">
        <v>58</v>
      </c>
      <c r="K794" s="6">
        <f>H794+I794</f>
        <v/>
      </c>
      <c r="L794" s="5">
        <f>K794/4.7</f>
        <v/>
      </c>
      <c r="M794" s="6" t="n">
        <v>13.4</v>
      </c>
      <c r="N794" s="6" t="n">
        <v>1</v>
      </c>
      <c r="O794" s="6">
        <f>(K794*0.1229+1.05)/4.7</f>
        <v/>
      </c>
      <c r="P794" s="6">
        <f>K794*0.0749/4.7</f>
        <v/>
      </c>
      <c r="Q794" s="5">
        <f>M794+N794+O794+P794</f>
        <v/>
      </c>
      <c r="R794" s="5">
        <f>L794-Q794</f>
        <v/>
      </c>
      <c r="S794" s="6">
        <f>R794*4.7</f>
        <v/>
      </c>
      <c r="T794" s="7">
        <f>IF(L794&gt;0,R794/L794,0)</f>
        <v/>
      </c>
      <c r="U794" s="3" t="inlineStr">
        <is>
          <t>07/05/2026 21:17:37</t>
        </is>
      </c>
    </row>
    <row r="795">
      <c r="A795" s="3" t="inlineStr">
        <is>
          <t>583912689572414790</t>
        </is>
      </c>
      <c r="B795" s="3" t="inlineStr">
        <is>
          <t>已完成</t>
        </is>
      </c>
      <c r="C795" s="3" t="inlineStr">
        <is>
          <t>B5s</t>
        </is>
      </c>
      <c r="D795" s="3" t="inlineStr">
        <is>
          <t>酸辣味5小袋</t>
        </is>
      </c>
      <c r="E7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5" s="3" t="inlineStr">
        <is>
          <t>รสเปรี้ยวเผ็ด​, 5 ซอง 100g</t>
        </is>
      </c>
      <c r="G795" s="6" t="n">
        <v>1</v>
      </c>
      <c r="H795" s="6" t="n">
        <v>47</v>
      </c>
      <c r="I795" s="6" t="n">
        <v>0</v>
      </c>
      <c r="J795" s="6" t="n">
        <v>38</v>
      </c>
      <c r="K795" s="6">
        <f>H795+I795</f>
        <v/>
      </c>
      <c r="L795" s="5">
        <f>K795/4.7</f>
        <v/>
      </c>
      <c r="M795" s="6" t="n">
        <v>3.35</v>
      </c>
      <c r="N795" s="6" t="n">
        <v>1</v>
      </c>
      <c r="O795" s="6">
        <f>(K795*0.1229+1.05)/4.7</f>
        <v/>
      </c>
      <c r="P795" s="6">
        <f>K795*0.0749/4.7</f>
        <v/>
      </c>
      <c r="Q795" s="5">
        <f>M795+N795+O795+P795</f>
        <v/>
      </c>
      <c r="R795" s="5">
        <f>L795-Q795</f>
        <v/>
      </c>
      <c r="S795" s="6">
        <f>R795*4.7</f>
        <v/>
      </c>
      <c r="T795" s="7">
        <f>IF(L795&gt;0,R795/L795,0)</f>
        <v/>
      </c>
      <c r="U795" s="3" t="inlineStr">
        <is>
          <t>07/05/2026 21:09:40</t>
        </is>
      </c>
    </row>
    <row r="796">
      <c r="A796" s="3" t="inlineStr">
        <is>
          <t>583912307404408356</t>
        </is>
      </c>
      <c r="B796" s="3" t="inlineStr">
        <is>
          <t>已完成</t>
        </is>
      </c>
      <c r="C796" s="3" t="inlineStr">
        <is>
          <t>C1</t>
        </is>
      </c>
      <c r="D796" s="3" t="inlineStr">
        <is>
          <t>魔芋笋1大袋</t>
        </is>
      </c>
      <c r="E7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6" s="3" t="inlineStr">
        <is>
          <t>รสเผ็ดหอม​, 10 ซอง 200g</t>
        </is>
      </c>
      <c r="G796" s="6" t="n">
        <v>1</v>
      </c>
      <c r="H796" s="6" t="n">
        <v>69</v>
      </c>
      <c r="I796" s="6" t="n">
        <v>0</v>
      </c>
      <c r="J796" s="6" t="n">
        <v>38</v>
      </c>
      <c r="K796" s="6">
        <f>H796+I796</f>
        <v/>
      </c>
      <c r="L796" s="5">
        <f>K796/4.7</f>
        <v/>
      </c>
      <c r="M796" s="6" t="n">
        <v>6.699999999999999</v>
      </c>
      <c r="N796" s="6" t="n">
        <v>1</v>
      </c>
      <c r="O796" s="6">
        <f>(K796*0.1229+1.05)/4.7</f>
        <v/>
      </c>
      <c r="P796" s="6">
        <f>K796*0.0749/4.7</f>
        <v/>
      </c>
      <c r="Q796" s="5">
        <f>M796+N796+O796+P796</f>
        <v/>
      </c>
      <c r="R796" s="5">
        <f>L796-Q796</f>
        <v/>
      </c>
      <c r="S796" s="6">
        <f>R796*4.7</f>
        <v/>
      </c>
      <c r="T796" s="7">
        <f>IF(L796&gt;0,R796/L796,0)</f>
        <v/>
      </c>
      <c r="U796" s="3" t="inlineStr">
        <is>
          <t>07/05/2026 20:49:35</t>
        </is>
      </c>
    </row>
    <row r="797">
      <c r="A797" s="3" t="inlineStr">
        <is>
          <t>583911209037300753</t>
        </is>
      </c>
      <c r="B797" s="3" t="inlineStr">
        <is>
          <t>已完成</t>
        </is>
      </c>
      <c r="C797" s="3" t="inlineStr">
        <is>
          <t>C1</t>
        </is>
      </c>
      <c r="D797" s="3" t="inlineStr">
        <is>
          <t>魔芋笋1大袋</t>
        </is>
      </c>
      <c r="E7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7" s="3" t="inlineStr">
        <is>
          <t>รสเผ็ดหอม​, 10 ซอง 200g</t>
        </is>
      </c>
      <c r="G797" s="6" t="n">
        <v>1</v>
      </c>
      <c r="H797" s="6" t="n">
        <v>69</v>
      </c>
      <c r="I797" s="6" t="n">
        <v>0</v>
      </c>
      <c r="J797" s="6" t="n">
        <v>36</v>
      </c>
      <c r="K797" s="6">
        <f>H797+I797</f>
        <v/>
      </c>
      <c r="L797" s="5">
        <f>K797/4.7</f>
        <v/>
      </c>
      <c r="M797" s="6" t="n">
        <v>6.699999999999999</v>
      </c>
      <c r="N797" s="6" t="n">
        <v>1</v>
      </c>
      <c r="O797" s="6">
        <f>(K797*0.1229+1.05)/4.7</f>
        <v/>
      </c>
      <c r="P797" s="6">
        <f>K797*0.0749/4.7</f>
        <v/>
      </c>
      <c r="Q797" s="5">
        <f>M797+N797+O797+P797</f>
        <v/>
      </c>
      <c r="R797" s="5">
        <f>L797-Q797</f>
        <v/>
      </c>
      <c r="S797" s="6">
        <f>R797*4.7</f>
        <v/>
      </c>
      <c r="T797" s="7">
        <f>IF(L797&gt;0,R797/L797,0)</f>
        <v/>
      </c>
      <c r="U797" s="3" t="inlineStr">
        <is>
          <t>07/05/2026 19:42:47</t>
        </is>
      </c>
    </row>
    <row r="798">
      <c r="A798" s="3" t="inlineStr">
        <is>
          <t>583911024957360100</t>
        </is>
      </c>
      <c r="B798" s="3" t="inlineStr">
        <is>
          <t>已完成</t>
        </is>
      </c>
      <c r="C798" s="3" t="inlineStr">
        <is>
          <t>C1</t>
        </is>
      </c>
      <c r="D798" s="3" t="inlineStr">
        <is>
          <t>魔芋笋1大袋</t>
        </is>
      </c>
      <c r="E7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8" s="3" t="inlineStr">
        <is>
          <t>รสเผ็ดหอม​, 10 ซอง 200g</t>
        </is>
      </c>
      <c r="G798" s="6" t="n">
        <v>1</v>
      </c>
      <c r="H798" s="6" t="n">
        <v>69</v>
      </c>
      <c r="I798" s="6" t="n">
        <v>0</v>
      </c>
      <c r="J798" s="6" t="n">
        <v>38</v>
      </c>
      <c r="K798" s="6">
        <f>H798+I798</f>
        <v/>
      </c>
      <c r="L798" s="5">
        <f>K798/4.7</f>
        <v/>
      </c>
      <c r="M798" s="6" t="n">
        <v>6.699999999999999</v>
      </c>
      <c r="N798" s="6" t="n">
        <v>1</v>
      </c>
      <c r="O798" s="6">
        <f>(K798*0.1229+1.05)/4.7</f>
        <v/>
      </c>
      <c r="P798" s="6">
        <f>K798*0.0749/4.7</f>
        <v/>
      </c>
      <c r="Q798" s="5">
        <f>M798+N798+O798+P798</f>
        <v/>
      </c>
      <c r="R798" s="5">
        <f>L798-Q798</f>
        <v/>
      </c>
      <c r="S798" s="6">
        <f>R798*4.7</f>
        <v/>
      </c>
      <c r="T798" s="7">
        <f>IF(L798&gt;0,R798/L798,0)</f>
        <v/>
      </c>
      <c r="U798" s="3" t="inlineStr">
        <is>
          <t>07/05/2026 19:28:41</t>
        </is>
      </c>
    </row>
    <row r="799">
      <c r="A799" s="3" t="inlineStr">
        <is>
          <t>583908266853041851</t>
        </is>
      </c>
      <c r="B799" s="3" t="inlineStr">
        <is>
          <t>已完成</t>
        </is>
      </c>
      <c r="C799" s="3" t="inlineStr">
        <is>
          <t>CK</t>
        </is>
      </c>
      <c r="D799" s="3" t="inlineStr">
        <is>
          <t>黑松露黑麦苏打饼干</t>
        </is>
      </c>
      <c r="E79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99" s="3" t="inlineStr">
        <is>
          <t>ค่าเริ่มต้น</t>
        </is>
      </c>
      <c r="G799" s="6" t="n">
        <v>1</v>
      </c>
      <c r="H799" s="6" t="n">
        <v>55</v>
      </c>
      <c r="I799" s="6" t="n">
        <v>50</v>
      </c>
      <c r="J799" s="6" t="n">
        <v>38</v>
      </c>
      <c r="K799" s="6">
        <f>H799+I799</f>
        <v/>
      </c>
      <c r="L799" s="5">
        <f>K799/4.7</f>
        <v/>
      </c>
      <c r="M799" s="6" t="n">
        <v>10.72665050209467</v>
      </c>
      <c r="N799" s="6" t="n">
        <v>1</v>
      </c>
      <c r="O799" s="6">
        <f>(K799*0.1229+1.05)/4.7</f>
        <v/>
      </c>
      <c r="P799" s="6">
        <f>K799*0.0749/4.7</f>
        <v/>
      </c>
      <c r="Q799" s="5">
        <f>M799+N799+O799+P799</f>
        <v/>
      </c>
      <c r="R799" s="5">
        <f>L799-Q799</f>
        <v/>
      </c>
      <c r="S799" s="6">
        <f>R799*4.7</f>
        <v/>
      </c>
      <c r="T799" s="7">
        <f>IF(L799&gt;0,R799/L799,0)</f>
        <v/>
      </c>
      <c r="U799" s="3" t="inlineStr">
        <is>
          <t>07/05/2026 16:16:10</t>
        </is>
      </c>
    </row>
    <row r="800">
      <c r="A800" s="3" t="inlineStr">
        <is>
          <t>583908260592256802</t>
        </is>
      </c>
      <c r="B800" s="3" t="inlineStr">
        <is>
          <t>已完成</t>
        </is>
      </c>
      <c r="C800" s="3" t="inlineStr">
        <is>
          <t>C5s</t>
        </is>
      </c>
      <c r="D800" s="3" t="inlineStr">
        <is>
          <t>香辣味魔芋笋5小袋</t>
        </is>
      </c>
      <c r="E80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0" s="3" t="inlineStr">
        <is>
          <t>รสเผ็ดหอม​, 5 ซอง 100g</t>
        </is>
      </c>
      <c r="G800" s="6" t="n">
        <v>1</v>
      </c>
      <c r="H800" s="6" t="n">
        <v>47</v>
      </c>
      <c r="I800" s="6" t="n">
        <v>0</v>
      </c>
      <c r="J800" s="6" t="n">
        <v>35</v>
      </c>
      <c r="K800" s="6">
        <f>H800+I800</f>
        <v/>
      </c>
      <c r="L800" s="5">
        <f>K800/4.7</f>
        <v/>
      </c>
      <c r="M800" s="6" t="n">
        <v>3.35</v>
      </c>
      <c r="N800" s="6" t="n">
        <v>1</v>
      </c>
      <c r="O800" s="6">
        <f>(K800*0.1229+1.05)/4.7</f>
        <v/>
      </c>
      <c r="P800" s="6">
        <f>K800*0.0749/4.7</f>
        <v/>
      </c>
      <c r="Q800" s="5">
        <f>M800+N800+O800+P800</f>
        <v/>
      </c>
      <c r="R800" s="5">
        <f>L800-Q800</f>
        <v/>
      </c>
      <c r="S800" s="6">
        <f>R800*4.7</f>
        <v/>
      </c>
      <c r="T800" s="7">
        <f>IF(L800&gt;0,R800/L800,0)</f>
        <v/>
      </c>
      <c r="U800" s="3" t="inlineStr">
        <is>
          <t>07/05/2026 16:12:01</t>
        </is>
      </c>
    </row>
    <row r="801">
      <c r="A801" s="3" t="inlineStr">
        <is>
          <t>583908232312095847</t>
        </is>
      </c>
      <c r="B801" s="3" t="inlineStr">
        <is>
          <t>已完成</t>
        </is>
      </c>
      <c r="C801" s="3" t="inlineStr">
        <is>
          <t>C1</t>
        </is>
      </c>
      <c r="D801" s="3" t="inlineStr">
        <is>
          <t>魔芋笋1大袋</t>
        </is>
      </c>
      <c r="E8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1" s="3" t="inlineStr">
        <is>
          <t>รสเผ็ดหอม​, 10 ซอง 200g</t>
        </is>
      </c>
      <c r="G801" s="6" t="n">
        <v>1</v>
      </c>
      <c r="H801" s="6" t="n">
        <v>138</v>
      </c>
      <c r="I801" s="6" t="n">
        <v>0</v>
      </c>
      <c r="J801" s="6" t="n">
        <v>48</v>
      </c>
      <c r="K801" s="6">
        <f>H801+I801</f>
        <v/>
      </c>
      <c r="L801" s="5">
        <f>K801/4.7</f>
        <v/>
      </c>
      <c r="M801" s="6" t="n">
        <v>6.699999999999999</v>
      </c>
      <c r="N801" s="6" t="n">
        <v>1</v>
      </c>
      <c r="O801" s="6">
        <f>(K801*0.1229+1.05)/4.7</f>
        <v/>
      </c>
      <c r="P801" s="6">
        <f>K801*0.0749/4.7</f>
        <v/>
      </c>
      <c r="Q801" s="5">
        <f>M801+N801+O801+P801</f>
        <v/>
      </c>
      <c r="R801" s="5">
        <f>L801-Q801</f>
        <v/>
      </c>
      <c r="S801" s="6">
        <f>R801*4.7</f>
        <v/>
      </c>
      <c r="T801" s="7">
        <f>IF(L801&gt;0,R801/L801,0)</f>
        <v/>
      </c>
      <c r="U801" s="3" t="inlineStr">
        <is>
          <t>07/05/2026 16:06:28</t>
        </is>
      </c>
    </row>
    <row r="802">
      <c r="A802" s="3" t="inlineStr">
        <is>
          <t>583908232312095847</t>
        </is>
      </c>
      <c r="B802" s="3" t="inlineStr">
        <is>
          <t>已完成</t>
        </is>
      </c>
      <c r="C802" s="3" t="inlineStr">
        <is>
          <t>B1</t>
        </is>
      </c>
      <c r="D802" s="3" t="inlineStr">
        <is>
          <t>魔芋笋1大袋</t>
        </is>
      </c>
      <c r="E8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2" s="3" t="inlineStr">
        <is>
          <t>รสเปรี้ยวเผ็ด​, 10 ซอง 200g</t>
        </is>
      </c>
      <c r="G802" s="6" t="n">
        <v>1</v>
      </c>
      <c r="H802" s="6" t="n">
        <v>138</v>
      </c>
      <c r="I802" s="6" t="n">
        <v>0</v>
      </c>
      <c r="J802" s="6" t="n">
        <v>48</v>
      </c>
      <c r="K802" s="6">
        <f>H802+I802</f>
        <v/>
      </c>
      <c r="L802" s="5">
        <f>K802/4.7</f>
        <v/>
      </c>
      <c r="M802" s="6" t="n">
        <v>6.699999999999999</v>
      </c>
      <c r="N802" s="6" t="n">
        <v>1</v>
      </c>
      <c r="O802" s="6">
        <f>(K802*0.1229+1.05)/4.7</f>
        <v/>
      </c>
      <c r="P802" s="6">
        <f>K802*0.0749/4.7</f>
        <v/>
      </c>
      <c r="Q802" s="5">
        <f>M802+N802+O802+P802</f>
        <v/>
      </c>
      <c r="R802" s="5">
        <f>L802-Q802</f>
        <v/>
      </c>
      <c r="S802" s="6">
        <f>R802*4.7</f>
        <v/>
      </c>
      <c r="T802" s="7">
        <f>IF(L802&gt;0,R802/L802,0)</f>
        <v/>
      </c>
      <c r="U802" s="3" t="inlineStr">
        <is>
          <t>07/05/2026 16:06:28</t>
        </is>
      </c>
    </row>
    <row r="803">
      <c r="A803" s="3" t="inlineStr">
        <is>
          <t>583907706317276930</t>
        </is>
      </c>
      <c r="B803" s="3" t="inlineStr">
        <is>
          <t>已完成</t>
        </is>
      </c>
      <c r="C803" s="3" t="inlineStr">
        <is>
          <t>CK</t>
        </is>
      </c>
      <c r="D803" s="3" t="inlineStr">
        <is>
          <t>黑松露黑麦苏打饼干</t>
        </is>
      </c>
      <c r="E80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03" s="3" t="inlineStr">
        <is>
          <t>ค่าเริ่มต้น</t>
        </is>
      </c>
      <c r="G803" s="6" t="n">
        <v>1</v>
      </c>
      <c r="H803" s="6" t="n">
        <v>70</v>
      </c>
      <c r="I803" s="6" t="n">
        <v>30</v>
      </c>
      <c r="J803" s="6" t="n">
        <v>35</v>
      </c>
      <c r="K803" s="6">
        <f>H803+I803</f>
        <v/>
      </c>
      <c r="L803" s="5">
        <f>K803/4.7</f>
        <v/>
      </c>
      <c r="M803" s="6" t="n">
        <v>10.72665050209467</v>
      </c>
      <c r="N803" s="6" t="n">
        <v>1</v>
      </c>
      <c r="O803" s="6">
        <f>(K803*0.1229+1.05)/4.7</f>
        <v/>
      </c>
      <c r="P803" s="6">
        <f>K803*0.0749/4.7</f>
        <v/>
      </c>
      <c r="Q803" s="5">
        <f>M803+N803+O803+P803</f>
        <v/>
      </c>
      <c r="R803" s="5">
        <f>L803-Q803</f>
        <v/>
      </c>
      <c r="S803" s="6">
        <f>R803*4.7</f>
        <v/>
      </c>
      <c r="T803" s="7">
        <f>IF(L803&gt;0,R803/L803,0)</f>
        <v/>
      </c>
      <c r="U803" s="3" t="inlineStr">
        <is>
          <t>07/05/2026 15:36:31</t>
        </is>
      </c>
    </row>
    <row r="804">
      <c r="A804" s="3" t="inlineStr">
        <is>
          <t>583902819162489933</t>
        </is>
      </c>
      <c r="B804" s="3" t="inlineStr">
        <is>
          <t>已完成</t>
        </is>
      </c>
      <c r="C804" s="3" t="inlineStr">
        <is>
          <t>CK</t>
        </is>
      </c>
      <c r="D804" s="3" t="inlineStr">
        <is>
          <t>黑松露黑麦苏打饼干</t>
        </is>
      </c>
      <c r="E80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04" s="3" t="inlineStr">
        <is>
          <t>ค่าเริ่มต้น</t>
        </is>
      </c>
      <c r="G804" s="6" t="n">
        <v>2</v>
      </c>
      <c r="H804" s="6" t="n">
        <v>170</v>
      </c>
      <c r="I804" s="6" t="n">
        <v>40</v>
      </c>
      <c r="J804" s="6" t="n">
        <v>35</v>
      </c>
      <c r="K804" s="6">
        <f>H804+I804</f>
        <v/>
      </c>
      <c r="L804" s="5">
        <f>K804/4.7</f>
        <v/>
      </c>
      <c r="M804" s="6" t="n">
        <v>21.45330100418933</v>
      </c>
      <c r="N804" s="6" t="n">
        <v>1</v>
      </c>
      <c r="O804" s="6">
        <f>(K804*0.1229+1.05)/4.7</f>
        <v/>
      </c>
      <c r="P804" s="6">
        <f>K804*0.0749/4.7</f>
        <v/>
      </c>
      <c r="Q804" s="5">
        <f>M804+N804+O804+P804</f>
        <v/>
      </c>
      <c r="R804" s="5">
        <f>L804-Q804</f>
        <v/>
      </c>
      <c r="S804" s="6">
        <f>R804*4.7</f>
        <v/>
      </c>
      <c r="T804" s="7">
        <f>IF(L804&gt;0,R804/L804,0)</f>
        <v/>
      </c>
      <c r="U804" s="3" t="inlineStr">
        <is>
          <t>07/05/2026 10:02:54</t>
        </is>
      </c>
    </row>
    <row r="805">
      <c r="A805" s="3" t="inlineStr">
        <is>
          <t>583900358772622970</t>
        </is>
      </c>
      <c r="B805" s="3" t="inlineStr">
        <is>
          <t>已完成</t>
        </is>
      </c>
      <c r="C805" s="3" t="inlineStr">
        <is>
          <t>C1</t>
        </is>
      </c>
      <c r="D805" s="3" t="inlineStr">
        <is>
          <t>魔芋笋1大袋</t>
        </is>
      </c>
      <c r="E8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5" s="3" t="inlineStr">
        <is>
          <t>รสเผ็ดหอม​, 10 ซอง 200g</t>
        </is>
      </c>
      <c r="G805" s="6" t="n">
        <v>1</v>
      </c>
      <c r="H805" s="6" t="n">
        <v>64.86</v>
      </c>
      <c r="I805" s="6" t="n">
        <v>4.14</v>
      </c>
      <c r="J805" s="6" t="n">
        <v>35</v>
      </c>
      <c r="K805" s="6">
        <f>H805+I805</f>
        <v/>
      </c>
      <c r="L805" s="5">
        <f>K805/4.7</f>
        <v/>
      </c>
      <c r="M805" s="6" t="n">
        <v>6.699999999999999</v>
      </c>
      <c r="N805" s="6" t="n">
        <v>1</v>
      </c>
      <c r="O805" s="6">
        <f>(K805*0.1229+1.05)/4.7</f>
        <v/>
      </c>
      <c r="P805" s="6">
        <f>K805*0.0749/4.7</f>
        <v/>
      </c>
      <c r="Q805" s="5">
        <f>M805+N805+O805+P805</f>
        <v/>
      </c>
      <c r="R805" s="5">
        <f>L805-Q805</f>
        <v/>
      </c>
      <c r="S805" s="6">
        <f>R805*4.7</f>
        <v/>
      </c>
      <c r="T805" s="7">
        <f>IF(L805&gt;0,R805/L805,0)</f>
        <v/>
      </c>
      <c r="U805" s="3" t="inlineStr">
        <is>
          <t>07/05/2026 06:54:54</t>
        </is>
      </c>
    </row>
    <row r="806">
      <c r="A806" s="3" t="inlineStr">
        <is>
          <t>583897705158969013</t>
        </is>
      </c>
      <c r="B806" s="3" t="inlineStr">
        <is>
          <t>已完成</t>
        </is>
      </c>
      <c r="C806" s="3" t="inlineStr">
        <is>
          <t>ER-A</t>
        </is>
      </c>
      <c r="D806" s="3" t="inlineStr">
        <is>
          <t>广州酒家传统鸡蛋卷454g</t>
        </is>
      </c>
      <c r="E806" s="3" t="inlineStr">
        <is>
          <t>Egg Roll 2สูตร ทองม้วนไข่กล่องเหล็กพรีเมี่ยม!! GuangZhou Restaurant 454g/480g กล่องล่ะ 24 แท่ง</t>
        </is>
      </c>
      <c r="F806" s="3" t="inlineStr">
        <is>
          <t>Traditional สูตรดั้งเดิม ไข่ล้วน</t>
        </is>
      </c>
      <c r="G806" s="6" t="n">
        <v>1</v>
      </c>
      <c r="H806" s="6" t="n">
        <v>405</v>
      </c>
      <c r="I806" s="6" t="n">
        <v>0</v>
      </c>
      <c r="J806" s="6" t="n">
        <v>35</v>
      </c>
      <c r="K806" s="6">
        <f>H806+I806</f>
        <v/>
      </c>
      <c r="L806" s="5">
        <f>K806/4.7</f>
        <v/>
      </c>
      <c r="M806" s="6" t="n">
        <v>40.25338607190941</v>
      </c>
      <c r="N806" s="6" t="n">
        <v>2</v>
      </c>
      <c r="O806" s="6">
        <f>(K806*0.1229+1.05)/4.7</f>
        <v/>
      </c>
      <c r="P806" s="6">
        <f>K806*0.0749/4.7</f>
        <v/>
      </c>
      <c r="Q806" s="5">
        <f>M806+N806+O806+P806</f>
        <v/>
      </c>
      <c r="R806" s="5">
        <f>L806-Q806</f>
        <v/>
      </c>
      <c r="S806" s="6">
        <f>R806*4.7</f>
        <v/>
      </c>
      <c r="T806" s="7">
        <f>IF(L806&gt;0,R806/L806,0)</f>
        <v/>
      </c>
      <c r="U806" s="3" t="inlineStr">
        <is>
          <t>07/05/2026 00:13:55</t>
        </is>
      </c>
    </row>
    <row r="807">
      <c r="A807" s="3" t="inlineStr">
        <is>
          <t>583897699482764981</t>
        </is>
      </c>
      <c r="B807" s="3" t="inlineStr">
        <is>
          <t>已完成</t>
        </is>
      </c>
      <c r="C807" s="3" t="inlineStr">
        <is>
          <t>ER-B</t>
        </is>
      </c>
      <c r="D807" s="3" t="inlineStr">
        <is>
          <t>广州酒家黄油鸡蛋卷480g</t>
        </is>
      </c>
      <c r="E807" s="3" t="inlineStr">
        <is>
          <t>Egg Roll 2สูตร ทองม้วนไข่กล่องเหล็กพรีเมี่ยม!! GuangZhou Restaurant 454g/480g กล่องล่ะ 24 แท่ง</t>
        </is>
      </c>
      <c r="F807" s="3" t="inlineStr">
        <is>
          <t>Butter สูตรเนยสด พรีเมี่ยม</t>
        </is>
      </c>
      <c r="G807" s="6" t="n">
        <v>1</v>
      </c>
      <c r="H807" s="6" t="n">
        <v>405</v>
      </c>
      <c r="I807" s="6" t="n">
        <v>0</v>
      </c>
      <c r="J807" s="6" t="n">
        <v>35</v>
      </c>
      <c r="K807" s="6">
        <f>H807+I807</f>
        <v/>
      </c>
      <c r="L807" s="5">
        <f>K807/4.7</f>
        <v/>
      </c>
      <c r="M807" s="6" t="n">
        <v>45.49882436351998</v>
      </c>
      <c r="N807" s="6" t="n">
        <v>2</v>
      </c>
      <c r="O807" s="6">
        <f>(K807*0.1229+1.05)/4.7</f>
        <v/>
      </c>
      <c r="P807" s="6">
        <f>K807*0.0749/4.7</f>
        <v/>
      </c>
      <c r="Q807" s="5">
        <f>M807+N807+O807+P807</f>
        <v/>
      </c>
      <c r="R807" s="5">
        <f>L807-Q807</f>
        <v/>
      </c>
      <c r="S807" s="6">
        <f>R807*4.7</f>
        <v/>
      </c>
      <c r="T807" s="7">
        <f>IF(L807&gt;0,R807/L807,0)</f>
        <v/>
      </c>
      <c r="U807" s="3" t="inlineStr">
        <is>
          <t>07/05/2026 00:13:09</t>
        </is>
      </c>
    </row>
    <row r="808">
      <c r="A808" s="3" t="inlineStr">
        <is>
          <t>583897621456848571</t>
        </is>
      </c>
      <c r="B808" s="3" t="inlineStr">
        <is>
          <t>已完成</t>
        </is>
      </c>
      <c r="C808" s="3" t="inlineStr">
        <is>
          <t>CK</t>
        </is>
      </c>
      <c r="D808" s="3" t="inlineStr">
        <is>
          <t>黑松露黑麦苏打饼干</t>
        </is>
      </c>
      <c r="E80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08" s="3" t="inlineStr">
        <is>
          <t>ค่าเริ่มต้น</t>
        </is>
      </c>
      <c r="G808" s="6" t="n">
        <v>1</v>
      </c>
      <c r="H808" s="6" t="n">
        <v>100</v>
      </c>
      <c r="I808" s="6" t="n">
        <v>0</v>
      </c>
      <c r="J808" s="6" t="n">
        <v>38</v>
      </c>
      <c r="K808" s="6">
        <f>H808+I808</f>
        <v/>
      </c>
      <c r="L808" s="5">
        <f>K808/4.7</f>
        <v/>
      </c>
      <c r="M808" s="6" t="n">
        <v>10.72665050209467</v>
      </c>
      <c r="N808" s="6" t="n">
        <v>1</v>
      </c>
      <c r="O808" s="6">
        <f>(K808*0.1229+1.05)/4.7</f>
        <v/>
      </c>
      <c r="P808" s="6">
        <f>K808*0.0749/4.7</f>
        <v/>
      </c>
      <c r="Q808" s="5">
        <f>M808+N808+O808+P808</f>
        <v/>
      </c>
      <c r="R808" s="5">
        <f>L808-Q808</f>
        <v/>
      </c>
      <c r="S808" s="6">
        <f>R808*4.7</f>
        <v/>
      </c>
      <c r="T808" s="7">
        <f>IF(L808&gt;0,R808/L808,0)</f>
        <v/>
      </c>
      <c r="U808" s="3" t="inlineStr">
        <is>
          <t>07/05/2026 00:09:58</t>
        </is>
      </c>
    </row>
    <row r="809">
      <c r="A809" s="3" t="inlineStr">
        <is>
          <t>583897294817494640</t>
        </is>
      </c>
      <c r="B809" s="3" t="inlineStr">
        <is>
          <t>已完成</t>
        </is>
      </c>
      <c r="C809" s="3" t="inlineStr">
        <is>
          <t>ER-B</t>
        </is>
      </c>
      <c r="D809" s="3" t="inlineStr">
        <is>
          <t>广州酒家黄油鸡蛋卷480g</t>
        </is>
      </c>
      <c r="E809" s="3" t="inlineStr">
        <is>
          <t>Egg Roll 2สูตร ทองม้วนไข่กล่องเหล็กพรีเมี่ยม!! GuangZhou Restaurant 454g/480g กล่องล่ะ 24 แท่ง</t>
        </is>
      </c>
      <c r="F809" s="3" t="inlineStr">
        <is>
          <t>Butter สูตรเนยสด พรีเมี่ยม</t>
        </is>
      </c>
      <c r="G809" s="6" t="n">
        <v>1</v>
      </c>
      <c r="H809" s="6" t="n">
        <v>320</v>
      </c>
      <c r="I809" s="6" t="n">
        <v>32</v>
      </c>
      <c r="J809" s="6" t="n">
        <v>38</v>
      </c>
      <c r="K809" s="6">
        <f>H809+I809</f>
        <v/>
      </c>
      <c r="L809" s="5">
        <f>K809/4.7</f>
        <v/>
      </c>
      <c r="M809" s="6" t="n">
        <v>45.49882436351998</v>
      </c>
      <c r="N809" s="6" t="n">
        <v>2</v>
      </c>
      <c r="O809" s="6">
        <f>(K809*0.1229+1.05)/4.7</f>
        <v/>
      </c>
      <c r="P809" s="6">
        <f>K809*0.0749/4.7</f>
        <v/>
      </c>
      <c r="Q809" s="5">
        <f>M809+N809+O809+P809</f>
        <v/>
      </c>
      <c r="R809" s="5">
        <f>L809-Q809</f>
        <v/>
      </c>
      <c r="S809" s="6">
        <f>R809*4.7</f>
        <v/>
      </c>
      <c r="T809" s="7">
        <f>IF(L809&gt;0,R809/L809,0)</f>
        <v/>
      </c>
      <c r="U809" s="3" t="inlineStr">
        <is>
          <t>06/05/2026 23:40:33</t>
        </is>
      </c>
    </row>
    <row r="810">
      <c r="A810" s="3" t="inlineStr">
        <is>
          <t>583897010710939270</t>
        </is>
      </c>
      <c r="B810" s="3" t="inlineStr">
        <is>
          <t>已完成</t>
        </is>
      </c>
      <c r="C810" s="3" t="inlineStr">
        <is>
          <t>A3</t>
        </is>
      </c>
      <c r="D810" s="3" t="inlineStr">
        <is>
          <t>魔芋干3包</t>
        </is>
      </c>
      <c r="E81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810" s="3" t="inlineStr">
        <is>
          <t>30 ซอง 300g</t>
        </is>
      </c>
      <c r="G810" s="6" t="n">
        <v>1</v>
      </c>
      <c r="H810" s="6" t="n">
        <v>150</v>
      </c>
      <c r="I810" s="6" t="n">
        <v>0</v>
      </c>
      <c r="J810" s="6" t="n">
        <v>38</v>
      </c>
      <c r="K810" s="6">
        <f>H810+I810</f>
        <v/>
      </c>
      <c r="L810" s="5">
        <f>K810/4.7</f>
        <v/>
      </c>
      <c r="M810" s="6" t="n">
        <v>18.3</v>
      </c>
      <c r="N810" s="6" t="n">
        <v>0.5</v>
      </c>
      <c r="O810" s="6">
        <f>(K810*0.1229+1.05)/4.7</f>
        <v/>
      </c>
      <c r="P810" s="6">
        <f>K810*0.0749/4.7</f>
        <v/>
      </c>
      <c r="Q810" s="5">
        <f>M810+N810+O810+P810</f>
        <v/>
      </c>
      <c r="R810" s="5">
        <f>L810-Q810</f>
        <v/>
      </c>
      <c r="S810" s="6">
        <f>R810*4.7</f>
        <v/>
      </c>
      <c r="T810" s="7">
        <f>IF(L810&gt;0,R810/L810,0)</f>
        <v/>
      </c>
      <c r="U810" s="3" t="inlineStr">
        <is>
          <t>06/05/2026 23:18:20</t>
        </is>
      </c>
    </row>
    <row r="811">
      <c r="A811" s="3" t="inlineStr">
        <is>
          <t>583896848242672684</t>
        </is>
      </c>
      <c r="B811" s="3" t="inlineStr">
        <is>
          <t>已完成</t>
        </is>
      </c>
      <c r="C811" s="3" t="inlineStr">
        <is>
          <t>ER-B</t>
        </is>
      </c>
      <c r="D811" s="3" t="inlineStr">
        <is>
          <t>广州酒家黄油鸡蛋卷480g</t>
        </is>
      </c>
      <c r="E811" s="3" t="inlineStr">
        <is>
          <t>Egg Roll 2สูตร ทองม้วนไข่กล่องเหล็กพรีเมี่ยม!! GuangZhou Restaurant 454g/480g กล่องล่ะ 24 แท่ง</t>
        </is>
      </c>
      <c r="F811" s="3" t="inlineStr">
        <is>
          <t>Butter สูตรเนยสด พรีเมี่ยม</t>
        </is>
      </c>
      <c r="G811" s="6" t="n">
        <v>1</v>
      </c>
      <c r="H811" s="6" t="n">
        <v>320</v>
      </c>
      <c r="I811" s="6" t="n">
        <v>32</v>
      </c>
      <c r="J811" s="6" t="n">
        <v>35</v>
      </c>
      <c r="K811" s="6">
        <f>H811+I811</f>
        <v/>
      </c>
      <c r="L811" s="5">
        <f>K811/4.7</f>
        <v/>
      </c>
      <c r="M811" s="6" t="n">
        <v>45.49882436351998</v>
      </c>
      <c r="N811" s="6" t="n">
        <v>2</v>
      </c>
      <c r="O811" s="6">
        <f>(K811*0.1229+1.05)/4.7</f>
        <v/>
      </c>
      <c r="P811" s="6">
        <f>K811*0.0749/4.7</f>
        <v/>
      </c>
      <c r="Q811" s="5">
        <f>M811+N811+O811+P811</f>
        <v/>
      </c>
      <c r="R811" s="5">
        <f>L811-Q811</f>
        <v/>
      </c>
      <c r="S811" s="6">
        <f>R811*4.7</f>
        <v/>
      </c>
      <c r="T811" s="7">
        <f>IF(L811&gt;0,R811/L811,0)</f>
        <v/>
      </c>
      <c r="U811" s="3" t="inlineStr">
        <is>
          <t>06/05/2026 23:05:45</t>
        </is>
      </c>
    </row>
    <row r="812">
      <c r="A812" s="3" t="inlineStr">
        <is>
          <t>583896342857155885</t>
        </is>
      </c>
      <c r="B812" s="3" t="inlineStr">
        <is>
          <t>已完成</t>
        </is>
      </c>
      <c r="C812" s="3" t="inlineStr">
        <is>
          <t>C1</t>
        </is>
      </c>
      <c r="D812" s="3" t="inlineStr">
        <is>
          <t>魔芋笋1大袋</t>
        </is>
      </c>
      <c r="E8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2" s="3" t="inlineStr">
        <is>
          <t>รสเผ็ดหอม​, 10 ซอง 200g</t>
        </is>
      </c>
      <c r="G812" s="6" t="n">
        <v>1</v>
      </c>
      <c r="H812" s="6" t="n">
        <v>69</v>
      </c>
      <c r="I812" s="6" t="n">
        <v>0</v>
      </c>
      <c r="J812" s="6" t="n">
        <v>38</v>
      </c>
      <c r="K812" s="6">
        <f>H812+I812</f>
        <v/>
      </c>
      <c r="L812" s="5">
        <f>K812/4.7</f>
        <v/>
      </c>
      <c r="M812" s="6" t="n">
        <v>6.699999999999999</v>
      </c>
      <c r="N812" s="6" t="n">
        <v>1</v>
      </c>
      <c r="O812" s="6">
        <f>(K812*0.1229+1.05)/4.7</f>
        <v/>
      </c>
      <c r="P812" s="6">
        <f>K812*0.0749/4.7</f>
        <v/>
      </c>
      <c r="Q812" s="5">
        <f>M812+N812+O812+P812</f>
        <v/>
      </c>
      <c r="R812" s="5">
        <f>L812-Q812</f>
        <v/>
      </c>
      <c r="S812" s="6">
        <f>R812*4.7</f>
        <v/>
      </c>
      <c r="T812" s="7">
        <f>IF(L812&gt;0,R812/L812,0)</f>
        <v/>
      </c>
      <c r="U812" s="3" t="inlineStr">
        <is>
          <t>06/05/2026 22:31:05</t>
        </is>
      </c>
    </row>
    <row r="813">
      <c r="A813" s="3" t="inlineStr">
        <is>
          <t>583895035733509475</t>
        </is>
      </c>
      <c r="B813" s="3" t="inlineStr">
        <is>
          <t>已取消</t>
        </is>
      </c>
      <c r="C813" s="3" t="inlineStr">
        <is>
          <t>C2</t>
        </is>
      </c>
      <c r="D813" s="3" t="inlineStr">
        <is>
          <t>魔芋笋2大袋</t>
        </is>
      </c>
      <c r="E8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3" s="3" t="inlineStr">
        <is>
          <t>รสเผ็ดหอม​, 20 ซอง 400g</t>
        </is>
      </c>
      <c r="G813" s="6" t="n">
        <v>1</v>
      </c>
      <c r="H813" s="6" t="n">
        <v>125</v>
      </c>
      <c r="I813" s="6" t="n">
        <v>0</v>
      </c>
      <c r="J813" s="6" t="n">
        <v>29</v>
      </c>
      <c r="K813" s="6">
        <f>H813+I813</f>
        <v/>
      </c>
      <c r="L813" s="5">
        <f>K813/4.7</f>
        <v/>
      </c>
      <c r="M813" s="6" t="n">
        <v>13.4</v>
      </c>
      <c r="N813" s="6" t="n">
        <v>1</v>
      </c>
      <c r="O813" s="6">
        <f>(K813*0.1229+1.05)/4.7</f>
        <v/>
      </c>
      <c r="P813" s="6">
        <f>K813*0.0749/4.7</f>
        <v/>
      </c>
      <c r="Q813" s="5">
        <f>M813+N813+O813+P813</f>
        <v/>
      </c>
      <c r="R813" s="5">
        <f>L813-Q813</f>
        <v/>
      </c>
      <c r="S813" s="6">
        <f>R813*4.7</f>
        <v/>
      </c>
      <c r="T813" s="7">
        <f>IF(L813&gt;0,R813/L813,0)</f>
        <v/>
      </c>
      <c r="U813" s="3" t="inlineStr">
        <is>
          <t>06/05/2026 21:15:19</t>
        </is>
      </c>
    </row>
    <row r="814">
      <c r="A814" s="3" t="inlineStr">
        <is>
          <t>583894960855287607</t>
        </is>
      </c>
      <c r="B814" s="3" t="inlineStr">
        <is>
          <t>已完成</t>
        </is>
      </c>
      <c r="C814" s="3" t="inlineStr">
        <is>
          <t>C1</t>
        </is>
      </c>
      <c r="D814" s="3" t="inlineStr">
        <is>
          <t>魔芋笋1大袋</t>
        </is>
      </c>
      <c r="E8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4" s="3" t="inlineStr">
        <is>
          <t>รสเผ็ดหอม​, 10 ซอง 200g</t>
        </is>
      </c>
      <c r="G814" s="6" t="n">
        <v>1</v>
      </c>
      <c r="H814" s="6" t="n">
        <v>138</v>
      </c>
      <c r="I814" s="6" t="n">
        <v>0</v>
      </c>
      <c r="J814" s="6" t="n">
        <v>48</v>
      </c>
      <c r="K814" s="6">
        <f>H814+I814</f>
        <v/>
      </c>
      <c r="L814" s="5">
        <f>K814/4.7</f>
        <v/>
      </c>
      <c r="M814" s="6" t="n">
        <v>6.699999999999999</v>
      </c>
      <c r="N814" s="6" t="n">
        <v>1</v>
      </c>
      <c r="O814" s="6">
        <f>(K814*0.1229+1.05)/4.7</f>
        <v/>
      </c>
      <c r="P814" s="6">
        <f>K814*0.0749/4.7</f>
        <v/>
      </c>
      <c r="Q814" s="5">
        <f>M814+N814+O814+P814</f>
        <v/>
      </c>
      <c r="R814" s="5">
        <f>L814-Q814</f>
        <v/>
      </c>
      <c r="S814" s="6">
        <f>R814*4.7</f>
        <v/>
      </c>
      <c r="T814" s="7">
        <f>IF(L814&gt;0,R814/L814,0)</f>
        <v/>
      </c>
      <c r="U814" s="3" t="inlineStr">
        <is>
          <t>06/05/2026 21:15:00</t>
        </is>
      </c>
    </row>
    <row r="815">
      <c r="A815" s="3" t="inlineStr">
        <is>
          <t>583894960855287607</t>
        </is>
      </c>
      <c r="B815" s="3" t="inlineStr">
        <is>
          <t>已完成</t>
        </is>
      </c>
      <c r="C815" s="3" t="inlineStr">
        <is>
          <t>B1</t>
        </is>
      </c>
      <c r="D815" s="3" t="inlineStr">
        <is>
          <t>魔芋笋1大袋</t>
        </is>
      </c>
      <c r="E8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5" s="3" t="inlineStr">
        <is>
          <t>รสเปรี้ยวเผ็ด​, 10 ซอง 200g</t>
        </is>
      </c>
      <c r="G815" s="6" t="n">
        <v>1</v>
      </c>
      <c r="H815" s="6" t="n">
        <v>138</v>
      </c>
      <c r="I815" s="6" t="n">
        <v>0</v>
      </c>
      <c r="J815" s="6" t="n">
        <v>48</v>
      </c>
      <c r="K815" s="6">
        <f>H815+I815</f>
        <v/>
      </c>
      <c r="L815" s="5">
        <f>K815/4.7</f>
        <v/>
      </c>
      <c r="M815" s="6" t="n">
        <v>6.699999999999999</v>
      </c>
      <c r="N815" s="6" t="n">
        <v>1</v>
      </c>
      <c r="O815" s="6">
        <f>(K815*0.1229+1.05)/4.7</f>
        <v/>
      </c>
      <c r="P815" s="6">
        <f>K815*0.0749/4.7</f>
        <v/>
      </c>
      <c r="Q815" s="5">
        <f>M815+N815+O815+P815</f>
        <v/>
      </c>
      <c r="R815" s="5">
        <f>L815-Q815</f>
        <v/>
      </c>
      <c r="S815" s="6">
        <f>R815*4.7</f>
        <v/>
      </c>
      <c r="T815" s="7">
        <f>IF(L815&gt;0,R815/L815,0)</f>
        <v/>
      </c>
      <c r="U815" s="3" t="inlineStr">
        <is>
          <t>06/05/2026 21:15:00</t>
        </is>
      </c>
    </row>
    <row r="816">
      <c r="A816" s="3" t="inlineStr">
        <is>
          <t>583894516130875250</t>
        </is>
      </c>
      <c r="B816" s="3" t="inlineStr">
        <is>
          <t>已完成</t>
        </is>
      </c>
      <c r="C816" s="3" t="inlineStr">
        <is>
          <t>C3</t>
        </is>
      </c>
      <c r="D816" s="3" t="inlineStr">
        <is>
          <t>魔芋笋3大袋</t>
        </is>
      </c>
      <c r="E8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6" s="3" t="inlineStr">
        <is>
          <t>รสเผ็ดหอม​, 30 ซอง 600g</t>
        </is>
      </c>
      <c r="G816" s="6" t="n">
        <v>1</v>
      </c>
      <c r="H816" s="6" t="n">
        <v>156.98</v>
      </c>
      <c r="I816" s="6" t="n">
        <v>10.02</v>
      </c>
      <c r="J816" s="6" t="n">
        <v>38</v>
      </c>
      <c r="K816" s="6">
        <f>H816+I816</f>
        <v/>
      </c>
      <c r="L816" s="5">
        <f>K816/4.7</f>
        <v/>
      </c>
      <c r="M816" s="6" t="n">
        <v>20.1</v>
      </c>
      <c r="N816" s="6" t="n">
        <v>1</v>
      </c>
      <c r="O816" s="6">
        <f>(K816*0.1229+1.05)/4.7</f>
        <v/>
      </c>
      <c r="P816" s="6">
        <f>K816*0.0749/4.7</f>
        <v/>
      </c>
      <c r="Q816" s="5">
        <f>M816+N816+O816+P816</f>
        <v/>
      </c>
      <c r="R816" s="5">
        <f>L816-Q816</f>
        <v/>
      </c>
      <c r="S816" s="6">
        <f>R816*4.7</f>
        <v/>
      </c>
      <c r="T816" s="7">
        <f>IF(L816&gt;0,R816/L816,0)</f>
        <v/>
      </c>
      <c r="U816" s="3" t="inlineStr">
        <is>
          <t>06/05/2026 20:46:23</t>
        </is>
      </c>
    </row>
    <row r="817">
      <c r="A817" s="3" t="inlineStr">
        <is>
          <t>583894033300948284</t>
        </is>
      </c>
      <c r="B817" s="3" t="inlineStr">
        <is>
          <t>已完成</t>
        </is>
      </c>
      <c r="C817" s="3" t="inlineStr">
        <is>
          <t>B1</t>
        </is>
      </c>
      <c r="D817" s="3" t="inlineStr">
        <is>
          <t>魔芋笋1大袋</t>
        </is>
      </c>
      <c r="E8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7" s="3" t="inlineStr">
        <is>
          <t>รสเปรี้ยวเผ็ด​, 10 ซอง 200g</t>
        </is>
      </c>
      <c r="G817" s="6" t="n">
        <v>1</v>
      </c>
      <c r="H817" s="6" t="n">
        <v>69</v>
      </c>
      <c r="I817" s="6" t="n">
        <v>0</v>
      </c>
      <c r="J817" s="6" t="n">
        <v>29</v>
      </c>
      <c r="K817" s="6">
        <f>H817+I817</f>
        <v/>
      </c>
      <c r="L817" s="5">
        <f>K817/4.7</f>
        <v/>
      </c>
      <c r="M817" s="6" t="n">
        <v>6.699999999999999</v>
      </c>
      <c r="N817" s="6" t="n">
        <v>1</v>
      </c>
      <c r="O817" s="6">
        <f>(K817*0.1229+1.05)/4.7</f>
        <v/>
      </c>
      <c r="P817" s="6">
        <f>K817*0.0749/4.7</f>
        <v/>
      </c>
      <c r="Q817" s="5">
        <f>M817+N817+O817+P817</f>
        <v/>
      </c>
      <c r="R817" s="5">
        <f>L817-Q817</f>
        <v/>
      </c>
      <c r="S817" s="6">
        <f>R817*4.7</f>
        <v/>
      </c>
      <c r="T817" s="7">
        <f>IF(L817&gt;0,R817/L817,0)</f>
        <v/>
      </c>
      <c r="U817" s="3" t="inlineStr">
        <is>
          <t>06/05/2026 20:24:13</t>
        </is>
      </c>
    </row>
    <row r="818">
      <c r="A818" s="3" t="inlineStr">
        <is>
          <t>583892580320249682</t>
        </is>
      </c>
      <c r="B818" s="3" t="inlineStr">
        <is>
          <t>已完成</t>
        </is>
      </c>
      <c r="C818" s="3" t="inlineStr">
        <is>
          <t>C1</t>
        </is>
      </c>
      <c r="D818" s="3" t="inlineStr">
        <is>
          <t>魔芋笋1大袋</t>
        </is>
      </c>
      <c r="E8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8" s="3" t="inlineStr">
        <is>
          <t>รสเผ็ดหอม​, 10 ซอง 200g</t>
        </is>
      </c>
      <c r="G818" s="6" t="n">
        <v>1</v>
      </c>
      <c r="H818" s="6" t="n">
        <v>69</v>
      </c>
      <c r="I818" s="6" t="n">
        <v>0</v>
      </c>
      <c r="J818" s="6" t="n">
        <v>29</v>
      </c>
      <c r="K818" s="6">
        <f>H818+I818</f>
        <v/>
      </c>
      <c r="L818" s="5">
        <f>K818/4.7</f>
        <v/>
      </c>
      <c r="M818" s="6" t="n">
        <v>6.699999999999999</v>
      </c>
      <c r="N818" s="6" t="n">
        <v>1</v>
      </c>
      <c r="O818" s="6">
        <f>(K818*0.1229+1.05)/4.7</f>
        <v/>
      </c>
      <c r="P818" s="6">
        <f>K818*0.0749/4.7</f>
        <v/>
      </c>
      <c r="Q818" s="5">
        <f>M818+N818+O818+P818</f>
        <v/>
      </c>
      <c r="R818" s="5">
        <f>L818-Q818</f>
        <v/>
      </c>
      <c r="S818" s="6">
        <f>R818*4.7</f>
        <v/>
      </c>
      <c r="T818" s="7">
        <f>IF(L818&gt;0,R818/L818,0)</f>
        <v/>
      </c>
      <c r="U818" s="3" t="inlineStr">
        <is>
          <t>06/05/2026 19:04:36</t>
        </is>
      </c>
    </row>
    <row r="819">
      <c r="A819" s="3" t="inlineStr">
        <is>
          <t>583892181753694104</t>
        </is>
      </c>
      <c r="B819" s="3" t="inlineStr">
        <is>
          <t>已完成</t>
        </is>
      </c>
      <c r="C819" s="3" t="inlineStr">
        <is>
          <t>B1</t>
        </is>
      </c>
      <c r="D819" s="3" t="inlineStr">
        <is>
          <t>魔芋笋1大袋</t>
        </is>
      </c>
      <c r="E8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9" s="3" t="inlineStr">
        <is>
          <t>รสเปรี้ยวเผ็ด​, 10 ซอง 200g</t>
        </is>
      </c>
      <c r="G819" s="6" t="n">
        <v>1</v>
      </c>
      <c r="H819" s="6" t="n">
        <v>126.35</v>
      </c>
      <c r="I819" s="6" t="n">
        <v>3.33</v>
      </c>
      <c r="J819" s="6" t="n">
        <v>48</v>
      </c>
      <c r="K819" s="6">
        <f>H819+I819</f>
        <v/>
      </c>
      <c r="L819" s="5">
        <f>K819/4.7</f>
        <v/>
      </c>
      <c r="M819" s="6" t="n">
        <v>6.699999999999999</v>
      </c>
      <c r="N819" s="6" t="n">
        <v>1</v>
      </c>
      <c r="O819" s="6">
        <f>(K819*0.1229+1.05)/4.7</f>
        <v/>
      </c>
      <c r="P819" s="6">
        <f>K819*0.0749/4.7</f>
        <v/>
      </c>
      <c r="Q819" s="5">
        <f>M819+N819+O819+P819</f>
        <v/>
      </c>
      <c r="R819" s="5">
        <f>L819-Q819</f>
        <v/>
      </c>
      <c r="S819" s="6">
        <f>R819*4.7</f>
        <v/>
      </c>
      <c r="T819" s="7">
        <f>IF(L819&gt;0,R819/L819,0)</f>
        <v/>
      </c>
      <c r="U819" s="3" t="inlineStr">
        <is>
          <t>06/05/2026 18:35:29</t>
        </is>
      </c>
    </row>
    <row r="820">
      <c r="A820" s="3" t="inlineStr">
        <is>
          <t>583892181753694104</t>
        </is>
      </c>
      <c r="B820" s="3" t="inlineStr">
        <is>
          <t>已完成</t>
        </is>
      </c>
      <c r="C820" s="3" t="inlineStr">
        <is>
          <t>C1</t>
        </is>
      </c>
      <c r="D820" s="3" t="inlineStr">
        <is>
          <t>魔芋笋1大袋</t>
        </is>
      </c>
      <c r="E8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0" s="3" t="inlineStr">
        <is>
          <t>รสเผ็ดหอม​, 10 ซอง 200g</t>
        </is>
      </c>
      <c r="G820" s="6" t="n">
        <v>1</v>
      </c>
      <c r="H820" s="6" t="n">
        <v>126.35</v>
      </c>
      <c r="I820" s="6" t="n">
        <v>3.32</v>
      </c>
      <c r="J820" s="6" t="n">
        <v>48</v>
      </c>
      <c r="K820" s="6">
        <f>H820+I820</f>
        <v/>
      </c>
      <c r="L820" s="5">
        <f>K820/4.7</f>
        <v/>
      </c>
      <c r="M820" s="6" t="n">
        <v>6.699999999999999</v>
      </c>
      <c r="N820" s="6" t="n">
        <v>1</v>
      </c>
      <c r="O820" s="6">
        <f>(K820*0.1229+1.05)/4.7</f>
        <v/>
      </c>
      <c r="P820" s="6">
        <f>K820*0.0749/4.7</f>
        <v/>
      </c>
      <c r="Q820" s="5">
        <f>M820+N820+O820+P820</f>
        <v/>
      </c>
      <c r="R820" s="5">
        <f>L820-Q820</f>
        <v/>
      </c>
      <c r="S820" s="6">
        <f>R820*4.7</f>
        <v/>
      </c>
      <c r="T820" s="7">
        <f>IF(L820&gt;0,R820/L820,0)</f>
        <v/>
      </c>
      <c r="U820" s="3" t="inlineStr">
        <is>
          <t>06/05/2026 18:35:29</t>
        </is>
      </c>
    </row>
    <row r="821">
      <c r="A821" s="3" t="inlineStr">
        <is>
          <t>583890976170739503</t>
        </is>
      </c>
      <c r="B821" s="3" t="inlineStr">
        <is>
          <t>已完成</t>
        </is>
      </c>
      <c r="C821" s="3" t="inlineStr">
        <is>
          <t>B5s</t>
        </is>
      </c>
      <c r="D821" s="3" t="inlineStr">
        <is>
          <t>酸辣味5小袋</t>
        </is>
      </c>
      <c r="E8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1" s="3" t="inlineStr">
        <is>
          <t>รสเปรี้ยวเผ็ด​, 5 ซอง 100g</t>
        </is>
      </c>
      <c r="G821" s="6" t="n">
        <v>1</v>
      </c>
      <c r="H821" s="6" t="n">
        <v>82</v>
      </c>
      <c r="I821" s="6" t="n">
        <v>0</v>
      </c>
      <c r="J821" s="6" t="n">
        <v>0</v>
      </c>
      <c r="K821" s="6">
        <f>H821+I821</f>
        <v/>
      </c>
      <c r="L821" s="5">
        <f>K821/4.7</f>
        <v/>
      </c>
      <c r="M821" s="6" t="n">
        <v>3.35</v>
      </c>
      <c r="N821" s="6" t="n">
        <v>1</v>
      </c>
      <c r="O821" s="6">
        <f>(K821*0.1229+1.05)/4.7</f>
        <v/>
      </c>
      <c r="P821" s="6">
        <f>K821*0.0749/4.7</f>
        <v/>
      </c>
      <c r="Q821" s="5">
        <f>M821+N821+O821+P821</f>
        <v/>
      </c>
      <c r="R821" s="5">
        <f>L821-Q821</f>
        <v/>
      </c>
      <c r="S821" s="6">
        <f>R821*4.7</f>
        <v/>
      </c>
      <c r="T821" s="7">
        <f>IF(L821&gt;0,R821/L821,0)</f>
        <v/>
      </c>
      <c r="U821" s="3" t="inlineStr">
        <is>
          <t>06/05/2026 17:23:23</t>
        </is>
      </c>
    </row>
    <row r="822">
      <c r="A822" s="3" t="inlineStr">
        <is>
          <t>583890894093518639</t>
        </is>
      </c>
      <c r="B822" s="3" t="inlineStr">
        <is>
          <t>已完成</t>
        </is>
      </c>
      <c r="C822" s="3" t="inlineStr">
        <is>
          <t>B5s</t>
        </is>
      </c>
      <c r="D822" s="3" t="inlineStr">
        <is>
          <t>酸辣味5小袋</t>
        </is>
      </c>
      <c r="E8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2" s="3" t="inlineStr">
        <is>
          <t>รสเปรี้ยวเผ็ด​, 5 ซอง 100g</t>
        </is>
      </c>
      <c r="G822" s="6" t="n">
        <v>1</v>
      </c>
      <c r="H822" s="6" t="n">
        <v>82</v>
      </c>
      <c r="I822" s="6" t="n">
        <v>0</v>
      </c>
      <c r="J822" s="6" t="n">
        <v>0</v>
      </c>
      <c r="K822" s="6">
        <f>H822+I822</f>
        <v/>
      </c>
      <c r="L822" s="5">
        <f>K822/4.7</f>
        <v/>
      </c>
      <c r="M822" s="6" t="n">
        <v>3.35</v>
      </c>
      <c r="N822" s="6" t="n">
        <v>1</v>
      </c>
      <c r="O822" s="6">
        <f>(K822*0.1229+1.05)/4.7</f>
        <v/>
      </c>
      <c r="P822" s="6">
        <f>K822*0.0749/4.7</f>
        <v/>
      </c>
      <c r="Q822" s="5">
        <f>M822+N822+O822+P822</f>
        <v/>
      </c>
      <c r="R822" s="5">
        <f>L822-Q822</f>
        <v/>
      </c>
      <c r="S822" s="6">
        <f>R822*4.7</f>
        <v/>
      </c>
      <c r="T822" s="7">
        <f>IF(L822&gt;0,R822/L822,0)</f>
        <v/>
      </c>
      <c r="U822" s="3" t="inlineStr">
        <is>
          <t>06/05/2026 17:22:50</t>
        </is>
      </c>
    </row>
    <row r="823">
      <c r="A823" s="3" t="inlineStr">
        <is>
          <t>583890059662296222</t>
        </is>
      </c>
      <c r="B823" s="3" t="inlineStr">
        <is>
          <t>已完成</t>
        </is>
      </c>
      <c r="C823" s="3" t="inlineStr">
        <is>
          <t>C1</t>
        </is>
      </c>
      <c r="D823" s="3" t="inlineStr">
        <is>
          <t>魔芋笋1大袋</t>
        </is>
      </c>
      <c r="E8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3" s="3" t="inlineStr">
        <is>
          <t>รสเผ็ดหอม​, 10 ซอง 200g</t>
        </is>
      </c>
      <c r="G823" s="6" t="n">
        <v>1</v>
      </c>
      <c r="H823" s="6" t="n">
        <v>133</v>
      </c>
      <c r="I823" s="6" t="n">
        <v>0</v>
      </c>
      <c r="J823" s="6" t="n">
        <v>48</v>
      </c>
      <c r="K823" s="6">
        <f>H823+I823</f>
        <v/>
      </c>
      <c r="L823" s="5">
        <f>K823/4.7</f>
        <v/>
      </c>
      <c r="M823" s="6" t="n">
        <v>6.699999999999999</v>
      </c>
      <c r="N823" s="6" t="n">
        <v>1</v>
      </c>
      <c r="O823" s="6">
        <f>(K823*0.1229+1.05)/4.7</f>
        <v/>
      </c>
      <c r="P823" s="6">
        <f>K823*0.0749/4.7</f>
        <v/>
      </c>
      <c r="Q823" s="5">
        <f>M823+N823+O823+P823</f>
        <v/>
      </c>
      <c r="R823" s="5">
        <f>L823-Q823</f>
        <v/>
      </c>
      <c r="S823" s="6">
        <f>R823*4.7</f>
        <v/>
      </c>
      <c r="T823" s="7">
        <f>IF(L823&gt;0,R823/L823,0)</f>
        <v/>
      </c>
      <c r="U823" s="3" t="inlineStr">
        <is>
          <t>06/05/2026 16:25:02</t>
        </is>
      </c>
    </row>
    <row r="824">
      <c r="A824" s="3" t="inlineStr">
        <is>
          <t>583890059662296222</t>
        </is>
      </c>
      <c r="B824" s="3" t="inlineStr">
        <is>
          <t>已完成</t>
        </is>
      </c>
      <c r="C824" s="3" t="inlineStr">
        <is>
          <t>B1</t>
        </is>
      </c>
      <c r="D824" s="3" t="inlineStr">
        <is>
          <t>魔芋笋1大袋</t>
        </is>
      </c>
      <c r="E8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4" s="3" t="inlineStr">
        <is>
          <t>รสเปรี้ยวเผ็ด​, 10 ซอง 200g</t>
        </is>
      </c>
      <c r="G824" s="6" t="n">
        <v>1</v>
      </c>
      <c r="H824" s="6" t="n">
        <v>133</v>
      </c>
      <c r="I824" s="6" t="n">
        <v>0</v>
      </c>
      <c r="J824" s="6" t="n">
        <v>48</v>
      </c>
      <c r="K824" s="6">
        <f>H824+I824</f>
        <v/>
      </c>
      <c r="L824" s="5">
        <f>K824/4.7</f>
        <v/>
      </c>
      <c r="M824" s="6" t="n">
        <v>6.699999999999999</v>
      </c>
      <c r="N824" s="6" t="n">
        <v>1</v>
      </c>
      <c r="O824" s="6">
        <f>(K824*0.1229+1.05)/4.7</f>
        <v/>
      </c>
      <c r="P824" s="6">
        <f>K824*0.0749/4.7</f>
        <v/>
      </c>
      <c r="Q824" s="5">
        <f>M824+N824+O824+P824</f>
        <v/>
      </c>
      <c r="R824" s="5">
        <f>L824-Q824</f>
        <v/>
      </c>
      <c r="S824" s="6">
        <f>R824*4.7</f>
        <v/>
      </c>
      <c r="T824" s="7">
        <f>IF(L824&gt;0,R824/L824,0)</f>
        <v/>
      </c>
      <c r="U824" s="3" t="inlineStr">
        <is>
          <t>06/05/2026 16:25:02</t>
        </is>
      </c>
    </row>
    <row r="825">
      <c r="A825" s="3" t="inlineStr">
        <is>
          <t>583889973396997559</t>
        </is>
      </c>
      <c r="B825" s="3" t="inlineStr">
        <is>
          <t>已完成</t>
        </is>
      </c>
      <c r="C825" s="3" t="inlineStr">
        <is>
          <t>C1</t>
        </is>
      </c>
      <c r="D825" s="3" t="inlineStr">
        <is>
          <t>魔芋笋1大袋</t>
        </is>
      </c>
      <c r="E8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5" s="3" t="inlineStr">
        <is>
          <t>รสเผ็ดหอม​, 10 ซอง 200g</t>
        </is>
      </c>
      <c r="G825" s="6" t="n">
        <v>1</v>
      </c>
      <c r="H825" s="6" t="n">
        <v>69</v>
      </c>
      <c r="I825" s="6" t="n">
        <v>0</v>
      </c>
      <c r="J825" s="6" t="n">
        <v>35</v>
      </c>
      <c r="K825" s="6">
        <f>H825+I825</f>
        <v/>
      </c>
      <c r="L825" s="5">
        <f>K825/4.7</f>
        <v/>
      </c>
      <c r="M825" s="6" t="n">
        <v>6.699999999999999</v>
      </c>
      <c r="N825" s="6" t="n">
        <v>1</v>
      </c>
      <c r="O825" s="6">
        <f>(K825*0.1229+1.05)/4.7</f>
        <v/>
      </c>
      <c r="P825" s="6">
        <f>K825*0.0749/4.7</f>
        <v/>
      </c>
      <c r="Q825" s="5">
        <f>M825+N825+O825+P825</f>
        <v/>
      </c>
      <c r="R825" s="5">
        <f>L825-Q825</f>
        <v/>
      </c>
      <c r="S825" s="6">
        <f>R825*4.7</f>
        <v/>
      </c>
      <c r="T825" s="7">
        <f>IF(L825&gt;0,R825/L825,0)</f>
        <v/>
      </c>
      <c r="U825" s="3" t="inlineStr">
        <is>
          <t>06/05/2026 16:17:02</t>
        </is>
      </c>
    </row>
    <row r="826">
      <c r="A826" s="3" t="inlineStr">
        <is>
          <t>583889697498235928</t>
        </is>
      </c>
      <c r="B826" s="3" t="inlineStr">
        <is>
          <t>已取消</t>
        </is>
      </c>
      <c r="C826" s="3" t="inlineStr">
        <is>
          <t>C3</t>
        </is>
      </c>
      <c r="D826" s="3" t="inlineStr">
        <is>
          <t>魔芋笋3大袋</t>
        </is>
      </c>
      <c r="E8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6" s="3" t="inlineStr">
        <is>
          <t>รสเผ็ดหอม​, 30 ซอง 600g</t>
        </is>
      </c>
      <c r="G826" s="6" t="n">
        <v>1</v>
      </c>
      <c r="H826" s="6" t="n">
        <v>172</v>
      </c>
      <c r="I826" s="6" t="n">
        <v>0</v>
      </c>
      <c r="J826" s="6" t="n">
        <v>38</v>
      </c>
      <c r="K826" s="6">
        <f>H826+I826</f>
        <v/>
      </c>
      <c r="L826" s="5">
        <f>K826/4.7</f>
        <v/>
      </c>
      <c r="M826" s="6" t="n">
        <v>20.1</v>
      </c>
      <c r="N826" s="6" t="n">
        <v>1</v>
      </c>
      <c r="O826" s="6">
        <f>(K826*0.1229+1.05)/4.7</f>
        <v/>
      </c>
      <c r="P826" s="6">
        <f>K826*0.0749/4.7</f>
        <v/>
      </c>
      <c r="Q826" s="5">
        <f>M826+N826+O826+P826</f>
        <v/>
      </c>
      <c r="R826" s="5">
        <f>L826-Q826</f>
        <v/>
      </c>
      <c r="S826" s="6">
        <f>R826*4.7</f>
        <v/>
      </c>
      <c r="T826" s="7">
        <f>IF(L826&gt;0,R826/L826,0)</f>
        <v/>
      </c>
      <c r="U826" s="3" t="inlineStr">
        <is>
          <t>06/05/2026 15:58:36</t>
        </is>
      </c>
    </row>
    <row r="827">
      <c r="A827" s="3" t="inlineStr">
        <is>
          <t>583889560106075556</t>
        </is>
      </c>
      <c r="B827" s="3" t="inlineStr">
        <is>
          <t>已完成</t>
        </is>
      </c>
      <c r="C827" s="3" t="inlineStr">
        <is>
          <t>C1</t>
        </is>
      </c>
      <c r="D827" s="3" t="inlineStr">
        <is>
          <t>魔芋笋1大袋</t>
        </is>
      </c>
      <c r="E8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7" s="3" t="inlineStr">
        <is>
          <t>รสเผ็ดหอม​, 10 ซอง 200g</t>
        </is>
      </c>
      <c r="G827" s="6" t="n">
        <v>1</v>
      </c>
      <c r="H827" s="6" t="n">
        <v>69</v>
      </c>
      <c r="I827" s="6" t="n">
        <v>0</v>
      </c>
      <c r="J827" s="6" t="n">
        <v>29</v>
      </c>
      <c r="K827" s="6">
        <f>H827+I827</f>
        <v/>
      </c>
      <c r="L827" s="5">
        <f>K827/4.7</f>
        <v/>
      </c>
      <c r="M827" s="6" t="n">
        <v>6.699999999999999</v>
      </c>
      <c r="N827" s="6" t="n">
        <v>1</v>
      </c>
      <c r="O827" s="6">
        <f>(K827*0.1229+1.05)/4.7</f>
        <v/>
      </c>
      <c r="P827" s="6">
        <f>K827*0.0749/4.7</f>
        <v/>
      </c>
      <c r="Q827" s="5">
        <f>M827+N827+O827+P827</f>
        <v/>
      </c>
      <c r="R827" s="5">
        <f>L827-Q827</f>
        <v/>
      </c>
      <c r="S827" s="6">
        <f>R827*4.7</f>
        <v/>
      </c>
      <c r="T827" s="7">
        <f>IF(L827&gt;0,R827/L827,0)</f>
        <v/>
      </c>
      <c r="U827" s="3" t="inlineStr">
        <is>
          <t>06/05/2026 15:48:45</t>
        </is>
      </c>
    </row>
    <row r="828">
      <c r="A828" s="3" t="inlineStr">
        <is>
          <t>583888321931412497</t>
        </is>
      </c>
      <c r="B828" s="3" t="inlineStr">
        <is>
          <t>已完成</t>
        </is>
      </c>
      <c r="C828" s="3" t="inlineStr">
        <is>
          <t>C2</t>
        </is>
      </c>
      <c r="D828" s="3" t="inlineStr">
        <is>
          <t>魔芋笋2大袋</t>
        </is>
      </c>
      <c r="E8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8" s="3" t="inlineStr">
        <is>
          <t>รสเผ็ดหอม​, 20 ซอง 400g</t>
        </is>
      </c>
      <c r="G828" s="6" t="n">
        <v>1</v>
      </c>
      <c r="H828" s="6" t="n">
        <v>125</v>
      </c>
      <c r="I828" s="6" t="n">
        <v>0</v>
      </c>
      <c r="J828" s="6" t="n">
        <v>38</v>
      </c>
      <c r="K828" s="6">
        <f>H828+I828</f>
        <v/>
      </c>
      <c r="L828" s="5">
        <f>K828/4.7</f>
        <v/>
      </c>
      <c r="M828" s="6" t="n">
        <v>13.4</v>
      </c>
      <c r="N828" s="6" t="n">
        <v>1</v>
      </c>
      <c r="O828" s="6">
        <f>(K828*0.1229+1.05)/4.7</f>
        <v/>
      </c>
      <c r="P828" s="6">
        <f>K828*0.0749/4.7</f>
        <v/>
      </c>
      <c r="Q828" s="5">
        <f>M828+N828+O828+P828</f>
        <v/>
      </c>
      <c r="R828" s="5">
        <f>L828-Q828</f>
        <v/>
      </c>
      <c r="S828" s="6">
        <f>R828*4.7</f>
        <v/>
      </c>
      <c r="T828" s="7">
        <f>IF(L828&gt;0,R828/L828,0)</f>
        <v/>
      </c>
      <c r="U828" s="3" t="inlineStr">
        <is>
          <t>06/05/2026 14:25:59</t>
        </is>
      </c>
    </row>
    <row r="829">
      <c r="A829" s="3" t="inlineStr">
        <is>
          <t>583887772397569395</t>
        </is>
      </c>
      <c r="B829" s="3" t="inlineStr">
        <is>
          <t>已完成</t>
        </is>
      </c>
      <c r="C829" s="3" t="inlineStr">
        <is>
          <t>C3</t>
        </is>
      </c>
      <c r="D829" s="3" t="inlineStr">
        <is>
          <t>魔芋笋3大袋</t>
        </is>
      </c>
      <c r="E8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9" s="3" t="inlineStr">
        <is>
          <t>รสเผ็ดหอม​, 30 ซอง 600g</t>
        </is>
      </c>
      <c r="G829" s="6" t="n">
        <v>1</v>
      </c>
      <c r="H829" s="6" t="n">
        <v>158.65</v>
      </c>
      <c r="I829" s="6" t="n">
        <v>8.35</v>
      </c>
      <c r="J829" s="6" t="n">
        <v>38</v>
      </c>
      <c r="K829" s="6">
        <f>H829+I829</f>
        <v/>
      </c>
      <c r="L829" s="5">
        <f>K829/4.7</f>
        <v/>
      </c>
      <c r="M829" s="6" t="n">
        <v>20.1</v>
      </c>
      <c r="N829" s="6" t="n">
        <v>1</v>
      </c>
      <c r="O829" s="6">
        <f>(K829*0.1229+1.05)/4.7</f>
        <v/>
      </c>
      <c r="P829" s="6">
        <f>K829*0.0749/4.7</f>
        <v/>
      </c>
      <c r="Q829" s="5">
        <f>M829+N829+O829+P829</f>
        <v/>
      </c>
      <c r="R829" s="5">
        <f>L829-Q829</f>
        <v/>
      </c>
      <c r="S829" s="6">
        <f>R829*4.7</f>
        <v/>
      </c>
      <c r="T829" s="7">
        <f>IF(L829&gt;0,R829/L829,0)</f>
        <v/>
      </c>
      <c r="U829" s="3" t="inlineStr">
        <is>
          <t>06/05/2026 13:58:08</t>
        </is>
      </c>
    </row>
    <row r="830">
      <c r="A830" s="3" t="inlineStr">
        <is>
          <t>583887120182052382</t>
        </is>
      </c>
      <c r="B830" s="3" t="inlineStr">
        <is>
          <t>已完成</t>
        </is>
      </c>
      <c r="C830" s="3" t="inlineStr">
        <is>
          <t>B1</t>
        </is>
      </c>
      <c r="D830" s="3" t="inlineStr">
        <is>
          <t>魔芋笋1大袋</t>
        </is>
      </c>
      <c r="E8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0" s="3" t="inlineStr">
        <is>
          <t>รสเปรี้ยวเผ็ด​, 10 ซอง 200g</t>
        </is>
      </c>
      <c r="G830" s="6" t="n">
        <v>1</v>
      </c>
      <c r="H830" s="6" t="n">
        <v>181.82</v>
      </c>
      <c r="I830" s="6" t="n">
        <v>6.73</v>
      </c>
      <c r="J830" s="6" t="n">
        <v>48</v>
      </c>
      <c r="K830" s="6">
        <f>H830+I830</f>
        <v/>
      </c>
      <c r="L830" s="5">
        <f>K830/4.7</f>
        <v/>
      </c>
      <c r="M830" s="6" t="n">
        <v>6.699999999999999</v>
      </c>
      <c r="N830" s="6" t="n">
        <v>1</v>
      </c>
      <c r="O830" s="6">
        <f>(K830*0.1229+1.05)/4.7</f>
        <v/>
      </c>
      <c r="P830" s="6">
        <f>K830*0.0749/4.7</f>
        <v/>
      </c>
      <c r="Q830" s="5">
        <f>M830+N830+O830+P830</f>
        <v/>
      </c>
      <c r="R830" s="5">
        <f>L830-Q830</f>
        <v/>
      </c>
      <c r="S830" s="6">
        <f>R830*4.7</f>
        <v/>
      </c>
      <c r="T830" s="7">
        <f>IF(L830&gt;0,R830/L830,0)</f>
        <v/>
      </c>
      <c r="U830" s="3" t="inlineStr">
        <is>
          <t>06/05/2026 13:16:07</t>
        </is>
      </c>
    </row>
    <row r="831">
      <c r="A831" s="3" t="inlineStr">
        <is>
          <t>583887120182052382</t>
        </is>
      </c>
      <c r="B831" s="3" t="inlineStr">
        <is>
          <t>已完成</t>
        </is>
      </c>
      <c r="C831" s="3" t="inlineStr">
        <is>
          <t>C1</t>
        </is>
      </c>
      <c r="D831" s="3" t="inlineStr">
        <is>
          <t>魔芋笋1大袋</t>
        </is>
      </c>
      <c r="E8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1" s="3" t="inlineStr">
        <is>
          <t>รสเผ็ดหอม​, 10 ซอง 200g</t>
        </is>
      </c>
      <c r="G831" s="6" t="n">
        <v>2</v>
      </c>
      <c r="H831" s="6" t="n">
        <v>181.82</v>
      </c>
      <c r="I831" s="6" t="n">
        <v>13.45</v>
      </c>
      <c r="J831" s="6" t="n">
        <v>48</v>
      </c>
      <c r="K831" s="6">
        <f>H831+I831</f>
        <v/>
      </c>
      <c r="L831" s="5">
        <f>K831/4.7</f>
        <v/>
      </c>
      <c r="M831" s="6" t="n">
        <v>13.4</v>
      </c>
      <c r="N831" s="6" t="n">
        <v>1</v>
      </c>
      <c r="O831" s="6">
        <f>(K831*0.1229+1.05)/4.7</f>
        <v/>
      </c>
      <c r="P831" s="6">
        <f>K831*0.0749/4.7</f>
        <v/>
      </c>
      <c r="Q831" s="5">
        <f>M831+N831+O831+P831</f>
        <v/>
      </c>
      <c r="R831" s="5">
        <f>L831-Q831</f>
        <v/>
      </c>
      <c r="S831" s="6">
        <f>R831*4.7</f>
        <v/>
      </c>
      <c r="T831" s="7">
        <f>IF(L831&gt;0,R831/L831,0)</f>
        <v/>
      </c>
      <c r="U831" s="3" t="inlineStr">
        <is>
          <t>06/05/2026 13:16:07</t>
        </is>
      </c>
    </row>
    <row r="832">
      <c r="A832" s="3" t="inlineStr">
        <is>
          <t>583886602501785452</t>
        </is>
      </c>
      <c r="B832" s="3" t="inlineStr">
        <is>
          <t>已完成</t>
        </is>
      </c>
      <c r="C832" s="3" t="inlineStr">
        <is>
          <t>CK</t>
        </is>
      </c>
      <c r="D832" s="3" t="inlineStr">
        <is>
          <t>黑松露黑麦苏打饼干</t>
        </is>
      </c>
      <c r="E83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32" s="3" t="inlineStr">
        <is>
          <t>ค่าเริ่มต้น</t>
        </is>
      </c>
      <c r="G832" s="6" t="n">
        <v>1</v>
      </c>
      <c r="H832" s="6" t="n">
        <v>130</v>
      </c>
      <c r="I832" s="6" t="n">
        <v>0</v>
      </c>
      <c r="J832" s="6" t="n">
        <v>35</v>
      </c>
      <c r="K832" s="6">
        <f>H832+I832</f>
        <v/>
      </c>
      <c r="L832" s="5">
        <f>K832/4.7</f>
        <v/>
      </c>
      <c r="M832" s="6" t="n">
        <v>10.72665050209467</v>
      </c>
      <c r="N832" s="6" t="n">
        <v>1</v>
      </c>
      <c r="O832" s="6">
        <f>(K832*0.1229+1.05)/4.7</f>
        <v/>
      </c>
      <c r="P832" s="6">
        <f>K832*0.0749/4.7</f>
        <v/>
      </c>
      <c r="Q832" s="5">
        <f>M832+N832+O832+P832</f>
        <v/>
      </c>
      <c r="R832" s="5">
        <f>L832-Q832</f>
        <v/>
      </c>
      <c r="S832" s="6">
        <f>R832*4.7</f>
        <v/>
      </c>
      <c r="T832" s="7">
        <f>IF(L832&gt;0,R832/L832,0)</f>
        <v/>
      </c>
      <c r="U832" s="3" t="inlineStr">
        <is>
          <t>06/05/2026 12:40:51</t>
        </is>
      </c>
    </row>
    <row r="833">
      <c r="A833" s="3" t="inlineStr">
        <is>
          <t>583886233088395096</t>
        </is>
      </c>
      <c r="B833" s="3" t="inlineStr">
        <is>
          <t>已完成</t>
        </is>
      </c>
      <c r="C833" s="3" t="inlineStr">
        <is>
          <t>B1</t>
        </is>
      </c>
      <c r="D833" s="3" t="inlineStr">
        <is>
          <t>魔芋笋1大袋</t>
        </is>
      </c>
      <c r="E8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3" s="3" t="inlineStr">
        <is>
          <t>รสเปรี้ยวเผ็ด​, 10 ซอง 200g</t>
        </is>
      </c>
      <c r="G833" s="6" t="n">
        <v>1</v>
      </c>
      <c r="H833" s="6" t="n">
        <v>69</v>
      </c>
      <c r="I833" s="6" t="n">
        <v>0</v>
      </c>
      <c r="J833" s="6" t="n">
        <v>38</v>
      </c>
      <c r="K833" s="6">
        <f>H833+I833</f>
        <v/>
      </c>
      <c r="L833" s="5">
        <f>K833/4.7</f>
        <v/>
      </c>
      <c r="M833" s="6" t="n">
        <v>6.699999999999999</v>
      </c>
      <c r="N833" s="6" t="n">
        <v>1</v>
      </c>
      <c r="O833" s="6">
        <f>(K833*0.1229+1.05)/4.7</f>
        <v/>
      </c>
      <c r="P833" s="6">
        <f>K833*0.0749/4.7</f>
        <v/>
      </c>
      <c r="Q833" s="5">
        <f>M833+N833+O833+P833</f>
        <v/>
      </c>
      <c r="R833" s="5">
        <f>L833-Q833</f>
        <v/>
      </c>
      <c r="S833" s="6">
        <f>R833*4.7</f>
        <v/>
      </c>
      <c r="T833" s="7">
        <f>IF(L833&gt;0,R833/L833,0)</f>
        <v/>
      </c>
      <c r="U833" s="3" t="inlineStr">
        <is>
          <t>06/05/2026 12:14:53</t>
        </is>
      </c>
    </row>
    <row r="834">
      <c r="A834" s="3" t="inlineStr">
        <is>
          <t>583884144092153752</t>
        </is>
      </c>
      <c r="B834" s="3" t="inlineStr">
        <is>
          <t>已完成</t>
        </is>
      </c>
      <c r="C834" s="3" t="inlineStr">
        <is>
          <t>C2</t>
        </is>
      </c>
      <c r="D834" s="3" t="inlineStr">
        <is>
          <t>魔芋笋2大袋</t>
        </is>
      </c>
      <c r="E8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4" s="3" t="inlineStr">
        <is>
          <t>รสเผ็ดหอม​, 20 ซอง 400g</t>
        </is>
      </c>
      <c r="G834" s="6" t="n">
        <v>1</v>
      </c>
      <c r="H834" s="6" t="n">
        <v>100</v>
      </c>
      <c r="I834" s="6" t="n">
        <v>25</v>
      </c>
      <c r="J834" s="6" t="n">
        <v>38</v>
      </c>
      <c r="K834" s="6">
        <f>H834+I834</f>
        <v/>
      </c>
      <c r="L834" s="5">
        <f>K834/4.7</f>
        <v/>
      </c>
      <c r="M834" s="6" t="n">
        <v>13.4</v>
      </c>
      <c r="N834" s="6" t="n">
        <v>1</v>
      </c>
      <c r="O834" s="6">
        <f>(K834*0.1229+1.05)/4.7</f>
        <v/>
      </c>
      <c r="P834" s="6">
        <f>K834*0.0749/4.7</f>
        <v/>
      </c>
      <c r="Q834" s="5">
        <f>M834+N834+O834+P834</f>
        <v/>
      </c>
      <c r="R834" s="5">
        <f>L834-Q834</f>
        <v/>
      </c>
      <c r="S834" s="6">
        <f>R834*4.7</f>
        <v/>
      </c>
      <c r="T834" s="7">
        <f>IF(L834&gt;0,R834/L834,0)</f>
        <v/>
      </c>
      <c r="U834" s="3" t="inlineStr">
        <is>
          <t>06/05/2026 09:49:45</t>
        </is>
      </c>
    </row>
    <row r="835">
      <c r="A835" s="3" t="inlineStr">
        <is>
          <t>583883976919320012</t>
        </is>
      </c>
      <c r="B835" s="3" t="inlineStr">
        <is>
          <t>已完成</t>
        </is>
      </c>
      <c r="C835" s="3" t="inlineStr">
        <is>
          <t>C2</t>
        </is>
      </c>
      <c r="D835" s="3" t="inlineStr">
        <is>
          <t>魔芋笋2大袋</t>
        </is>
      </c>
      <c r="E8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5" s="3" t="inlineStr">
        <is>
          <t>รสเผ็ดหอม​, 20 ซอง 400g</t>
        </is>
      </c>
      <c r="G835" s="6" t="n">
        <v>1</v>
      </c>
      <c r="H835" s="6" t="n">
        <v>120</v>
      </c>
      <c r="I835" s="6" t="n">
        <v>0</v>
      </c>
      <c r="J835" s="6" t="n">
        <v>38</v>
      </c>
      <c r="K835" s="6">
        <f>H835+I835</f>
        <v/>
      </c>
      <c r="L835" s="5">
        <f>K835/4.7</f>
        <v/>
      </c>
      <c r="M835" s="6" t="n">
        <v>13.4</v>
      </c>
      <c r="N835" s="6" t="n">
        <v>1</v>
      </c>
      <c r="O835" s="6">
        <f>(K835*0.1229+1.05)/4.7</f>
        <v/>
      </c>
      <c r="P835" s="6">
        <f>K835*0.0749/4.7</f>
        <v/>
      </c>
      <c r="Q835" s="5">
        <f>M835+N835+O835+P835</f>
        <v/>
      </c>
      <c r="R835" s="5">
        <f>L835-Q835</f>
        <v/>
      </c>
      <c r="S835" s="6">
        <f>R835*4.7</f>
        <v/>
      </c>
      <c r="T835" s="7">
        <f>IF(L835&gt;0,R835/L835,0)</f>
        <v/>
      </c>
      <c r="U835" s="3" t="inlineStr">
        <is>
          <t>06/05/2026 09:36:55</t>
        </is>
      </c>
    </row>
    <row r="836">
      <c r="A836" s="3" t="inlineStr">
        <is>
          <t>583882760408238061</t>
        </is>
      </c>
      <c r="B836" s="3" t="inlineStr">
        <is>
          <t>已完成</t>
        </is>
      </c>
      <c r="C836" s="3" t="inlineStr">
        <is>
          <t>C2</t>
        </is>
      </c>
      <c r="D836" s="3" t="inlineStr">
        <is>
          <t>魔芋笋2大袋</t>
        </is>
      </c>
      <c r="E8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6" s="3" t="inlineStr">
        <is>
          <t>รสเผ็ดหอม​, 20 ซอง 400g</t>
        </is>
      </c>
      <c r="G836" s="6" t="n">
        <v>1</v>
      </c>
      <c r="H836" s="6" t="n">
        <v>121</v>
      </c>
      <c r="I836" s="6" t="n">
        <v>0</v>
      </c>
      <c r="J836" s="6" t="n">
        <v>38</v>
      </c>
      <c r="K836" s="6">
        <f>H836+I836</f>
        <v/>
      </c>
      <c r="L836" s="5">
        <f>K836/4.7</f>
        <v/>
      </c>
      <c r="M836" s="6" t="n">
        <v>13.4</v>
      </c>
      <c r="N836" s="6" t="n">
        <v>1</v>
      </c>
      <c r="O836" s="6">
        <f>(K836*0.1229+1.05)/4.7</f>
        <v/>
      </c>
      <c r="P836" s="6">
        <f>K836*0.0749/4.7</f>
        <v/>
      </c>
      <c r="Q836" s="5">
        <f>M836+N836+O836+P836</f>
        <v/>
      </c>
      <c r="R836" s="5">
        <f>L836-Q836</f>
        <v/>
      </c>
      <c r="S836" s="6">
        <f>R836*4.7</f>
        <v/>
      </c>
      <c r="T836" s="7">
        <f>IF(L836&gt;0,R836/L836,0)</f>
        <v/>
      </c>
      <c r="U836" s="3" t="inlineStr">
        <is>
          <t>06/05/2026 07:50:47</t>
        </is>
      </c>
    </row>
    <row r="837">
      <c r="A837" s="3" t="inlineStr">
        <is>
          <t>583880882296686564</t>
        </is>
      </c>
      <c r="B837" s="3" t="inlineStr">
        <is>
          <t>已完成</t>
        </is>
      </c>
      <c r="C837" s="3" t="inlineStr">
        <is>
          <t>C5s</t>
        </is>
      </c>
      <c r="D837" s="3" t="inlineStr">
        <is>
          <t>香辣味魔芋笋5小袋</t>
        </is>
      </c>
      <c r="E8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7" s="3" t="inlineStr">
        <is>
          <t>รสเผ็ดหอม​, 5 ซอง 100g</t>
        </is>
      </c>
      <c r="G837" s="6" t="n">
        <v>1</v>
      </c>
      <c r="H837" s="6" t="n">
        <v>42.77</v>
      </c>
      <c r="I837" s="6" t="n">
        <v>4.23</v>
      </c>
      <c r="J837" s="6" t="n">
        <v>38</v>
      </c>
      <c r="K837" s="6">
        <f>H837+I837</f>
        <v/>
      </c>
      <c r="L837" s="5">
        <f>K837/4.7</f>
        <v/>
      </c>
      <c r="M837" s="6" t="n">
        <v>3.35</v>
      </c>
      <c r="N837" s="6" t="n">
        <v>1</v>
      </c>
      <c r="O837" s="6">
        <f>(K837*0.1229+1.05)/4.7</f>
        <v/>
      </c>
      <c r="P837" s="6">
        <f>K837*0.0749/4.7</f>
        <v/>
      </c>
      <c r="Q837" s="5">
        <f>M837+N837+O837+P837</f>
        <v/>
      </c>
      <c r="R837" s="5">
        <f>L837-Q837</f>
        <v/>
      </c>
      <c r="S837" s="6">
        <f>R837*4.7</f>
        <v/>
      </c>
      <c r="T837" s="7">
        <f>IF(L837&gt;0,R837/L837,0)</f>
        <v/>
      </c>
      <c r="U837" s="3" t="inlineStr">
        <is>
          <t>06/05/2026 02:17:18</t>
        </is>
      </c>
    </row>
    <row r="838">
      <c r="A838" s="3" t="inlineStr">
        <is>
          <t>583879520691128102</t>
        </is>
      </c>
      <c r="B838" s="3" t="inlineStr">
        <is>
          <t>已完成</t>
        </is>
      </c>
      <c r="C838" s="3" t="inlineStr">
        <is>
          <t>C1</t>
        </is>
      </c>
      <c r="D838" s="3" t="inlineStr">
        <is>
          <t>魔芋笋1大袋</t>
        </is>
      </c>
      <c r="E8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8" s="3" t="inlineStr">
        <is>
          <t>รสเผ็ดหอม​, 10 ซอง 200g</t>
        </is>
      </c>
      <c r="G838" s="6" t="n">
        <v>1</v>
      </c>
      <c r="H838" s="6" t="n">
        <v>69</v>
      </c>
      <c r="I838" s="6" t="n">
        <v>0</v>
      </c>
      <c r="J838" s="6" t="n">
        <v>38</v>
      </c>
      <c r="K838" s="6">
        <f>H838+I838</f>
        <v/>
      </c>
      <c r="L838" s="5">
        <f>K838/4.7</f>
        <v/>
      </c>
      <c r="M838" s="6" t="n">
        <v>6.699999999999999</v>
      </c>
      <c r="N838" s="6" t="n">
        <v>1</v>
      </c>
      <c r="O838" s="6">
        <f>(K838*0.1229+1.05)/4.7</f>
        <v/>
      </c>
      <c r="P838" s="6">
        <f>K838*0.0749/4.7</f>
        <v/>
      </c>
      <c r="Q838" s="5">
        <f>M838+N838+O838+P838</f>
        <v/>
      </c>
      <c r="R838" s="5">
        <f>L838-Q838</f>
        <v/>
      </c>
      <c r="S838" s="6">
        <f>R838*4.7</f>
        <v/>
      </c>
      <c r="T838" s="7">
        <f>IF(L838&gt;0,R838/L838,0)</f>
        <v/>
      </c>
      <c r="U838" s="3" t="inlineStr">
        <is>
          <t>05/05/2026 23:19:28</t>
        </is>
      </c>
    </row>
    <row r="839">
      <c r="A839" s="3" t="inlineStr">
        <is>
          <t>583879220633372205</t>
        </is>
      </c>
      <c r="B839" s="3" t="inlineStr">
        <is>
          <t>已完成</t>
        </is>
      </c>
      <c r="C839" s="3" t="inlineStr">
        <is>
          <t>ER-A</t>
        </is>
      </c>
      <c r="D839" s="3" t="inlineStr">
        <is>
          <t>广州酒家传统鸡蛋卷454g</t>
        </is>
      </c>
      <c r="E839" s="3" t="inlineStr">
        <is>
          <t>Egg Roll 2สูตร ทองม้วนไข่กล่องเหล็กพรีเมี่ยม!! GuangZhou Restaurant 454g/480g กล่องล่ะ 24 แท่ง</t>
        </is>
      </c>
      <c r="F839" s="3" t="inlineStr">
        <is>
          <t>Traditional สูตรดั้งเดิม ไข่ล้วน</t>
        </is>
      </c>
      <c r="G839" s="6" t="n">
        <v>1</v>
      </c>
      <c r="H839" s="6" t="n">
        <v>300</v>
      </c>
      <c r="I839" s="6" t="n">
        <v>40</v>
      </c>
      <c r="J839" s="6" t="n">
        <v>38</v>
      </c>
      <c r="K839" s="6">
        <f>H839+I839</f>
        <v/>
      </c>
      <c r="L839" s="5">
        <f>K839/4.7</f>
        <v/>
      </c>
      <c r="M839" s="6" t="n">
        <v>40.25338607190941</v>
      </c>
      <c r="N839" s="6" t="n">
        <v>2</v>
      </c>
      <c r="O839" s="6">
        <f>(K839*0.1229+1.05)/4.7</f>
        <v/>
      </c>
      <c r="P839" s="6">
        <f>K839*0.0749/4.7</f>
        <v/>
      </c>
      <c r="Q839" s="5">
        <f>M839+N839+O839+P839</f>
        <v/>
      </c>
      <c r="R839" s="5">
        <f>L839-Q839</f>
        <v/>
      </c>
      <c r="S839" s="6">
        <f>R839*4.7</f>
        <v/>
      </c>
      <c r="T839" s="7">
        <f>IF(L839&gt;0,R839/L839,0)</f>
        <v/>
      </c>
      <c r="U839" s="3" t="inlineStr">
        <is>
          <t>05/05/2026 23:02:57</t>
        </is>
      </c>
    </row>
    <row r="840">
      <c r="A840" s="3" t="inlineStr">
        <is>
          <t>583879149692880432</t>
        </is>
      </c>
      <c r="B840" s="3" t="inlineStr">
        <is>
          <t>已完成</t>
        </is>
      </c>
      <c r="C840" s="3" t="inlineStr">
        <is>
          <t>ER-A</t>
        </is>
      </c>
      <c r="D840" s="3" t="inlineStr">
        <is>
          <t>广州酒家传统鸡蛋卷454g</t>
        </is>
      </c>
      <c r="E840" s="3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F840" s="3" t="inlineStr">
        <is>
          <t>ค่าเริ่มต้น</t>
        </is>
      </c>
      <c r="G840" s="6" t="n">
        <v>1</v>
      </c>
      <c r="H840" s="6" t="n">
        <v>295.5</v>
      </c>
      <c r="I840" s="6" t="n">
        <v>39.4</v>
      </c>
      <c r="J840" s="6" t="n">
        <v>38</v>
      </c>
      <c r="K840" s="6">
        <f>H840+I840</f>
        <v/>
      </c>
      <c r="L840" s="5">
        <f>K840/4.7</f>
        <v/>
      </c>
      <c r="M840" s="6" t="n">
        <v>40.25338607190941</v>
      </c>
      <c r="N840" s="6" t="n">
        <v>2</v>
      </c>
      <c r="O840" s="6">
        <f>(K840*0.1229+1.05)/4.7</f>
        <v/>
      </c>
      <c r="P840" s="6">
        <f>K840*0.0749/4.7</f>
        <v/>
      </c>
      <c r="Q840" s="5">
        <f>M840+N840+O840+P840</f>
        <v/>
      </c>
      <c r="R840" s="5">
        <f>L840-Q840</f>
        <v/>
      </c>
      <c r="S840" s="6">
        <f>R840*4.7</f>
        <v/>
      </c>
      <c r="T840" s="7">
        <f>IF(L840&gt;0,R840/L840,0)</f>
        <v/>
      </c>
      <c r="U840" s="3" t="inlineStr">
        <is>
          <t>05/05/2026 22:55:23</t>
        </is>
      </c>
    </row>
    <row r="841">
      <c r="A841" s="3" t="inlineStr">
        <is>
          <t>583877316268492154</t>
        </is>
      </c>
      <c r="B841" s="3" t="inlineStr">
        <is>
          <t>已完成</t>
        </is>
      </c>
      <c r="C841" s="3" t="inlineStr">
        <is>
          <t>C5s</t>
        </is>
      </c>
      <c r="D841" s="3" t="inlineStr">
        <is>
          <t>香辣味魔芋笋5小袋</t>
        </is>
      </c>
      <c r="E8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1" s="3" t="inlineStr">
        <is>
          <t>รสเผ็ดหอม​, 5 ซอง 100g</t>
        </is>
      </c>
      <c r="G841" s="6" t="n">
        <v>1</v>
      </c>
      <c r="H841" s="6" t="n">
        <v>104</v>
      </c>
      <c r="I841" s="6" t="n">
        <v>0</v>
      </c>
      <c r="J841" s="6" t="n">
        <v>38</v>
      </c>
      <c r="K841" s="6">
        <f>H841+I841</f>
        <v/>
      </c>
      <c r="L841" s="5">
        <f>K841/4.7</f>
        <v/>
      </c>
      <c r="M841" s="6" t="n">
        <v>3.35</v>
      </c>
      <c r="N841" s="6" t="n">
        <v>1</v>
      </c>
      <c r="O841" s="6">
        <f>(K841*0.1229+1.05)/4.7</f>
        <v/>
      </c>
      <c r="P841" s="6">
        <f>K841*0.0749/4.7</f>
        <v/>
      </c>
      <c r="Q841" s="5">
        <f>M841+N841+O841+P841</f>
        <v/>
      </c>
      <c r="R841" s="5">
        <f>L841-Q841</f>
        <v/>
      </c>
      <c r="S841" s="6">
        <f>R841*4.7</f>
        <v/>
      </c>
      <c r="T841" s="7">
        <f>IF(L841&gt;0,R841/L841,0)</f>
        <v/>
      </c>
      <c r="U841" s="3" t="inlineStr">
        <is>
          <t>05/05/2026 21:08:29</t>
        </is>
      </c>
    </row>
    <row r="842">
      <c r="A842" s="3" t="inlineStr">
        <is>
          <t>583877316268492154</t>
        </is>
      </c>
      <c r="B842" s="3" t="inlineStr">
        <is>
          <t>已完成</t>
        </is>
      </c>
      <c r="C842" s="3" t="inlineStr">
        <is>
          <t>B5s</t>
        </is>
      </c>
      <c r="D842" s="3" t="inlineStr">
        <is>
          <t>酸辣味5小袋</t>
        </is>
      </c>
      <c r="E8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2" s="3" t="inlineStr">
        <is>
          <t>รสเปรี้ยวเผ็ด​, 5 ซอง 100g</t>
        </is>
      </c>
      <c r="G842" s="6" t="n">
        <v>1</v>
      </c>
      <c r="H842" s="6" t="n">
        <v>104</v>
      </c>
      <c r="I842" s="6" t="n">
        <v>0</v>
      </c>
      <c r="J842" s="6" t="n">
        <v>38</v>
      </c>
      <c r="K842" s="6">
        <f>H842+I842</f>
        <v/>
      </c>
      <c r="L842" s="5">
        <f>K842/4.7</f>
        <v/>
      </c>
      <c r="M842" s="6" t="n">
        <v>3.35</v>
      </c>
      <c r="N842" s="6" t="n">
        <v>1</v>
      </c>
      <c r="O842" s="6">
        <f>(K842*0.1229+1.05)/4.7</f>
        <v/>
      </c>
      <c r="P842" s="6">
        <f>K842*0.0749/4.7</f>
        <v/>
      </c>
      <c r="Q842" s="5">
        <f>M842+N842+O842+P842</f>
        <v/>
      </c>
      <c r="R842" s="5">
        <f>L842-Q842</f>
        <v/>
      </c>
      <c r="S842" s="6">
        <f>R842*4.7</f>
        <v/>
      </c>
      <c r="T842" s="7">
        <f>IF(L842&gt;0,R842/L842,0)</f>
        <v/>
      </c>
      <c r="U842" s="3" t="inlineStr">
        <is>
          <t>05/05/2026 21:08:29</t>
        </is>
      </c>
    </row>
    <row r="843">
      <c r="A843" s="3" t="inlineStr">
        <is>
          <t>583877170209457530</t>
        </is>
      </c>
      <c r="B843" s="3" t="inlineStr">
        <is>
          <t>已取消</t>
        </is>
      </c>
      <c r="C843" s="3" t="inlineStr">
        <is>
          <t>C1</t>
        </is>
      </c>
      <c r="D843" s="3" t="inlineStr">
        <is>
          <t>魔芋笋1大袋</t>
        </is>
      </c>
      <c r="E8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3" s="3" t="inlineStr">
        <is>
          <t>รสเผ็ดหอม​, 10 ซอง 200g</t>
        </is>
      </c>
      <c r="G843" s="6" t="n">
        <v>1</v>
      </c>
      <c r="H843" s="6" t="n">
        <v>143</v>
      </c>
      <c r="I843" s="6" t="n">
        <v>0</v>
      </c>
      <c r="J843" s="6" t="n">
        <v>38</v>
      </c>
      <c r="K843" s="6">
        <f>H843+I843</f>
        <v/>
      </c>
      <c r="L843" s="5">
        <f>K843/4.7</f>
        <v/>
      </c>
      <c r="M843" s="6" t="n">
        <v>6.699999999999999</v>
      </c>
      <c r="N843" s="6" t="n">
        <v>1</v>
      </c>
      <c r="O843" s="6">
        <f>(K843*0.1229+1.05)/4.7</f>
        <v/>
      </c>
      <c r="P843" s="6">
        <f>K843*0.0749/4.7</f>
        <v/>
      </c>
      <c r="Q843" s="5">
        <f>M843+N843+O843+P843</f>
        <v/>
      </c>
      <c r="R843" s="5">
        <f>L843-Q843</f>
        <v/>
      </c>
      <c r="S843" s="6">
        <f>R843*4.7</f>
        <v/>
      </c>
      <c r="T843" s="7">
        <f>IF(L843&gt;0,R843/L843,0)</f>
        <v/>
      </c>
      <c r="U843" s="3" t="inlineStr">
        <is>
          <t>05/05/2026 21:02:27</t>
        </is>
      </c>
    </row>
    <row r="844">
      <c r="A844" s="3" t="inlineStr">
        <is>
          <t>583877170209457530</t>
        </is>
      </c>
      <c r="B844" s="3" t="inlineStr">
        <is>
          <t>已取消</t>
        </is>
      </c>
      <c r="C844" s="3" t="inlineStr">
        <is>
          <t>B1</t>
        </is>
      </c>
      <c r="D844" s="3" t="inlineStr">
        <is>
          <t>魔芋笋1大袋</t>
        </is>
      </c>
      <c r="E8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4" s="3" t="inlineStr">
        <is>
          <t>รสเปรี้ยวเผ็ด​, 10 ซอง 200g</t>
        </is>
      </c>
      <c r="G844" s="6" t="n">
        <v>1</v>
      </c>
      <c r="H844" s="6" t="n">
        <v>143</v>
      </c>
      <c r="I844" s="6" t="n">
        <v>0</v>
      </c>
      <c r="J844" s="6" t="n">
        <v>38</v>
      </c>
      <c r="K844" s="6">
        <f>H844+I844</f>
        <v/>
      </c>
      <c r="L844" s="5">
        <f>K844/4.7</f>
        <v/>
      </c>
      <c r="M844" s="6" t="n">
        <v>6.699999999999999</v>
      </c>
      <c r="N844" s="6" t="n">
        <v>1</v>
      </c>
      <c r="O844" s="6">
        <f>(K844*0.1229+1.05)/4.7</f>
        <v/>
      </c>
      <c r="P844" s="6">
        <f>K844*0.0749/4.7</f>
        <v/>
      </c>
      <c r="Q844" s="5">
        <f>M844+N844+O844+P844</f>
        <v/>
      </c>
      <c r="R844" s="5">
        <f>L844-Q844</f>
        <v/>
      </c>
      <c r="S844" s="6">
        <f>R844*4.7</f>
        <v/>
      </c>
      <c r="T844" s="7">
        <f>IF(L844&gt;0,R844/L844,0)</f>
        <v/>
      </c>
      <c r="U844" s="3" t="inlineStr">
        <is>
          <t>05/05/2026 21:02:27</t>
        </is>
      </c>
    </row>
    <row r="845">
      <c r="A845" s="3" t="inlineStr">
        <is>
          <t>583875725860964107</t>
        </is>
      </c>
      <c r="B845" s="3" t="inlineStr">
        <is>
          <t>已完成</t>
        </is>
      </c>
      <c r="C845" s="3" t="inlineStr">
        <is>
          <t>ER-B</t>
        </is>
      </c>
      <c r="D845" s="3" t="inlineStr">
        <is>
          <t>广州酒家黄油鸡蛋卷480g</t>
        </is>
      </c>
      <c r="E845" s="3" t="inlineStr">
        <is>
          <t>Egg Roll 2สูตร ทองม้วนไข่กล่องเหล็กพรีเมี่ยม!! GuangZhou Restaurant 454g/480g กล่องล่ะ 24 แท่ง</t>
        </is>
      </c>
      <c r="F845" s="3" t="inlineStr">
        <is>
          <t>Butter สูตรเนยสด พรีเมี่ยม</t>
        </is>
      </c>
      <c r="G845" s="6" t="n">
        <v>1</v>
      </c>
      <c r="H845" s="6" t="n">
        <v>805</v>
      </c>
      <c r="I845" s="6" t="n">
        <v>0</v>
      </c>
      <c r="J845" s="6" t="n">
        <v>34</v>
      </c>
      <c r="K845" s="6">
        <f>H845+I845</f>
        <v/>
      </c>
      <c r="L845" s="5">
        <f>K845/4.7</f>
        <v/>
      </c>
      <c r="M845" s="6" t="n">
        <v>45.49882436351998</v>
      </c>
      <c r="N845" s="6" t="n">
        <v>2</v>
      </c>
      <c r="O845" s="6">
        <f>(K845*0.1229+1.05)/4.7</f>
        <v/>
      </c>
      <c r="P845" s="6">
        <f>K845*0.0749/4.7</f>
        <v/>
      </c>
      <c r="Q845" s="5">
        <f>M845+N845+O845+P845</f>
        <v/>
      </c>
      <c r="R845" s="5">
        <f>L845-Q845</f>
        <v/>
      </c>
      <c r="S845" s="6">
        <f>R845*4.7</f>
        <v/>
      </c>
      <c r="T845" s="7">
        <f>IF(L845&gt;0,R845/L845,0)</f>
        <v/>
      </c>
      <c r="U845" s="3" t="inlineStr">
        <is>
          <t>05/05/2026 19:54:09</t>
        </is>
      </c>
    </row>
    <row r="846">
      <c r="A846" s="3" t="inlineStr">
        <is>
          <t>583875725860964107</t>
        </is>
      </c>
      <c r="B846" s="3" t="inlineStr">
        <is>
          <t>已完成</t>
        </is>
      </c>
      <c r="C846" s="3" t="inlineStr">
        <is>
          <t>ER-A</t>
        </is>
      </c>
      <c r="D846" s="3" t="inlineStr">
        <is>
          <t>广州酒家传统鸡蛋卷454g</t>
        </is>
      </c>
      <c r="E846" s="3" t="inlineStr">
        <is>
          <t>Egg Roll 2สูตร ทองม้วนไข่กล่องเหล็กพรีเมี่ยม!! GuangZhou Restaurant 454g/480g กล่องล่ะ 24 แท่ง</t>
        </is>
      </c>
      <c r="F846" s="3" t="inlineStr">
        <is>
          <t>Traditional สูตรดั้งเดิม ไข่ล้วน</t>
        </is>
      </c>
      <c r="G846" s="6" t="n">
        <v>1</v>
      </c>
      <c r="H846" s="6" t="n">
        <v>805</v>
      </c>
      <c r="I846" s="6" t="n">
        <v>0</v>
      </c>
      <c r="J846" s="6" t="n">
        <v>34</v>
      </c>
      <c r="K846" s="6">
        <f>H846+I846</f>
        <v/>
      </c>
      <c r="L846" s="5">
        <f>K846/4.7</f>
        <v/>
      </c>
      <c r="M846" s="6" t="n">
        <v>40.25338607190941</v>
      </c>
      <c r="N846" s="6" t="n">
        <v>2</v>
      </c>
      <c r="O846" s="6">
        <f>(K846*0.1229+1.05)/4.7</f>
        <v/>
      </c>
      <c r="P846" s="6">
        <f>K846*0.0749/4.7</f>
        <v/>
      </c>
      <c r="Q846" s="5">
        <f>M846+N846+O846+P846</f>
        <v/>
      </c>
      <c r="R846" s="5">
        <f>L846-Q846</f>
        <v/>
      </c>
      <c r="S846" s="6">
        <f>R846*4.7</f>
        <v/>
      </c>
      <c r="T846" s="7">
        <f>IF(L846&gt;0,R846/L846,0)</f>
        <v/>
      </c>
      <c r="U846" s="3" t="inlineStr">
        <is>
          <t>05/05/2026 19:54:09</t>
        </is>
      </c>
    </row>
    <row r="847">
      <c r="A847" s="3" t="inlineStr">
        <is>
          <t>583875440190457515</t>
        </is>
      </c>
      <c r="B847" s="3" t="inlineStr">
        <is>
          <t>已完成</t>
        </is>
      </c>
      <c r="C847" s="3" t="inlineStr">
        <is>
          <t>B1</t>
        </is>
      </c>
      <c r="D847" s="3" t="inlineStr">
        <is>
          <t>魔芋笋1大袋</t>
        </is>
      </c>
      <c r="E8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7" s="3" t="inlineStr">
        <is>
          <t>รสเปรี้ยวเผ็ด​, 10 ซอง 200g</t>
        </is>
      </c>
      <c r="G847" s="6" t="n">
        <v>1</v>
      </c>
      <c r="H847" s="6" t="n">
        <v>69</v>
      </c>
      <c r="I847" s="6" t="n">
        <v>0</v>
      </c>
      <c r="J847" s="6" t="n">
        <v>35</v>
      </c>
      <c r="K847" s="6">
        <f>H847+I847</f>
        <v/>
      </c>
      <c r="L847" s="5">
        <f>K847/4.7</f>
        <v/>
      </c>
      <c r="M847" s="6" t="n">
        <v>6.699999999999999</v>
      </c>
      <c r="N847" s="6" t="n">
        <v>1</v>
      </c>
      <c r="O847" s="6">
        <f>(K847*0.1229+1.05)/4.7</f>
        <v/>
      </c>
      <c r="P847" s="6">
        <f>K847*0.0749/4.7</f>
        <v/>
      </c>
      <c r="Q847" s="5">
        <f>M847+N847+O847+P847</f>
        <v/>
      </c>
      <c r="R847" s="5">
        <f>L847-Q847</f>
        <v/>
      </c>
      <c r="S847" s="6">
        <f>R847*4.7</f>
        <v/>
      </c>
      <c r="T847" s="7">
        <f>IF(L847&gt;0,R847/L847,0)</f>
        <v/>
      </c>
      <c r="U847" s="3" t="inlineStr">
        <is>
          <t>05/05/2026 19:29:08</t>
        </is>
      </c>
    </row>
    <row r="848">
      <c r="A848" s="3" t="inlineStr">
        <is>
          <t>583873965985662825</t>
        </is>
      </c>
      <c r="B848" s="3" t="inlineStr">
        <is>
          <t>已完成</t>
        </is>
      </c>
      <c r="C848" s="3" t="inlineStr">
        <is>
          <t>CK</t>
        </is>
      </c>
      <c r="D848" s="3" t="inlineStr">
        <is>
          <t>黑松露黑麦苏打饼干</t>
        </is>
      </c>
      <c r="E84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48" s="3" t="inlineStr">
        <is>
          <t>ค่าเริ่มต้น</t>
        </is>
      </c>
      <c r="G848" s="6" t="n">
        <v>1</v>
      </c>
      <c r="H848" s="6" t="n">
        <v>81.25</v>
      </c>
      <c r="I848" s="6" t="n">
        <v>43.75</v>
      </c>
      <c r="J848" s="6" t="n">
        <v>29</v>
      </c>
      <c r="K848" s="6">
        <f>H848+I848</f>
        <v/>
      </c>
      <c r="L848" s="5">
        <f>K848/4.7</f>
        <v/>
      </c>
      <c r="M848" s="6" t="n">
        <v>10.72665050209467</v>
      </c>
      <c r="N848" s="6" t="n">
        <v>1</v>
      </c>
      <c r="O848" s="6">
        <f>(K848*0.1229+1.05)/4.7</f>
        <v/>
      </c>
      <c r="P848" s="6">
        <f>K848*0.0749/4.7</f>
        <v/>
      </c>
      <c r="Q848" s="5">
        <f>M848+N848+O848+P848</f>
        <v/>
      </c>
      <c r="R848" s="5">
        <f>L848-Q848</f>
        <v/>
      </c>
      <c r="S848" s="6">
        <f>R848*4.7</f>
        <v/>
      </c>
      <c r="T848" s="7">
        <f>IF(L848&gt;0,R848/L848,0)</f>
        <v/>
      </c>
      <c r="U848" s="3" t="inlineStr">
        <is>
          <t>05/05/2026 18:08:26</t>
        </is>
      </c>
    </row>
    <row r="849">
      <c r="A849" s="3" t="inlineStr">
        <is>
          <t>583873899636688814</t>
        </is>
      </c>
      <c r="B849" s="3" t="inlineStr">
        <is>
          <t>已取消</t>
        </is>
      </c>
      <c r="C849" s="3" t="inlineStr">
        <is>
          <t>B1</t>
        </is>
      </c>
      <c r="D849" s="3" t="inlineStr">
        <is>
          <t>魔芋笋1大袋</t>
        </is>
      </c>
      <c r="E8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9" s="3" t="inlineStr">
        <is>
          <t>รสเปรี้ยวเผ็ด​, 10 ซอง 200g</t>
        </is>
      </c>
      <c r="G849" s="6" t="n">
        <v>1</v>
      </c>
      <c r="H849" s="6" t="n">
        <v>69</v>
      </c>
      <c r="I849" s="6" t="n">
        <v>0</v>
      </c>
      <c r="J849" s="6" t="n">
        <v>38</v>
      </c>
      <c r="K849" s="6">
        <f>H849+I849</f>
        <v/>
      </c>
      <c r="L849" s="5">
        <f>K849/4.7</f>
        <v/>
      </c>
      <c r="M849" s="6" t="n">
        <v>6.699999999999999</v>
      </c>
      <c r="N849" s="6" t="n">
        <v>1</v>
      </c>
      <c r="O849" s="6">
        <f>(K849*0.1229+1.05)/4.7</f>
        <v/>
      </c>
      <c r="P849" s="6">
        <f>K849*0.0749/4.7</f>
        <v/>
      </c>
      <c r="Q849" s="5">
        <f>M849+N849+O849+P849</f>
        <v/>
      </c>
      <c r="R849" s="5">
        <f>L849-Q849</f>
        <v/>
      </c>
      <c r="S849" s="6">
        <f>R849*4.7</f>
        <v/>
      </c>
      <c r="T849" s="7">
        <f>IF(L849&gt;0,R849/L849,0)</f>
        <v/>
      </c>
      <c r="U849" s="3" t="inlineStr">
        <is>
          <t>05/05/2026 18:02:19</t>
        </is>
      </c>
    </row>
    <row r="850">
      <c r="A850" s="3" t="inlineStr">
        <is>
          <t>583873725181363952</t>
        </is>
      </c>
      <c r="B850" s="3" t="inlineStr">
        <is>
          <t>已完成</t>
        </is>
      </c>
      <c r="C850" s="3" t="inlineStr">
        <is>
          <t>C2</t>
        </is>
      </c>
      <c r="D850" s="3" t="inlineStr">
        <is>
          <t>魔芋笋2大袋</t>
        </is>
      </c>
      <c r="E8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0" s="3" t="inlineStr">
        <is>
          <t>รสเผ็ดหอม​, 20 ซอง 400g</t>
        </is>
      </c>
      <c r="G850" s="6" t="n">
        <v>1</v>
      </c>
      <c r="H850" s="6" t="n">
        <v>245</v>
      </c>
      <c r="I850" s="6" t="n">
        <v>0</v>
      </c>
      <c r="J850" s="6" t="n">
        <v>48</v>
      </c>
      <c r="K850" s="6">
        <f>H850+I850</f>
        <v/>
      </c>
      <c r="L850" s="5">
        <f>K850/4.7</f>
        <v/>
      </c>
      <c r="M850" s="6" t="n">
        <v>13.4</v>
      </c>
      <c r="N850" s="6" t="n">
        <v>1</v>
      </c>
      <c r="O850" s="6">
        <f>(K850*0.1229+1.05)/4.7</f>
        <v/>
      </c>
      <c r="P850" s="6">
        <f>K850*0.0749/4.7</f>
        <v/>
      </c>
      <c r="Q850" s="5">
        <f>M850+N850+O850+P850</f>
        <v/>
      </c>
      <c r="R850" s="5">
        <f>L850-Q850</f>
        <v/>
      </c>
      <c r="S850" s="6">
        <f>R850*4.7</f>
        <v/>
      </c>
      <c r="T850" s="7">
        <f>IF(L850&gt;0,R850/L850,0)</f>
        <v/>
      </c>
      <c r="U850" s="3" t="inlineStr">
        <is>
          <t>05/05/2026 17:50:29</t>
        </is>
      </c>
    </row>
    <row r="851">
      <c r="A851" s="3" t="inlineStr">
        <is>
          <t>583873725181363952</t>
        </is>
      </c>
      <c r="B851" s="3" t="inlineStr">
        <is>
          <t>已完成</t>
        </is>
      </c>
      <c r="C851" s="3" t="inlineStr">
        <is>
          <t>B2</t>
        </is>
      </c>
      <c r="D851" s="3" t="inlineStr">
        <is>
          <t>魔芋笋2大袋</t>
        </is>
      </c>
      <c r="E8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1" s="3" t="inlineStr">
        <is>
          <t>รสเปรี้ยวเผ็ด​, 20 ซอง 400g</t>
        </is>
      </c>
      <c r="G851" s="6" t="n">
        <v>1</v>
      </c>
      <c r="H851" s="6" t="n">
        <v>245</v>
      </c>
      <c r="I851" s="6" t="n">
        <v>0</v>
      </c>
      <c r="J851" s="6" t="n">
        <v>48</v>
      </c>
      <c r="K851" s="6">
        <f>H851+I851</f>
        <v/>
      </c>
      <c r="L851" s="5">
        <f>K851/4.7</f>
        <v/>
      </c>
      <c r="M851" s="6" t="n">
        <v>13.4</v>
      </c>
      <c r="N851" s="6" t="n">
        <v>1</v>
      </c>
      <c r="O851" s="6">
        <f>(K851*0.1229+1.05)/4.7</f>
        <v/>
      </c>
      <c r="P851" s="6">
        <f>K851*0.0749/4.7</f>
        <v/>
      </c>
      <c r="Q851" s="5">
        <f>M851+N851+O851+P851</f>
        <v/>
      </c>
      <c r="R851" s="5">
        <f>L851-Q851</f>
        <v/>
      </c>
      <c r="S851" s="6">
        <f>R851*4.7</f>
        <v/>
      </c>
      <c r="T851" s="7">
        <f>IF(L851&gt;0,R851/L851,0)</f>
        <v/>
      </c>
      <c r="U851" s="3" t="inlineStr">
        <is>
          <t>05/05/2026 17:50:29</t>
        </is>
      </c>
    </row>
    <row r="852">
      <c r="A852" s="3" t="inlineStr">
        <is>
          <t>583873267671140174</t>
        </is>
      </c>
      <c r="B852" s="3" t="inlineStr">
        <is>
          <t>已完成</t>
        </is>
      </c>
      <c r="C852" s="3" t="inlineStr">
        <is>
          <t>ER-A</t>
        </is>
      </c>
      <c r="D852" s="3" t="inlineStr">
        <is>
          <t>广州酒家传统鸡蛋卷454g</t>
        </is>
      </c>
      <c r="E852" s="3" t="inlineStr">
        <is>
          <t>Egg Roll 2สูตร ทองม้วนไข่กล่องเหล็กพรีเมี่ยม!! GuangZhou Restaurant 454g/480g กล่องล่ะ 24 แท่ง</t>
        </is>
      </c>
      <c r="F852" s="3" t="inlineStr">
        <is>
          <t>Traditional สูตรดั้งเดิม ไข่ล้วน</t>
        </is>
      </c>
      <c r="G852" s="6" t="n">
        <v>1</v>
      </c>
      <c r="H852" s="6" t="n">
        <v>280</v>
      </c>
      <c r="I852" s="6" t="n">
        <v>60</v>
      </c>
      <c r="J852" s="6" t="n">
        <v>38</v>
      </c>
      <c r="K852" s="6">
        <f>H852+I852</f>
        <v/>
      </c>
      <c r="L852" s="5">
        <f>K852/4.7</f>
        <v/>
      </c>
      <c r="M852" s="6" t="n">
        <v>40.25338607190941</v>
      </c>
      <c r="N852" s="6" t="n">
        <v>2</v>
      </c>
      <c r="O852" s="6">
        <f>(K852*0.1229+1.05)/4.7</f>
        <v/>
      </c>
      <c r="P852" s="6">
        <f>K852*0.0749/4.7</f>
        <v/>
      </c>
      <c r="Q852" s="5">
        <f>M852+N852+O852+P852</f>
        <v/>
      </c>
      <c r="R852" s="5">
        <f>L852-Q852</f>
        <v/>
      </c>
      <c r="S852" s="6">
        <f>R852*4.7</f>
        <v/>
      </c>
      <c r="T852" s="7">
        <f>IF(L852&gt;0,R852/L852,0)</f>
        <v/>
      </c>
      <c r="U852" s="3" t="inlineStr">
        <is>
          <t>05/05/2026 17:23:17</t>
        </is>
      </c>
    </row>
    <row r="853">
      <c r="A853" s="3" t="inlineStr">
        <is>
          <t>583873271508337712</t>
        </is>
      </c>
      <c r="B853" s="3" t="inlineStr">
        <is>
          <t>已完成</t>
        </is>
      </c>
      <c r="C853" s="3" t="inlineStr">
        <is>
          <t>C5s</t>
        </is>
      </c>
      <c r="D853" s="3" t="inlineStr">
        <is>
          <t>香辣味魔芋笋5小袋</t>
        </is>
      </c>
      <c r="E8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3" s="3" t="inlineStr">
        <is>
          <t>รสเผ็ดหอม​, 5 ซอง 100g</t>
        </is>
      </c>
      <c r="G853" s="6" t="n">
        <v>1</v>
      </c>
      <c r="H853" s="6" t="n">
        <v>47</v>
      </c>
      <c r="I853" s="6" t="n">
        <v>0</v>
      </c>
      <c r="J853" s="6" t="n">
        <v>38</v>
      </c>
      <c r="K853" s="6">
        <f>H853+I853</f>
        <v/>
      </c>
      <c r="L853" s="5">
        <f>K853/4.7</f>
        <v/>
      </c>
      <c r="M853" s="6" t="n">
        <v>3.35</v>
      </c>
      <c r="N853" s="6" t="n">
        <v>1</v>
      </c>
      <c r="O853" s="6">
        <f>(K853*0.1229+1.05)/4.7</f>
        <v/>
      </c>
      <c r="P853" s="6">
        <f>K853*0.0749/4.7</f>
        <v/>
      </c>
      <c r="Q853" s="5">
        <f>M853+N853+O853+P853</f>
        <v/>
      </c>
      <c r="R853" s="5">
        <f>L853-Q853</f>
        <v/>
      </c>
      <c r="S853" s="6">
        <f>R853*4.7</f>
        <v/>
      </c>
      <c r="T853" s="7">
        <f>IF(L853&gt;0,R853/L853,0)</f>
        <v/>
      </c>
      <c r="U853" s="3" t="inlineStr">
        <is>
          <t>05/05/2026 17:16:54</t>
        </is>
      </c>
    </row>
    <row r="854">
      <c r="A854" s="3" t="inlineStr">
        <is>
          <t>583873046543566722</t>
        </is>
      </c>
      <c r="B854" s="3" t="inlineStr">
        <is>
          <t>已完成</t>
        </is>
      </c>
      <c r="C854" s="3" t="inlineStr">
        <is>
          <t>B5s</t>
        </is>
      </c>
      <c r="D854" s="3" t="inlineStr">
        <is>
          <t>酸辣味5小袋</t>
        </is>
      </c>
      <c r="E8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4" s="3" t="inlineStr">
        <is>
          <t>รสเปรี้ยวเผ็ด​, 5 ซอง 100g</t>
        </is>
      </c>
      <c r="G854" s="6" t="n">
        <v>1</v>
      </c>
      <c r="H854" s="6" t="n">
        <v>47</v>
      </c>
      <c r="I854" s="6" t="n">
        <v>0</v>
      </c>
      <c r="J854" s="6" t="n">
        <v>38</v>
      </c>
      <c r="K854" s="6">
        <f>H854+I854</f>
        <v/>
      </c>
      <c r="L854" s="5">
        <f>K854/4.7</f>
        <v/>
      </c>
      <c r="M854" s="6" t="n">
        <v>3.35</v>
      </c>
      <c r="N854" s="6" t="n">
        <v>1</v>
      </c>
      <c r="O854" s="6">
        <f>(K854*0.1229+1.05)/4.7</f>
        <v/>
      </c>
      <c r="P854" s="6">
        <f>K854*0.0749/4.7</f>
        <v/>
      </c>
      <c r="Q854" s="5">
        <f>M854+N854+O854+P854</f>
        <v/>
      </c>
      <c r="R854" s="5">
        <f>L854-Q854</f>
        <v/>
      </c>
      <c r="S854" s="6">
        <f>R854*4.7</f>
        <v/>
      </c>
      <c r="T854" s="7">
        <f>IF(L854&gt;0,R854/L854,0)</f>
        <v/>
      </c>
      <c r="U854" s="3" t="inlineStr">
        <is>
          <t>05/05/2026 17:05:49</t>
        </is>
      </c>
    </row>
    <row r="855">
      <c r="A855" s="3" t="inlineStr">
        <is>
          <t>583872837460788684</t>
        </is>
      </c>
      <c r="B855" s="3" t="inlineStr">
        <is>
          <t>已取消</t>
        </is>
      </c>
      <c r="C855" s="3" t="inlineStr">
        <is>
          <t>C2</t>
        </is>
      </c>
      <c r="D855" s="3" t="inlineStr">
        <is>
          <t>魔芋笋2大袋</t>
        </is>
      </c>
      <c r="E8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5" s="3" t="inlineStr">
        <is>
          <t>รสเผ็ดหอม​, 20 ซอง 400g</t>
        </is>
      </c>
      <c r="G855" s="6" t="n">
        <v>1</v>
      </c>
      <c r="H855" s="6" t="n">
        <v>120</v>
      </c>
      <c r="I855" s="6" t="n">
        <v>0</v>
      </c>
      <c r="J855" s="6" t="n">
        <v>38</v>
      </c>
      <c r="K855" s="6">
        <f>H855+I855</f>
        <v/>
      </c>
      <c r="L855" s="5">
        <f>K855/4.7</f>
        <v/>
      </c>
      <c r="M855" s="6" t="n">
        <v>13.4</v>
      </c>
      <c r="N855" s="6" t="n">
        <v>1</v>
      </c>
      <c r="O855" s="6">
        <f>(K855*0.1229+1.05)/4.7</f>
        <v/>
      </c>
      <c r="P855" s="6">
        <f>K855*0.0749/4.7</f>
        <v/>
      </c>
      <c r="Q855" s="5">
        <f>M855+N855+O855+P855</f>
        <v/>
      </c>
      <c r="R855" s="5">
        <f>L855-Q855</f>
        <v/>
      </c>
      <c r="S855" s="6">
        <f>R855*4.7</f>
        <v/>
      </c>
      <c r="T855" s="7">
        <f>IF(L855&gt;0,R855/L855,0)</f>
        <v/>
      </c>
      <c r="U855" s="3" t="inlineStr">
        <is>
          <t>05/05/2026 16:54:21</t>
        </is>
      </c>
    </row>
    <row r="856">
      <c r="A856" s="3" t="inlineStr">
        <is>
          <t>583872695014426024</t>
        </is>
      </c>
      <c r="B856" s="3" t="inlineStr">
        <is>
          <t>已完成</t>
        </is>
      </c>
      <c r="C856" s="3" t="inlineStr">
        <is>
          <t>C3</t>
        </is>
      </c>
      <c r="D856" s="3" t="inlineStr">
        <is>
          <t>魔芋笋3大袋</t>
        </is>
      </c>
      <c r="E8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6" s="3" t="inlineStr">
        <is>
          <t>รสเผ็ดหอม​, 30 ซอง 600g</t>
        </is>
      </c>
      <c r="G856" s="6" t="n">
        <v>1</v>
      </c>
      <c r="H856" s="6" t="n">
        <v>146.2</v>
      </c>
      <c r="I856" s="6" t="n">
        <v>25.8</v>
      </c>
      <c r="J856" s="6" t="n">
        <v>38</v>
      </c>
      <c r="K856" s="6">
        <f>H856+I856</f>
        <v/>
      </c>
      <c r="L856" s="5">
        <f>K856/4.7</f>
        <v/>
      </c>
      <c r="M856" s="6" t="n">
        <v>20.1</v>
      </c>
      <c r="N856" s="6" t="n">
        <v>1</v>
      </c>
      <c r="O856" s="6">
        <f>(K856*0.1229+1.05)/4.7</f>
        <v/>
      </c>
      <c r="P856" s="6">
        <f>K856*0.0749/4.7</f>
        <v/>
      </c>
      <c r="Q856" s="5">
        <f>M856+N856+O856+P856</f>
        <v/>
      </c>
      <c r="R856" s="5">
        <f>L856-Q856</f>
        <v/>
      </c>
      <c r="S856" s="6">
        <f>R856*4.7</f>
        <v/>
      </c>
      <c r="T856" s="7">
        <f>IF(L856&gt;0,R856/L856,0)</f>
        <v/>
      </c>
      <c r="U856" s="3" t="inlineStr">
        <is>
          <t>05/05/2026 16:41:01</t>
        </is>
      </c>
    </row>
    <row r="857">
      <c r="A857" s="3" t="inlineStr">
        <is>
          <t>583872617039299621</t>
        </is>
      </c>
      <c r="B857" s="3" t="inlineStr">
        <is>
          <t>已完成</t>
        </is>
      </c>
      <c r="C857" s="3" t="inlineStr">
        <is>
          <t>A2</t>
        </is>
      </c>
      <c r="D857" s="3" t="inlineStr">
        <is>
          <t>魔芋干2包</t>
        </is>
      </c>
      <c r="E85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857" s="3" t="inlineStr">
        <is>
          <t>20 ซอง 200g</t>
        </is>
      </c>
      <c r="G857" s="6" t="n">
        <v>1</v>
      </c>
      <c r="H857" s="6" t="n">
        <v>97</v>
      </c>
      <c r="I857" s="6" t="n">
        <v>0</v>
      </c>
      <c r="J857" s="6" t="n">
        <v>38</v>
      </c>
      <c r="K857" s="6">
        <f>H857+I857</f>
        <v/>
      </c>
      <c r="L857" s="5">
        <f>K857/4.7</f>
        <v/>
      </c>
      <c r="M857" s="6" t="n">
        <v>12.2</v>
      </c>
      <c r="N857" s="6" t="n">
        <v>0.5</v>
      </c>
      <c r="O857" s="6">
        <f>(K857*0.1229+1.05)/4.7</f>
        <v/>
      </c>
      <c r="P857" s="6">
        <f>K857*0.0749/4.7</f>
        <v/>
      </c>
      <c r="Q857" s="5">
        <f>M857+N857+O857+P857</f>
        <v/>
      </c>
      <c r="R857" s="5">
        <f>L857-Q857</f>
        <v/>
      </c>
      <c r="S857" s="6">
        <f>R857*4.7</f>
        <v/>
      </c>
      <c r="T857" s="7">
        <f>IF(L857&gt;0,R857/L857,0)</f>
        <v/>
      </c>
      <c r="U857" s="3" t="inlineStr">
        <is>
          <t>05/05/2026 16:36:26</t>
        </is>
      </c>
    </row>
    <row r="858">
      <c r="A858" s="3" t="inlineStr">
        <is>
          <t>583872573102392787</t>
        </is>
      </c>
      <c r="B858" s="3" t="inlineStr">
        <is>
          <t>已完成</t>
        </is>
      </c>
      <c r="C858" s="3" t="inlineStr">
        <is>
          <t>B2</t>
        </is>
      </c>
      <c r="D858" s="3" t="inlineStr">
        <is>
          <t>魔芋笋2大袋</t>
        </is>
      </c>
      <c r="E8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8" s="3" t="inlineStr">
        <is>
          <t>รสเปรี้ยวเผ็ด​, 20 ซอง 400g</t>
        </is>
      </c>
      <c r="G858" s="6" t="n">
        <v>3</v>
      </c>
      <c r="H858" s="6" t="n">
        <v>885.4</v>
      </c>
      <c r="I858" s="6" t="n">
        <v>41.1</v>
      </c>
      <c r="J858" s="6" t="n">
        <v>55</v>
      </c>
      <c r="K858" s="6">
        <f>H858+I858</f>
        <v/>
      </c>
      <c r="L858" s="5">
        <f>K858/4.7</f>
        <v/>
      </c>
      <c r="M858" s="6" t="n">
        <v>40.2</v>
      </c>
      <c r="N858" s="6" t="n">
        <v>1</v>
      </c>
      <c r="O858" s="6">
        <f>(K858*0.1229+1.05)/4.7</f>
        <v/>
      </c>
      <c r="P858" s="6">
        <f>K858*0.0749/4.7</f>
        <v/>
      </c>
      <c r="Q858" s="5">
        <f>M858+N858+O858+P858</f>
        <v/>
      </c>
      <c r="R858" s="5">
        <f>L858-Q858</f>
        <v/>
      </c>
      <c r="S858" s="6">
        <f>R858*4.7</f>
        <v/>
      </c>
      <c r="T858" s="7">
        <f>IF(L858&gt;0,R858/L858,0)</f>
        <v/>
      </c>
      <c r="U858" s="3" t="inlineStr">
        <is>
          <t>05/05/2026 16:32:24</t>
        </is>
      </c>
    </row>
    <row r="859">
      <c r="A859" s="3" t="inlineStr">
        <is>
          <t>583872573102392787</t>
        </is>
      </c>
      <c r="B859" s="3" t="inlineStr">
        <is>
          <t>已完成</t>
        </is>
      </c>
      <c r="C859" s="3" t="inlineStr">
        <is>
          <t>C2</t>
        </is>
      </c>
      <c r="D859" s="3" t="inlineStr">
        <is>
          <t>魔芋笋2大袋</t>
        </is>
      </c>
      <c r="E8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9" s="3" t="inlineStr">
        <is>
          <t>รสเผ็ดหอม​, 20 ซอง 400g</t>
        </is>
      </c>
      <c r="G859" s="6" t="n">
        <v>5</v>
      </c>
      <c r="H859" s="6" t="n">
        <v>885.4</v>
      </c>
      <c r="I859" s="6" t="n">
        <v>68.5</v>
      </c>
      <c r="J859" s="6" t="n">
        <v>55</v>
      </c>
      <c r="K859" s="6">
        <f>H859+I859</f>
        <v/>
      </c>
      <c r="L859" s="5">
        <f>K859/4.7</f>
        <v/>
      </c>
      <c r="M859" s="6" t="n">
        <v>67</v>
      </c>
      <c r="N859" s="6" t="n">
        <v>1</v>
      </c>
      <c r="O859" s="6">
        <f>(K859*0.1229+1.05)/4.7</f>
        <v/>
      </c>
      <c r="P859" s="6">
        <f>K859*0.0749/4.7</f>
        <v/>
      </c>
      <c r="Q859" s="5">
        <f>M859+N859+O859+P859</f>
        <v/>
      </c>
      <c r="R859" s="5">
        <f>L859-Q859</f>
        <v/>
      </c>
      <c r="S859" s="6">
        <f>R859*4.7</f>
        <v/>
      </c>
      <c r="T859" s="7">
        <f>IF(L859&gt;0,R859/L859,0)</f>
        <v/>
      </c>
      <c r="U859" s="3" t="inlineStr">
        <is>
          <t>05/05/2026 16:32:24</t>
        </is>
      </c>
    </row>
    <row r="860">
      <c r="A860" s="3" t="inlineStr">
        <is>
          <t>583872240929637800</t>
        </is>
      </c>
      <c r="B860" s="3" t="inlineStr">
        <is>
          <t>已取消</t>
        </is>
      </c>
      <c r="C860" s="3" t="inlineStr">
        <is>
          <t>C3</t>
        </is>
      </c>
      <c r="D860" s="3" t="inlineStr">
        <is>
          <t>魔芋笋3大袋</t>
        </is>
      </c>
      <c r="E8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0" s="3" t="inlineStr">
        <is>
          <t>รสเผ็ดหอม​, 30 ซอง 600g</t>
        </is>
      </c>
      <c r="G860" s="6" t="n">
        <v>1</v>
      </c>
      <c r="H860" s="6" t="n">
        <v>172</v>
      </c>
      <c r="I860" s="6" t="n">
        <v>0</v>
      </c>
      <c r="J860" s="6" t="n">
        <v>38</v>
      </c>
      <c r="K860" s="6">
        <f>H860+I860</f>
        <v/>
      </c>
      <c r="L860" s="5">
        <f>K860/4.7</f>
        <v/>
      </c>
      <c r="M860" s="6" t="n">
        <v>20.1</v>
      </c>
      <c r="N860" s="6" t="n">
        <v>1</v>
      </c>
      <c r="O860" s="6">
        <f>(K860*0.1229+1.05)/4.7</f>
        <v/>
      </c>
      <c r="P860" s="6">
        <f>K860*0.0749/4.7</f>
        <v/>
      </c>
      <c r="Q860" s="5">
        <f>M860+N860+O860+P860</f>
        <v/>
      </c>
      <c r="R860" s="5">
        <f>L860-Q860</f>
        <v/>
      </c>
      <c r="S860" s="6">
        <f>R860*4.7</f>
        <v/>
      </c>
      <c r="T860" s="7">
        <f>IF(L860&gt;0,R860/L860,0)</f>
        <v/>
      </c>
      <c r="U860" s="3" t="inlineStr">
        <is>
          <t>05/05/2026 16:12:12</t>
        </is>
      </c>
    </row>
    <row r="861">
      <c r="A861" s="3" t="inlineStr">
        <is>
          <t>583871741432595652</t>
        </is>
      </c>
      <c r="B861" s="3" t="inlineStr">
        <is>
          <t>已完成</t>
        </is>
      </c>
      <c r="C861" s="3" t="inlineStr">
        <is>
          <t>CK</t>
        </is>
      </c>
      <c r="D861" s="3" t="inlineStr">
        <is>
          <t>黑松露黑麦苏打饼干</t>
        </is>
      </c>
      <c r="E86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61" s="3" t="inlineStr">
        <is>
          <t>ค่าเริ่มต้น</t>
        </is>
      </c>
      <c r="G861" s="6" t="n">
        <v>2</v>
      </c>
      <c r="H861" s="6" t="n">
        <v>216.75</v>
      </c>
      <c r="I861" s="6" t="n">
        <v>15.3</v>
      </c>
      <c r="J861" s="6" t="n">
        <v>38</v>
      </c>
      <c r="K861" s="6">
        <f>H861+I861</f>
        <v/>
      </c>
      <c r="L861" s="5">
        <f>K861/4.7</f>
        <v/>
      </c>
      <c r="M861" s="6" t="n">
        <v>21.45330100418933</v>
      </c>
      <c r="N861" s="6" t="n">
        <v>1</v>
      </c>
      <c r="O861" s="6">
        <f>(K861*0.1229+1.05)/4.7</f>
        <v/>
      </c>
      <c r="P861" s="6">
        <f>K861*0.0749/4.7</f>
        <v/>
      </c>
      <c r="Q861" s="5">
        <f>M861+N861+O861+P861</f>
        <v/>
      </c>
      <c r="R861" s="5">
        <f>L861-Q861</f>
        <v/>
      </c>
      <c r="S861" s="6">
        <f>R861*4.7</f>
        <v/>
      </c>
      <c r="T861" s="7">
        <f>IF(L861&gt;0,R861/L861,0)</f>
        <v/>
      </c>
      <c r="U861" s="3" t="inlineStr">
        <is>
          <t>05/05/2026 15:38:47</t>
        </is>
      </c>
    </row>
    <row r="862">
      <c r="A862" s="3" t="inlineStr">
        <is>
          <t>583870523888469410</t>
        </is>
      </c>
      <c r="B862" s="3" t="inlineStr">
        <is>
          <t>已取消</t>
        </is>
      </c>
      <c r="C862" s="3" t="inlineStr">
        <is>
          <t>CK</t>
        </is>
      </c>
      <c r="D862" s="3" t="inlineStr">
        <is>
          <t>黑松露黑麦苏打饼干</t>
        </is>
      </c>
      <c r="E86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62" s="3" t="inlineStr">
        <is>
          <t>ค่าเริ่มต้น</t>
        </is>
      </c>
      <c r="G862" s="6" t="n">
        <v>1</v>
      </c>
      <c r="H862" s="6" t="n">
        <v>100</v>
      </c>
      <c r="I862" s="6" t="n">
        <v>25</v>
      </c>
      <c r="J862" s="6" t="n">
        <v>38</v>
      </c>
      <c r="K862" s="6">
        <f>H862+I862</f>
        <v/>
      </c>
      <c r="L862" s="5">
        <f>K862/4.7</f>
        <v/>
      </c>
      <c r="M862" s="6" t="n">
        <v>10.72665050209467</v>
      </c>
      <c r="N862" s="6" t="n">
        <v>1</v>
      </c>
      <c r="O862" s="6">
        <f>(K862*0.1229+1.05)/4.7</f>
        <v/>
      </c>
      <c r="P862" s="6">
        <f>K862*0.0749/4.7</f>
        <v/>
      </c>
      <c r="Q862" s="5">
        <f>M862+N862+O862+P862</f>
        <v/>
      </c>
      <c r="R862" s="5">
        <f>L862-Q862</f>
        <v/>
      </c>
      <c r="S862" s="6">
        <f>R862*4.7</f>
        <v/>
      </c>
      <c r="T862" s="7">
        <f>IF(L862&gt;0,R862/L862,0)</f>
        <v/>
      </c>
      <c r="U862" s="3" t="inlineStr">
        <is>
          <t>05/05/2026 14:16:25</t>
        </is>
      </c>
    </row>
    <row r="863">
      <c r="A863" s="3" t="inlineStr">
        <is>
          <t>583870344422721239</t>
        </is>
      </c>
      <c r="B863" s="3" t="inlineStr">
        <is>
          <t>已完成</t>
        </is>
      </c>
      <c r="C863" s="3" t="inlineStr">
        <is>
          <t>C1</t>
        </is>
      </c>
      <c r="D863" s="3" t="inlineStr">
        <is>
          <t>魔芋笋1大袋</t>
        </is>
      </c>
      <c r="E8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3" s="3" t="inlineStr">
        <is>
          <t>รสเผ็ดหอม​, 10 ซอง 200g</t>
        </is>
      </c>
      <c r="G863" s="6" t="n">
        <v>2</v>
      </c>
      <c r="H863" s="6" t="n">
        <v>123.05</v>
      </c>
      <c r="I863" s="6" t="n">
        <v>19.95</v>
      </c>
      <c r="J863" s="6" t="n">
        <v>38</v>
      </c>
      <c r="K863" s="6">
        <f>H863+I863</f>
        <v/>
      </c>
      <c r="L863" s="5">
        <f>K863/4.7</f>
        <v/>
      </c>
      <c r="M863" s="6" t="n">
        <v>13.4</v>
      </c>
      <c r="N863" s="6" t="n">
        <v>1</v>
      </c>
      <c r="O863" s="6">
        <f>(K863*0.1229+1.05)/4.7</f>
        <v/>
      </c>
      <c r="P863" s="6">
        <f>K863*0.0749/4.7</f>
        <v/>
      </c>
      <c r="Q863" s="5">
        <f>M863+N863+O863+P863</f>
        <v/>
      </c>
      <c r="R863" s="5">
        <f>L863-Q863</f>
        <v/>
      </c>
      <c r="S863" s="6">
        <f>R863*4.7</f>
        <v/>
      </c>
      <c r="T863" s="7">
        <f>IF(L863&gt;0,R863/L863,0)</f>
        <v/>
      </c>
      <c r="U863" s="3" t="inlineStr">
        <is>
          <t>05/05/2026 14:04:30</t>
        </is>
      </c>
    </row>
    <row r="864">
      <c r="A864" s="3" t="inlineStr">
        <is>
          <t>583869739987993838</t>
        </is>
      </c>
      <c r="B864" s="3" t="inlineStr">
        <is>
          <t>已完成</t>
        </is>
      </c>
      <c r="C864" s="3" t="inlineStr">
        <is>
          <t>CK</t>
        </is>
      </c>
      <c r="D864" s="3" t="inlineStr">
        <is>
          <t>黑松露黑麦苏打饼干</t>
        </is>
      </c>
      <c r="E86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64" s="3" t="inlineStr">
        <is>
          <t>ค่าเริ่มต้น</t>
        </is>
      </c>
      <c r="G864" s="6" t="n">
        <v>1</v>
      </c>
      <c r="H864" s="6" t="n">
        <v>125</v>
      </c>
      <c r="I864" s="6" t="n">
        <v>0</v>
      </c>
      <c r="J864" s="6" t="n">
        <v>38</v>
      </c>
      <c r="K864" s="6">
        <f>H864+I864</f>
        <v/>
      </c>
      <c r="L864" s="5">
        <f>K864/4.7</f>
        <v/>
      </c>
      <c r="M864" s="6" t="n">
        <v>10.72665050209467</v>
      </c>
      <c r="N864" s="6" t="n">
        <v>1</v>
      </c>
      <c r="O864" s="6">
        <f>(K864*0.1229+1.05)/4.7</f>
        <v/>
      </c>
      <c r="P864" s="6">
        <f>K864*0.0749/4.7</f>
        <v/>
      </c>
      <c r="Q864" s="5">
        <f>M864+N864+O864+P864</f>
        <v/>
      </c>
      <c r="R864" s="5">
        <f>L864-Q864</f>
        <v/>
      </c>
      <c r="S864" s="6">
        <f>R864*4.7</f>
        <v/>
      </c>
      <c r="T864" s="7">
        <f>IF(L864&gt;0,R864/L864,0)</f>
        <v/>
      </c>
      <c r="U864" s="3" t="inlineStr">
        <is>
          <t>05/05/2026 13:25:31</t>
        </is>
      </c>
    </row>
    <row r="865">
      <c r="A865" s="3" t="inlineStr">
        <is>
          <t>583868858821084177</t>
        </is>
      </c>
      <c r="B865" s="3" t="inlineStr">
        <is>
          <t>已完成</t>
        </is>
      </c>
      <c r="C865" s="3" t="inlineStr">
        <is>
          <t>C3</t>
        </is>
      </c>
      <c r="D865" s="3" t="inlineStr">
        <is>
          <t>魔芋笋3大袋</t>
        </is>
      </c>
      <c r="E8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5" s="3" t="inlineStr">
        <is>
          <t>รสเผ็ดหอม​, 30 ซอง 600g</t>
        </is>
      </c>
      <c r="G865" s="6" t="n">
        <v>1</v>
      </c>
      <c r="H865" s="6" t="n">
        <v>172</v>
      </c>
      <c r="I865" s="6" t="n">
        <v>0</v>
      </c>
      <c r="J865" s="6" t="n">
        <v>35</v>
      </c>
      <c r="K865" s="6">
        <f>H865+I865</f>
        <v/>
      </c>
      <c r="L865" s="5">
        <f>K865/4.7</f>
        <v/>
      </c>
      <c r="M865" s="6" t="n">
        <v>20.1</v>
      </c>
      <c r="N865" s="6" t="n">
        <v>1</v>
      </c>
      <c r="O865" s="6">
        <f>(K865*0.1229+1.05)/4.7</f>
        <v/>
      </c>
      <c r="P865" s="6">
        <f>K865*0.0749/4.7</f>
        <v/>
      </c>
      <c r="Q865" s="5">
        <f>M865+N865+O865+P865</f>
        <v/>
      </c>
      <c r="R865" s="5">
        <f>L865-Q865</f>
        <v/>
      </c>
      <c r="S865" s="6">
        <f>R865*4.7</f>
        <v/>
      </c>
      <c r="T865" s="7">
        <f>IF(L865&gt;0,R865/L865,0)</f>
        <v/>
      </c>
      <c r="U865" s="3" t="inlineStr">
        <is>
          <t>05/05/2026 12:33:46</t>
        </is>
      </c>
    </row>
    <row r="866">
      <c r="A866" s="3" t="inlineStr">
        <is>
          <t>583868654357153661</t>
        </is>
      </c>
      <c r="B866" s="3" t="inlineStr">
        <is>
          <t>已完成</t>
        </is>
      </c>
      <c r="C866" s="3" t="inlineStr">
        <is>
          <t>B5s</t>
        </is>
      </c>
      <c r="D866" s="3" t="inlineStr">
        <is>
          <t>酸辣味5小袋</t>
        </is>
      </c>
      <c r="E8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6" s="3" t="inlineStr">
        <is>
          <t>รสเปรี้ยวเผ็ด​, 5 ซอง 100g</t>
        </is>
      </c>
      <c r="G866" s="6" t="n">
        <v>2</v>
      </c>
      <c r="H866" s="6" t="n">
        <v>104</v>
      </c>
      <c r="I866" s="6" t="n">
        <v>0</v>
      </c>
      <c r="J866" s="6" t="n">
        <v>38</v>
      </c>
      <c r="K866" s="6">
        <f>H866+I866</f>
        <v/>
      </c>
      <c r="L866" s="5">
        <f>K866/4.7</f>
        <v/>
      </c>
      <c r="M866" s="6" t="n">
        <v>6.699999999999999</v>
      </c>
      <c r="N866" s="6" t="n">
        <v>1</v>
      </c>
      <c r="O866" s="6">
        <f>(K866*0.1229+1.05)/4.7</f>
        <v/>
      </c>
      <c r="P866" s="6">
        <f>K866*0.0749/4.7</f>
        <v/>
      </c>
      <c r="Q866" s="5">
        <f>M866+N866+O866+P866</f>
        <v/>
      </c>
      <c r="R866" s="5">
        <f>L866-Q866</f>
        <v/>
      </c>
      <c r="S866" s="6">
        <f>R866*4.7</f>
        <v/>
      </c>
      <c r="T866" s="7">
        <f>IF(L866&gt;0,R866/L866,0)</f>
        <v/>
      </c>
      <c r="U866" s="3" t="inlineStr">
        <is>
          <t>05/05/2026 12:19:23</t>
        </is>
      </c>
    </row>
    <row r="867">
      <c r="A867" s="3" t="inlineStr">
        <is>
          <t>583868652894783357</t>
        </is>
      </c>
      <c r="B867" s="3" t="inlineStr">
        <is>
          <t>已完成</t>
        </is>
      </c>
      <c r="C867" s="3" t="inlineStr">
        <is>
          <t>C5s</t>
        </is>
      </c>
      <c r="D867" s="3" t="inlineStr">
        <is>
          <t>香辣味魔芋笋5小袋</t>
        </is>
      </c>
      <c r="E8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7" s="3" t="inlineStr">
        <is>
          <t>รสเผ็ดหอม​, 5 ซอง 100g</t>
        </is>
      </c>
      <c r="G867" s="6" t="n">
        <v>2</v>
      </c>
      <c r="H867" s="6" t="n">
        <v>104</v>
      </c>
      <c r="I867" s="6" t="n">
        <v>0</v>
      </c>
      <c r="J867" s="6" t="n">
        <v>38</v>
      </c>
      <c r="K867" s="6">
        <f>H867+I867</f>
        <v/>
      </c>
      <c r="L867" s="5">
        <f>K867/4.7</f>
        <v/>
      </c>
      <c r="M867" s="6" t="n">
        <v>6.699999999999999</v>
      </c>
      <c r="N867" s="6" t="n">
        <v>1</v>
      </c>
      <c r="O867" s="6">
        <f>(K867*0.1229+1.05)/4.7</f>
        <v/>
      </c>
      <c r="P867" s="6">
        <f>K867*0.0749/4.7</f>
        <v/>
      </c>
      <c r="Q867" s="5">
        <f>M867+N867+O867+P867</f>
        <v/>
      </c>
      <c r="R867" s="5">
        <f>L867-Q867</f>
        <v/>
      </c>
      <c r="S867" s="6">
        <f>R867*4.7</f>
        <v/>
      </c>
      <c r="T867" s="7">
        <f>IF(L867&gt;0,R867/L867,0)</f>
        <v/>
      </c>
      <c r="U867" s="3" t="inlineStr">
        <is>
          <t>05/05/2026 12:19:06</t>
        </is>
      </c>
    </row>
    <row r="868">
      <c r="A868" s="3" t="inlineStr">
        <is>
          <t>583866190266729592</t>
        </is>
      </c>
      <c r="B868" s="3" t="inlineStr">
        <is>
          <t>已完成</t>
        </is>
      </c>
      <c r="C868" s="3" t="inlineStr">
        <is>
          <t>B1</t>
        </is>
      </c>
      <c r="D868" s="3" t="inlineStr">
        <is>
          <t>魔芋笋1大袋</t>
        </is>
      </c>
      <c r="E8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8" s="3" t="inlineStr">
        <is>
          <t>รสเปรี้ยวเผ็ด​, 10 ซอง 200g</t>
        </is>
      </c>
      <c r="G868" s="6" t="n">
        <v>1</v>
      </c>
      <c r="H868" s="6" t="n">
        <v>69</v>
      </c>
      <c r="I868" s="6" t="n">
        <v>0</v>
      </c>
      <c r="J868" s="6" t="n">
        <v>35</v>
      </c>
      <c r="K868" s="6">
        <f>H868+I868</f>
        <v/>
      </c>
      <c r="L868" s="5">
        <f>K868/4.7</f>
        <v/>
      </c>
      <c r="M868" s="6" t="n">
        <v>6.699999999999999</v>
      </c>
      <c r="N868" s="6" t="n">
        <v>1</v>
      </c>
      <c r="O868" s="6">
        <f>(K868*0.1229+1.05)/4.7</f>
        <v/>
      </c>
      <c r="P868" s="6">
        <f>K868*0.0749/4.7</f>
        <v/>
      </c>
      <c r="Q868" s="5">
        <f>M868+N868+O868+P868</f>
        <v/>
      </c>
      <c r="R868" s="5">
        <f>L868-Q868</f>
        <v/>
      </c>
      <c r="S868" s="6">
        <f>R868*4.7</f>
        <v/>
      </c>
      <c r="T868" s="7">
        <f>IF(L868&gt;0,R868/L868,0)</f>
        <v/>
      </c>
      <c r="U868" s="3" t="inlineStr">
        <is>
          <t>05/05/2026 09:49:20</t>
        </is>
      </c>
    </row>
    <row r="869">
      <c r="A869" s="3" t="inlineStr">
        <is>
          <t>583865436497282971</t>
        </is>
      </c>
      <c r="B869" s="3" t="inlineStr">
        <is>
          <t>已完成</t>
        </is>
      </c>
      <c r="C869" s="3" t="inlineStr">
        <is>
          <t>B1</t>
        </is>
      </c>
      <c r="D869" s="3" t="inlineStr">
        <is>
          <t>魔芋笋1大袋</t>
        </is>
      </c>
      <c r="E8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9" s="3" t="inlineStr">
        <is>
          <t>รสเปรี้ยวเผ็ด​, 10 ซอง 200g</t>
        </is>
      </c>
      <c r="G869" s="6" t="n">
        <v>1</v>
      </c>
      <c r="H869" s="6" t="n">
        <v>105</v>
      </c>
      <c r="I869" s="6" t="n">
        <v>15</v>
      </c>
      <c r="J869" s="6" t="n">
        <v>48</v>
      </c>
      <c r="K869" s="6">
        <f>H869+I869</f>
        <v/>
      </c>
      <c r="L869" s="5">
        <f>K869/4.7</f>
        <v/>
      </c>
      <c r="M869" s="6" t="n">
        <v>6.699999999999999</v>
      </c>
      <c r="N869" s="6" t="n">
        <v>1</v>
      </c>
      <c r="O869" s="6">
        <f>(K869*0.1229+1.05)/4.7</f>
        <v/>
      </c>
      <c r="P869" s="6">
        <f>K869*0.0749/4.7</f>
        <v/>
      </c>
      <c r="Q869" s="5">
        <f>M869+N869+O869+P869</f>
        <v/>
      </c>
      <c r="R869" s="5">
        <f>L869-Q869</f>
        <v/>
      </c>
      <c r="S869" s="6">
        <f>R869*4.7</f>
        <v/>
      </c>
      <c r="T869" s="7">
        <f>IF(L869&gt;0,R869/L869,0)</f>
        <v/>
      </c>
      <c r="U869" s="3" t="inlineStr">
        <is>
          <t>05/05/2026 08:54:12</t>
        </is>
      </c>
    </row>
    <row r="870">
      <c r="A870" s="3" t="inlineStr">
        <is>
          <t>583865436497282971</t>
        </is>
      </c>
      <c r="B870" s="3" t="inlineStr">
        <is>
          <t>已完成</t>
        </is>
      </c>
      <c r="C870" s="3" t="inlineStr">
        <is>
          <t>C1</t>
        </is>
      </c>
      <c r="D870" s="3" t="inlineStr">
        <is>
          <t>魔芋笋1大袋</t>
        </is>
      </c>
      <c r="E8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0" s="3" t="inlineStr">
        <is>
          <t>รสเผ็ดหอม​, 10 ซอง 200g</t>
        </is>
      </c>
      <c r="G870" s="6" t="n">
        <v>1</v>
      </c>
      <c r="H870" s="6" t="n">
        <v>105</v>
      </c>
      <c r="I870" s="6" t="n">
        <v>15</v>
      </c>
      <c r="J870" s="6" t="n">
        <v>48</v>
      </c>
      <c r="K870" s="6">
        <f>H870+I870</f>
        <v/>
      </c>
      <c r="L870" s="5">
        <f>K870/4.7</f>
        <v/>
      </c>
      <c r="M870" s="6" t="n">
        <v>6.699999999999999</v>
      </c>
      <c r="N870" s="6" t="n">
        <v>1</v>
      </c>
      <c r="O870" s="6">
        <f>(K870*0.1229+1.05)/4.7</f>
        <v/>
      </c>
      <c r="P870" s="6">
        <f>K870*0.0749/4.7</f>
        <v/>
      </c>
      <c r="Q870" s="5">
        <f>M870+N870+O870+P870</f>
        <v/>
      </c>
      <c r="R870" s="5">
        <f>L870-Q870</f>
        <v/>
      </c>
      <c r="S870" s="6">
        <f>R870*4.7</f>
        <v/>
      </c>
      <c r="T870" s="7">
        <f>IF(L870&gt;0,R870/L870,0)</f>
        <v/>
      </c>
      <c r="U870" s="3" t="inlineStr">
        <is>
          <t>05/05/2026 08:54:12</t>
        </is>
      </c>
    </row>
    <row r="871">
      <c r="A871" s="3" t="inlineStr">
        <is>
          <t>583864510871471408</t>
        </is>
      </c>
      <c r="B871" s="3" t="inlineStr">
        <is>
          <t>已完成</t>
        </is>
      </c>
      <c r="C871" s="3" t="inlineStr">
        <is>
          <t>ER-A</t>
        </is>
      </c>
      <c r="D871" s="3" t="inlineStr">
        <is>
          <t>广州酒家传统鸡蛋卷454g</t>
        </is>
      </c>
      <c r="E871" s="3" t="inlineStr">
        <is>
          <t>Egg Roll 2สูตร ทองม้วนไข่กล่องเหล็กพรีเมี่ยม!! GuangZhou Restaurant 454g/480g กล่องล่ะ 24 แท่ง</t>
        </is>
      </c>
      <c r="F871" s="3" t="inlineStr">
        <is>
          <t>Traditional สูตรดั้งเดิม ไข่ล้วน</t>
        </is>
      </c>
      <c r="G871" s="6" t="n">
        <v>1</v>
      </c>
      <c r="H871" s="6" t="n">
        <v>340</v>
      </c>
      <c r="I871" s="6" t="n">
        <v>24</v>
      </c>
      <c r="J871" s="6" t="n">
        <v>35</v>
      </c>
      <c r="K871" s="6">
        <f>H871+I871</f>
        <v/>
      </c>
      <c r="L871" s="5">
        <f>K871/4.7</f>
        <v/>
      </c>
      <c r="M871" s="6" t="n">
        <v>40.25338607190941</v>
      </c>
      <c r="N871" s="6" t="n">
        <v>2</v>
      </c>
      <c r="O871" s="6">
        <f>(K871*0.1229+1.05)/4.7</f>
        <v/>
      </c>
      <c r="P871" s="6">
        <f>K871*0.0749/4.7</f>
        <v/>
      </c>
      <c r="Q871" s="5">
        <f>M871+N871+O871+P871</f>
        <v/>
      </c>
      <c r="R871" s="5">
        <f>L871-Q871</f>
        <v/>
      </c>
      <c r="S871" s="6">
        <f>R871*4.7</f>
        <v/>
      </c>
      <c r="T871" s="7">
        <f>IF(L871&gt;0,R871/L871,0)</f>
        <v/>
      </c>
      <c r="U871" s="3" t="inlineStr">
        <is>
          <t>05/05/2026 07:44:10</t>
        </is>
      </c>
    </row>
    <row r="872">
      <c r="A872" s="3" t="inlineStr">
        <is>
          <t>583862482125555243</t>
        </is>
      </c>
      <c r="B872" s="3" t="inlineStr">
        <is>
          <t>已完成</t>
        </is>
      </c>
      <c r="C872" s="3" t="inlineStr">
        <is>
          <t>B1</t>
        </is>
      </c>
      <c r="D872" s="3" t="inlineStr">
        <is>
          <t>魔芋笋1大袋</t>
        </is>
      </c>
      <c r="E8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2" s="3" t="inlineStr">
        <is>
          <t>รสเปรี้ยวเผ็ด​, 10 ซอง 200g</t>
        </is>
      </c>
      <c r="G872" s="6" t="n">
        <v>1</v>
      </c>
      <c r="H872" s="6" t="n">
        <v>69</v>
      </c>
      <c r="I872" s="6" t="n">
        <v>0</v>
      </c>
      <c r="J872" s="6" t="n">
        <v>35</v>
      </c>
      <c r="K872" s="6">
        <f>H872+I872</f>
        <v/>
      </c>
      <c r="L872" s="5">
        <f>K872/4.7</f>
        <v/>
      </c>
      <c r="M872" s="6" t="n">
        <v>6.699999999999999</v>
      </c>
      <c r="N872" s="6" t="n">
        <v>1</v>
      </c>
      <c r="O872" s="6">
        <f>(K872*0.1229+1.05)/4.7</f>
        <v/>
      </c>
      <c r="P872" s="6">
        <f>K872*0.0749/4.7</f>
        <v/>
      </c>
      <c r="Q872" s="5">
        <f>M872+N872+O872+P872</f>
        <v/>
      </c>
      <c r="R872" s="5">
        <f>L872-Q872</f>
        <v/>
      </c>
      <c r="S872" s="6">
        <f>R872*4.7</f>
        <v/>
      </c>
      <c r="T872" s="7">
        <f>IF(L872&gt;0,R872/L872,0)</f>
        <v/>
      </c>
      <c r="U872" s="3" t="inlineStr">
        <is>
          <t>05/05/2026 02:39:02</t>
        </is>
      </c>
    </row>
    <row r="873">
      <c r="A873" s="3" t="inlineStr">
        <is>
          <t>583862244331652379</t>
        </is>
      </c>
      <c r="B873" s="3" t="inlineStr">
        <is>
          <t>已完成</t>
        </is>
      </c>
      <c r="C873" s="3" t="inlineStr">
        <is>
          <t>C1</t>
        </is>
      </c>
      <c r="D873" s="3" t="inlineStr">
        <is>
          <t>魔芋笋1大袋</t>
        </is>
      </c>
      <c r="E8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3" s="3" t="inlineStr">
        <is>
          <t>รสเผ็ดหอม​, 10 ซอง 200g</t>
        </is>
      </c>
      <c r="G873" s="6" t="n">
        <v>1</v>
      </c>
      <c r="H873" s="6" t="n">
        <v>65.55</v>
      </c>
      <c r="I873" s="6" t="n">
        <v>3.45</v>
      </c>
      <c r="J873" s="6" t="n">
        <v>35</v>
      </c>
      <c r="K873" s="6">
        <f>H873+I873</f>
        <v/>
      </c>
      <c r="L873" s="5">
        <f>K873/4.7</f>
        <v/>
      </c>
      <c r="M873" s="6" t="n">
        <v>6.699999999999999</v>
      </c>
      <c r="N873" s="6" t="n">
        <v>1</v>
      </c>
      <c r="O873" s="6">
        <f>(K873*0.1229+1.05)/4.7</f>
        <v/>
      </c>
      <c r="P873" s="6">
        <f>K873*0.0749/4.7</f>
        <v/>
      </c>
      <c r="Q873" s="5">
        <f>M873+N873+O873+P873</f>
        <v/>
      </c>
      <c r="R873" s="5">
        <f>L873-Q873</f>
        <v/>
      </c>
      <c r="S873" s="6">
        <f>R873*4.7</f>
        <v/>
      </c>
      <c r="T873" s="7">
        <f>IF(L873&gt;0,R873/L873,0)</f>
        <v/>
      </c>
      <c r="U873" s="3" t="inlineStr">
        <is>
          <t>05/05/2026 01:52:44</t>
        </is>
      </c>
    </row>
    <row r="874">
      <c r="A874" s="3" t="inlineStr">
        <is>
          <t>583861999501280611</t>
        </is>
      </c>
      <c r="B874" s="3" t="inlineStr">
        <is>
          <t>已完成</t>
        </is>
      </c>
      <c r="C874" s="3" t="inlineStr">
        <is>
          <t>C1</t>
        </is>
      </c>
      <c r="D874" s="3" t="inlineStr">
        <is>
          <t>魔芋笋1大袋</t>
        </is>
      </c>
      <c r="E8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4" s="3" t="inlineStr">
        <is>
          <t>รสเผ็ดหอม​, 10 ซอง 200g</t>
        </is>
      </c>
      <c r="G874" s="6" t="n">
        <v>1</v>
      </c>
      <c r="H874" s="6" t="n">
        <v>69</v>
      </c>
      <c r="I874" s="6" t="n">
        <v>0</v>
      </c>
      <c r="J874" s="6" t="n">
        <v>29</v>
      </c>
      <c r="K874" s="6">
        <f>H874+I874</f>
        <v/>
      </c>
      <c r="L874" s="5">
        <f>K874/4.7</f>
        <v/>
      </c>
      <c r="M874" s="6" t="n">
        <v>6.699999999999999</v>
      </c>
      <c r="N874" s="6" t="n">
        <v>1</v>
      </c>
      <c r="O874" s="6">
        <f>(K874*0.1229+1.05)/4.7</f>
        <v/>
      </c>
      <c r="P874" s="6">
        <f>K874*0.0749/4.7</f>
        <v/>
      </c>
      <c r="Q874" s="5">
        <f>M874+N874+O874+P874</f>
        <v/>
      </c>
      <c r="R874" s="5">
        <f>L874-Q874</f>
        <v/>
      </c>
      <c r="S874" s="6">
        <f>R874*4.7</f>
        <v/>
      </c>
      <c r="T874" s="7">
        <f>IF(L874&gt;0,R874/L874,0)</f>
        <v/>
      </c>
      <c r="U874" s="3" t="inlineStr">
        <is>
          <t>05/05/2026 01:18:12</t>
        </is>
      </c>
    </row>
    <row r="875">
      <c r="A875" s="3" t="inlineStr">
        <is>
          <t>583859131512686308</t>
        </is>
      </c>
      <c r="B875" s="3" t="inlineStr">
        <is>
          <t>已完成</t>
        </is>
      </c>
      <c r="C875" s="3" t="inlineStr">
        <is>
          <t>C1</t>
        </is>
      </c>
      <c r="D875" s="3" t="inlineStr">
        <is>
          <t>魔芋笋1大袋</t>
        </is>
      </c>
      <c r="E8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5" s="3" t="inlineStr">
        <is>
          <t>รสเผ็ดหอม​, 10 ซอง 200g</t>
        </is>
      </c>
      <c r="G875" s="6" t="n">
        <v>1</v>
      </c>
      <c r="H875" s="6" t="n">
        <v>69</v>
      </c>
      <c r="I875" s="6" t="n">
        <v>0</v>
      </c>
      <c r="J875" s="6" t="n">
        <v>35</v>
      </c>
      <c r="K875" s="6">
        <f>H875+I875</f>
        <v/>
      </c>
      <c r="L875" s="5">
        <f>K875/4.7</f>
        <v/>
      </c>
      <c r="M875" s="6" t="n">
        <v>6.699999999999999</v>
      </c>
      <c r="N875" s="6" t="n">
        <v>1</v>
      </c>
      <c r="O875" s="6">
        <f>(K875*0.1229+1.05)/4.7</f>
        <v/>
      </c>
      <c r="P875" s="6">
        <f>K875*0.0749/4.7</f>
        <v/>
      </c>
      <c r="Q875" s="5">
        <f>M875+N875+O875+P875</f>
        <v/>
      </c>
      <c r="R875" s="5">
        <f>L875-Q875</f>
        <v/>
      </c>
      <c r="S875" s="6">
        <f>R875*4.7</f>
        <v/>
      </c>
      <c r="T875" s="7">
        <f>IF(L875&gt;0,R875/L875,0)</f>
        <v/>
      </c>
      <c r="U875" s="3" t="inlineStr">
        <is>
          <t>04/05/2026 21:37:21</t>
        </is>
      </c>
    </row>
    <row r="876">
      <c r="A876" s="3" t="inlineStr">
        <is>
          <t>583857415646971391</t>
        </is>
      </c>
      <c r="B876" s="3" t="inlineStr">
        <is>
          <t>已完成</t>
        </is>
      </c>
      <c r="C876" s="3" t="inlineStr">
        <is>
          <t>C2</t>
        </is>
      </c>
      <c r="D876" s="3" t="inlineStr">
        <is>
          <t>魔芋笋2大袋</t>
        </is>
      </c>
      <c r="E8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6" s="3" t="inlineStr">
        <is>
          <t>รสเผ็ดหอม​, 20 ซอง 400g</t>
        </is>
      </c>
      <c r="G876" s="6" t="n">
        <v>1</v>
      </c>
      <c r="H876" s="6" t="n">
        <v>120</v>
      </c>
      <c r="I876" s="6" t="n">
        <v>0</v>
      </c>
      <c r="J876" s="6" t="n">
        <v>38</v>
      </c>
      <c r="K876" s="6">
        <f>H876+I876</f>
        <v/>
      </c>
      <c r="L876" s="5">
        <f>K876/4.7</f>
        <v/>
      </c>
      <c r="M876" s="6" t="n">
        <v>13.4</v>
      </c>
      <c r="N876" s="6" t="n">
        <v>1</v>
      </c>
      <c r="O876" s="6">
        <f>(K876*0.1229+1.05)/4.7</f>
        <v/>
      </c>
      <c r="P876" s="6">
        <f>K876*0.0749/4.7</f>
        <v/>
      </c>
      <c r="Q876" s="5">
        <f>M876+N876+O876+P876</f>
        <v/>
      </c>
      <c r="R876" s="5">
        <f>L876-Q876</f>
        <v/>
      </c>
      <c r="S876" s="6">
        <f>R876*4.7</f>
        <v/>
      </c>
      <c r="T876" s="7">
        <f>IF(L876&gt;0,R876/L876,0)</f>
        <v/>
      </c>
      <c r="U876" s="3" t="inlineStr">
        <is>
          <t>04/05/2026 20:03:41</t>
        </is>
      </c>
    </row>
    <row r="877">
      <c r="A877" s="3" t="inlineStr">
        <is>
          <t>583857257174697094</t>
        </is>
      </c>
      <c r="B877" s="3" t="inlineStr">
        <is>
          <t>已完成</t>
        </is>
      </c>
      <c r="C877" s="3" t="inlineStr">
        <is>
          <t>A1</t>
        </is>
      </c>
      <c r="D877" s="3" t="inlineStr">
        <is>
          <t>魔芋干1包</t>
        </is>
      </c>
      <c r="E87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877" s="3" t="inlineStr">
        <is>
          <t>10 ซอง 100g</t>
        </is>
      </c>
      <c r="G877" s="6" t="n">
        <v>1</v>
      </c>
      <c r="H877" s="6" t="n">
        <v>48.76</v>
      </c>
      <c r="I877" s="6" t="n">
        <v>4.24</v>
      </c>
      <c r="J877" s="6" t="n">
        <v>35</v>
      </c>
      <c r="K877" s="6">
        <f>H877+I877</f>
        <v/>
      </c>
      <c r="L877" s="5">
        <f>K877/4.7</f>
        <v/>
      </c>
      <c r="M877" s="6" t="n">
        <v>6.1</v>
      </c>
      <c r="N877" s="6" t="n">
        <v>0.5</v>
      </c>
      <c r="O877" s="6">
        <f>(K877*0.1229+1.05)/4.7</f>
        <v/>
      </c>
      <c r="P877" s="6">
        <f>K877*0.0749/4.7</f>
        <v/>
      </c>
      <c r="Q877" s="5">
        <f>M877+N877+O877+P877</f>
        <v/>
      </c>
      <c r="R877" s="5">
        <f>L877-Q877</f>
        <v/>
      </c>
      <c r="S877" s="6">
        <f>R877*4.7</f>
        <v/>
      </c>
      <c r="T877" s="7">
        <f>IF(L877&gt;0,R877/L877,0)</f>
        <v/>
      </c>
      <c r="U877" s="3" t="inlineStr">
        <is>
          <t>04/05/2026 19:57:24</t>
        </is>
      </c>
    </row>
    <row r="878">
      <c r="A878" s="3" t="inlineStr">
        <is>
          <t>583855214767539330</t>
        </is>
      </c>
      <c r="B878" s="3" t="inlineStr">
        <is>
          <t>已完成</t>
        </is>
      </c>
      <c r="C878" s="3" t="inlineStr">
        <is>
          <t>ER-B</t>
        </is>
      </c>
      <c r="D878" s="3" t="inlineStr">
        <is>
          <t>广州酒家黄油鸡蛋卷480g</t>
        </is>
      </c>
      <c r="E878" s="3" t="inlineStr">
        <is>
          <t>Egg Roll 2สูตร ทองม้วนไข่กล่องเหล็กพรีเมี่ยม!! GuangZhou Restaurant 454g/480g กล่องล่ะ 24 แท่ง</t>
        </is>
      </c>
      <c r="F878" s="3" t="inlineStr">
        <is>
          <t>Butter สูตรเนยสด พรีเมี่ยม</t>
        </is>
      </c>
      <c r="G878" s="6" t="n">
        <v>1</v>
      </c>
      <c r="H878" s="6" t="n">
        <v>300</v>
      </c>
      <c r="I878" s="6" t="n">
        <v>40</v>
      </c>
      <c r="J878" s="6" t="n">
        <v>35</v>
      </c>
      <c r="K878" s="6">
        <f>H878+I878</f>
        <v/>
      </c>
      <c r="L878" s="5">
        <f>K878/4.7</f>
        <v/>
      </c>
      <c r="M878" s="6" t="n">
        <v>45.49882436351998</v>
      </c>
      <c r="N878" s="6" t="n">
        <v>2</v>
      </c>
      <c r="O878" s="6">
        <f>(K878*0.1229+1.05)/4.7</f>
        <v/>
      </c>
      <c r="P878" s="6">
        <f>K878*0.0749/4.7</f>
        <v/>
      </c>
      <c r="Q878" s="5">
        <f>M878+N878+O878+P878</f>
        <v/>
      </c>
      <c r="R878" s="5">
        <f>L878-Q878</f>
        <v/>
      </c>
      <c r="S878" s="6">
        <f>R878*4.7</f>
        <v/>
      </c>
      <c r="T878" s="7">
        <f>IF(L878&gt;0,R878/L878,0)</f>
        <v/>
      </c>
      <c r="U878" s="3" t="inlineStr">
        <is>
          <t>04/05/2026 17:59:58</t>
        </is>
      </c>
    </row>
    <row r="879">
      <c r="A879" s="3" t="inlineStr">
        <is>
          <t>583853740773967662</t>
        </is>
      </c>
      <c r="B879" s="3" t="inlineStr">
        <is>
          <t>已完成</t>
        </is>
      </c>
      <c r="C879" s="3" t="inlineStr">
        <is>
          <t>C5s</t>
        </is>
      </c>
      <c r="D879" s="3" t="inlineStr">
        <is>
          <t>香辣味魔芋笋5小袋</t>
        </is>
      </c>
      <c r="E8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9" s="3" t="inlineStr">
        <is>
          <t>รสเผ็ดหอม​, 5 ซอง 100g</t>
        </is>
      </c>
      <c r="G879" s="6" t="n">
        <v>1</v>
      </c>
      <c r="H879" s="6" t="n">
        <v>17</v>
      </c>
      <c r="I879" s="6" t="n">
        <v>30</v>
      </c>
      <c r="J879" s="6" t="n">
        <v>38</v>
      </c>
      <c r="K879" s="6">
        <f>H879+I879</f>
        <v/>
      </c>
      <c r="L879" s="5">
        <f>K879/4.7</f>
        <v/>
      </c>
      <c r="M879" s="6" t="n">
        <v>3.35</v>
      </c>
      <c r="N879" s="6" t="n">
        <v>1</v>
      </c>
      <c r="O879" s="6">
        <f>(K879*0.1229+1.05)/4.7</f>
        <v/>
      </c>
      <c r="P879" s="6">
        <f>K879*0.0749/4.7</f>
        <v/>
      </c>
      <c r="Q879" s="5">
        <f>M879+N879+O879+P879</f>
        <v/>
      </c>
      <c r="R879" s="5">
        <f>L879-Q879</f>
        <v/>
      </c>
      <c r="S879" s="6">
        <f>R879*4.7</f>
        <v/>
      </c>
      <c r="T879" s="7">
        <f>IF(L879&gt;0,R879/L879,0)</f>
        <v/>
      </c>
      <c r="U879" s="3" t="inlineStr">
        <is>
          <t>04/05/2026 16:26:46</t>
        </is>
      </c>
    </row>
    <row r="880">
      <c r="A880" s="3" t="inlineStr">
        <is>
          <t>583853601867466665</t>
        </is>
      </c>
      <c r="B880" s="3" t="inlineStr">
        <is>
          <t>已完成</t>
        </is>
      </c>
      <c r="C880" s="3" t="inlineStr">
        <is>
          <t>C5s</t>
        </is>
      </c>
      <c r="D880" s="3" t="inlineStr">
        <is>
          <t>香辣味魔芋笋5小袋</t>
        </is>
      </c>
      <c r="E8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0" s="3" t="inlineStr">
        <is>
          <t>รสเผ็ดหอม​, 5 ซอง 100g</t>
        </is>
      </c>
      <c r="G880" s="6" t="n">
        <v>1</v>
      </c>
      <c r="H880" s="6" t="n">
        <v>47</v>
      </c>
      <c r="I880" s="6" t="n">
        <v>0</v>
      </c>
      <c r="J880" s="6" t="n">
        <v>33</v>
      </c>
      <c r="K880" s="6">
        <f>H880+I880</f>
        <v/>
      </c>
      <c r="L880" s="5">
        <f>K880/4.7</f>
        <v/>
      </c>
      <c r="M880" s="6" t="n">
        <v>3.35</v>
      </c>
      <c r="N880" s="6" t="n">
        <v>1</v>
      </c>
      <c r="O880" s="6">
        <f>(K880*0.1229+1.05)/4.7</f>
        <v/>
      </c>
      <c r="P880" s="6">
        <f>K880*0.0749/4.7</f>
        <v/>
      </c>
      <c r="Q880" s="5">
        <f>M880+N880+O880+P880</f>
        <v/>
      </c>
      <c r="R880" s="5">
        <f>L880-Q880</f>
        <v/>
      </c>
      <c r="S880" s="6">
        <f>R880*4.7</f>
        <v/>
      </c>
      <c r="T880" s="7">
        <f>IF(L880&gt;0,R880/L880,0)</f>
        <v/>
      </c>
      <c r="U880" s="3" t="inlineStr">
        <is>
          <t>04/05/2026 16:17:19</t>
        </is>
      </c>
    </row>
    <row r="881">
      <c r="A881" s="3" t="inlineStr">
        <is>
          <t>583853550085113227</t>
        </is>
      </c>
      <c r="B881" s="3" t="inlineStr">
        <is>
          <t>已完成</t>
        </is>
      </c>
      <c r="C881" s="3" t="inlineStr">
        <is>
          <t>B5s</t>
        </is>
      </c>
      <c r="D881" s="3" t="inlineStr">
        <is>
          <t>酸辣味5小袋</t>
        </is>
      </c>
      <c r="E8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1" s="3" t="inlineStr">
        <is>
          <t>รสเปรี้ยวเผ็ด​, 5 ซอง 100g</t>
        </is>
      </c>
      <c r="G881" s="6" t="n">
        <v>1</v>
      </c>
      <c r="H881" s="6" t="n">
        <v>47</v>
      </c>
      <c r="I881" s="6" t="n">
        <v>0</v>
      </c>
      <c r="J881" s="6" t="n">
        <v>35</v>
      </c>
      <c r="K881" s="6">
        <f>H881+I881</f>
        <v/>
      </c>
      <c r="L881" s="5">
        <f>K881/4.7</f>
        <v/>
      </c>
      <c r="M881" s="6" t="n">
        <v>3.35</v>
      </c>
      <c r="N881" s="6" t="n">
        <v>1</v>
      </c>
      <c r="O881" s="6">
        <f>(K881*0.1229+1.05)/4.7</f>
        <v/>
      </c>
      <c r="P881" s="6">
        <f>K881*0.0749/4.7</f>
        <v/>
      </c>
      <c r="Q881" s="5">
        <f>M881+N881+O881+P881</f>
        <v/>
      </c>
      <c r="R881" s="5">
        <f>L881-Q881</f>
        <v/>
      </c>
      <c r="S881" s="6">
        <f>R881*4.7</f>
        <v/>
      </c>
      <c r="T881" s="7">
        <f>IF(L881&gt;0,R881/L881,0)</f>
        <v/>
      </c>
      <c r="U881" s="3" t="inlineStr">
        <is>
          <t>04/05/2026 16:13:58</t>
        </is>
      </c>
    </row>
    <row r="882">
      <c r="A882" s="3" t="inlineStr">
        <is>
          <t>583853109504541700</t>
        </is>
      </c>
      <c r="B882" s="3" t="inlineStr">
        <is>
          <t>已完成</t>
        </is>
      </c>
      <c r="C882" s="3" t="inlineStr">
        <is>
          <t>C1</t>
        </is>
      </c>
      <c r="D882" s="3" t="inlineStr">
        <is>
          <t>魔芋笋1大袋</t>
        </is>
      </c>
      <c r="E8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2" s="3" t="inlineStr">
        <is>
          <t>รสเผ็ดหอม​, 10 ซอง 200g</t>
        </is>
      </c>
      <c r="G882" s="6" t="n">
        <v>1</v>
      </c>
      <c r="H882" s="6" t="n">
        <v>69</v>
      </c>
      <c r="I882" s="6" t="n">
        <v>0</v>
      </c>
      <c r="J882" s="6" t="n">
        <v>35</v>
      </c>
      <c r="K882" s="6">
        <f>H882+I882</f>
        <v/>
      </c>
      <c r="L882" s="5">
        <f>K882/4.7</f>
        <v/>
      </c>
      <c r="M882" s="6" t="n">
        <v>6.699999999999999</v>
      </c>
      <c r="N882" s="6" t="n">
        <v>1</v>
      </c>
      <c r="O882" s="6">
        <f>(K882*0.1229+1.05)/4.7</f>
        <v/>
      </c>
      <c r="P882" s="6">
        <f>K882*0.0749/4.7</f>
        <v/>
      </c>
      <c r="Q882" s="5">
        <f>M882+N882+O882+P882</f>
        <v/>
      </c>
      <c r="R882" s="5">
        <f>L882-Q882</f>
        <v/>
      </c>
      <c r="S882" s="6">
        <f>R882*4.7</f>
        <v/>
      </c>
      <c r="T882" s="7">
        <f>IF(L882&gt;0,R882/L882,0)</f>
        <v/>
      </c>
      <c r="U882" s="3" t="inlineStr">
        <is>
          <t>04/05/2026 15:44:40</t>
        </is>
      </c>
    </row>
    <row r="883">
      <c r="A883" s="3" t="inlineStr">
        <is>
          <t>583851169217676393</t>
        </is>
      </c>
      <c r="B883" s="3" t="inlineStr">
        <is>
          <t>已完成</t>
        </is>
      </c>
      <c r="C883" s="3" t="inlineStr">
        <is>
          <t>C1</t>
        </is>
      </c>
      <c r="D883" s="3" t="inlineStr">
        <is>
          <t>魔芋笋1大袋</t>
        </is>
      </c>
      <c r="E8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3" s="3" t="inlineStr">
        <is>
          <t>รสเผ็ดหอม​, 10 ซอง 200g</t>
        </is>
      </c>
      <c r="G883" s="6" t="n">
        <v>1</v>
      </c>
      <c r="H883" s="6" t="n">
        <v>69</v>
      </c>
      <c r="I883" s="6" t="n">
        <v>0</v>
      </c>
      <c r="J883" s="6" t="n">
        <v>35</v>
      </c>
      <c r="K883" s="6">
        <f>H883+I883</f>
        <v/>
      </c>
      <c r="L883" s="5">
        <f>K883/4.7</f>
        <v/>
      </c>
      <c r="M883" s="6" t="n">
        <v>6.699999999999999</v>
      </c>
      <c r="N883" s="6" t="n">
        <v>1</v>
      </c>
      <c r="O883" s="6">
        <f>(K883*0.1229+1.05)/4.7</f>
        <v/>
      </c>
      <c r="P883" s="6">
        <f>K883*0.0749/4.7</f>
        <v/>
      </c>
      <c r="Q883" s="5">
        <f>M883+N883+O883+P883</f>
        <v/>
      </c>
      <c r="R883" s="5">
        <f>L883-Q883</f>
        <v/>
      </c>
      <c r="S883" s="6">
        <f>R883*4.7</f>
        <v/>
      </c>
      <c r="T883" s="7">
        <f>IF(L883&gt;0,R883/L883,0)</f>
        <v/>
      </c>
      <c r="U883" s="3" t="inlineStr">
        <is>
          <t>04/05/2026 13:45:40</t>
        </is>
      </c>
    </row>
    <row r="884">
      <c r="A884" s="3" t="inlineStr">
        <is>
          <t>583850384288875696</t>
        </is>
      </c>
      <c r="B884" s="3" t="inlineStr">
        <is>
          <t>已完成</t>
        </is>
      </c>
      <c r="C884" s="3" t="inlineStr">
        <is>
          <t>C1</t>
        </is>
      </c>
      <c r="D884" s="3" t="inlineStr">
        <is>
          <t>魔芋笋1大袋</t>
        </is>
      </c>
      <c r="E8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4" s="3" t="inlineStr">
        <is>
          <t>รสเผ็ดหอม​, 10 ซอง 200g</t>
        </is>
      </c>
      <c r="G884" s="6" t="n">
        <v>1</v>
      </c>
      <c r="H884" s="6" t="n">
        <v>133</v>
      </c>
      <c r="I884" s="6" t="n">
        <v>0</v>
      </c>
      <c r="J884" s="6" t="n">
        <v>48</v>
      </c>
      <c r="K884" s="6">
        <f>H884+I884</f>
        <v/>
      </c>
      <c r="L884" s="5">
        <f>K884/4.7</f>
        <v/>
      </c>
      <c r="M884" s="6" t="n">
        <v>6.699999999999999</v>
      </c>
      <c r="N884" s="6" t="n">
        <v>1</v>
      </c>
      <c r="O884" s="6">
        <f>(K884*0.1229+1.05)/4.7</f>
        <v/>
      </c>
      <c r="P884" s="6">
        <f>K884*0.0749/4.7</f>
        <v/>
      </c>
      <c r="Q884" s="5">
        <f>M884+N884+O884+P884</f>
        <v/>
      </c>
      <c r="R884" s="5">
        <f>L884-Q884</f>
        <v/>
      </c>
      <c r="S884" s="6">
        <f>R884*4.7</f>
        <v/>
      </c>
      <c r="T884" s="7">
        <f>IF(L884&gt;0,R884/L884,0)</f>
        <v/>
      </c>
      <c r="U884" s="3" t="inlineStr">
        <is>
          <t>04/05/2026 12:51:39</t>
        </is>
      </c>
    </row>
    <row r="885">
      <c r="A885" s="3" t="inlineStr">
        <is>
          <t>583850384288875696</t>
        </is>
      </c>
      <c r="B885" s="3" t="inlineStr">
        <is>
          <t>已完成</t>
        </is>
      </c>
      <c r="C885" s="3" t="inlineStr">
        <is>
          <t>B1</t>
        </is>
      </c>
      <c r="D885" s="3" t="inlineStr">
        <is>
          <t>魔芋笋1大袋</t>
        </is>
      </c>
      <c r="E8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5" s="3" t="inlineStr">
        <is>
          <t>รสเปรี้ยวเผ็ด​, 10 ซอง 200g</t>
        </is>
      </c>
      <c r="G885" s="6" t="n">
        <v>1</v>
      </c>
      <c r="H885" s="6" t="n">
        <v>133</v>
      </c>
      <c r="I885" s="6" t="n">
        <v>0</v>
      </c>
      <c r="J885" s="6" t="n">
        <v>48</v>
      </c>
      <c r="K885" s="6">
        <f>H885+I885</f>
        <v/>
      </c>
      <c r="L885" s="5">
        <f>K885/4.7</f>
        <v/>
      </c>
      <c r="M885" s="6" t="n">
        <v>6.699999999999999</v>
      </c>
      <c r="N885" s="6" t="n">
        <v>1</v>
      </c>
      <c r="O885" s="6">
        <f>(K885*0.1229+1.05)/4.7</f>
        <v/>
      </c>
      <c r="P885" s="6">
        <f>K885*0.0749/4.7</f>
        <v/>
      </c>
      <c r="Q885" s="5">
        <f>M885+N885+O885+P885</f>
        <v/>
      </c>
      <c r="R885" s="5">
        <f>L885-Q885</f>
        <v/>
      </c>
      <c r="S885" s="6">
        <f>R885*4.7</f>
        <v/>
      </c>
      <c r="T885" s="7">
        <f>IF(L885&gt;0,R885/L885,0)</f>
        <v/>
      </c>
      <c r="U885" s="3" t="inlineStr">
        <is>
          <t>04/05/2026 12:51:39</t>
        </is>
      </c>
    </row>
    <row r="886">
      <c r="A886" s="3" t="inlineStr">
        <is>
          <t>583850284526569222</t>
        </is>
      </c>
      <c r="B886" s="3" t="inlineStr">
        <is>
          <t>已取消</t>
        </is>
      </c>
      <c r="C886" s="3" t="inlineStr">
        <is>
          <t>B2</t>
        </is>
      </c>
      <c r="D886" s="3" t="inlineStr">
        <is>
          <t>魔芋笋2大袋</t>
        </is>
      </c>
      <c r="E8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6" s="3" t="inlineStr">
        <is>
          <t>รสเปรี้ยวเผ็ด​, 20 ซอง 400g</t>
        </is>
      </c>
      <c r="G886" s="6" t="n">
        <v>1</v>
      </c>
      <c r="H886" s="6" t="n">
        <v>121</v>
      </c>
      <c r="I886" s="6" t="n">
        <v>0</v>
      </c>
      <c r="J886" s="6" t="n">
        <v>38</v>
      </c>
      <c r="K886" s="6">
        <f>H886+I886</f>
        <v/>
      </c>
      <c r="L886" s="5">
        <f>K886/4.7</f>
        <v/>
      </c>
      <c r="M886" s="6" t="n">
        <v>13.4</v>
      </c>
      <c r="N886" s="6" t="n">
        <v>1</v>
      </c>
      <c r="O886" s="6">
        <f>(K886*0.1229+1.05)/4.7</f>
        <v/>
      </c>
      <c r="P886" s="6">
        <f>K886*0.0749/4.7</f>
        <v/>
      </c>
      <c r="Q886" s="5">
        <f>M886+N886+O886+P886</f>
        <v/>
      </c>
      <c r="R886" s="5">
        <f>L886-Q886</f>
        <v/>
      </c>
      <c r="S886" s="6">
        <f>R886*4.7</f>
        <v/>
      </c>
      <c r="T886" s="7">
        <f>IF(L886&gt;0,R886/L886,0)</f>
        <v/>
      </c>
      <c r="U886" s="3" t="inlineStr">
        <is>
          <t>04/05/2026 12:43:15</t>
        </is>
      </c>
    </row>
    <row r="887">
      <c r="A887" s="3" t="inlineStr">
        <is>
          <t>583848357376787871</t>
        </is>
      </c>
      <c r="B887" s="3" t="inlineStr">
        <is>
          <t>已完成</t>
        </is>
      </c>
      <c r="C887" s="3" t="inlineStr">
        <is>
          <t>C1</t>
        </is>
      </c>
      <c r="D887" s="3" t="inlineStr">
        <is>
          <t>魔芋笋1大袋</t>
        </is>
      </c>
      <c r="E8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7" s="3" t="inlineStr">
        <is>
          <t>รสเผ็ดหอม​, 10 ซอง 200g</t>
        </is>
      </c>
      <c r="G887" s="6" t="n">
        <v>1</v>
      </c>
      <c r="H887" s="6" t="n">
        <v>69</v>
      </c>
      <c r="I887" s="6" t="n">
        <v>0</v>
      </c>
      <c r="J887" s="6" t="n">
        <v>38</v>
      </c>
      <c r="K887" s="6">
        <f>H887+I887</f>
        <v/>
      </c>
      <c r="L887" s="5">
        <f>K887/4.7</f>
        <v/>
      </c>
      <c r="M887" s="6" t="n">
        <v>6.699999999999999</v>
      </c>
      <c r="N887" s="6" t="n">
        <v>1</v>
      </c>
      <c r="O887" s="6">
        <f>(K887*0.1229+1.05)/4.7</f>
        <v/>
      </c>
      <c r="P887" s="6">
        <f>K887*0.0749/4.7</f>
        <v/>
      </c>
      <c r="Q887" s="5">
        <f>M887+N887+O887+P887</f>
        <v/>
      </c>
      <c r="R887" s="5">
        <f>L887-Q887</f>
        <v/>
      </c>
      <c r="S887" s="6">
        <f>R887*4.7</f>
        <v/>
      </c>
      <c r="T887" s="7">
        <f>IF(L887&gt;0,R887/L887,0)</f>
        <v/>
      </c>
      <c r="U887" s="3" t="inlineStr">
        <is>
          <t>04/05/2026 10:34:22</t>
        </is>
      </c>
    </row>
    <row r="888">
      <c r="A888" s="3" t="inlineStr">
        <is>
          <t>583845930747987396</t>
        </is>
      </c>
      <c r="B888" s="3" t="inlineStr">
        <is>
          <t>已取消</t>
        </is>
      </c>
      <c r="C888" s="3" t="inlineStr">
        <is>
          <t>C1</t>
        </is>
      </c>
      <c r="D888" s="3" t="inlineStr">
        <is>
          <t>魔芋笋1大袋</t>
        </is>
      </c>
      <c r="E8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8" s="3" t="inlineStr">
        <is>
          <t>รสเผ็ดหอม​, 10 ซอง 200g</t>
        </is>
      </c>
      <c r="G888" s="6" t="n">
        <v>1</v>
      </c>
      <c r="H888" s="6" t="n">
        <v>69</v>
      </c>
      <c r="I888" s="6" t="n">
        <v>0</v>
      </c>
      <c r="J888" s="6" t="n">
        <v>35</v>
      </c>
      <c r="K888" s="6">
        <f>H888+I888</f>
        <v/>
      </c>
      <c r="L888" s="5">
        <f>K888/4.7</f>
        <v/>
      </c>
      <c r="M888" s="6" t="n">
        <v>6.699999999999999</v>
      </c>
      <c r="N888" s="6" t="n">
        <v>1</v>
      </c>
      <c r="O888" s="6">
        <f>(K888*0.1229+1.05)/4.7</f>
        <v/>
      </c>
      <c r="P888" s="6">
        <f>K888*0.0749/4.7</f>
        <v/>
      </c>
      <c r="Q888" s="5">
        <f>M888+N888+O888+P888</f>
        <v/>
      </c>
      <c r="R888" s="5">
        <f>L888-Q888</f>
        <v/>
      </c>
      <c r="S888" s="6">
        <f>R888*4.7</f>
        <v/>
      </c>
      <c r="T888" s="7">
        <f>IF(L888&gt;0,R888/L888,0)</f>
        <v/>
      </c>
      <c r="U888" s="3" t="inlineStr">
        <is>
          <t>04/05/2026 07:09:47</t>
        </is>
      </c>
    </row>
    <row r="889">
      <c r="A889" s="3" t="inlineStr">
        <is>
          <t>583845132571280511</t>
        </is>
      </c>
      <c r="B889" s="3" t="inlineStr">
        <is>
          <t>已完成</t>
        </is>
      </c>
      <c r="C889" s="3" t="inlineStr">
        <is>
          <t>C2</t>
        </is>
      </c>
      <c r="D889" s="3" t="inlineStr">
        <is>
          <t>魔芋笋2大袋</t>
        </is>
      </c>
      <c r="E8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9" s="3" t="inlineStr">
        <is>
          <t>รสเผ็ดหอม​, 20 ซอง 400g</t>
        </is>
      </c>
      <c r="G889" s="6" t="n">
        <v>1</v>
      </c>
      <c r="H889" s="6" t="n">
        <v>202.4</v>
      </c>
      <c r="I889" s="6" t="n">
        <v>9.779999999999999</v>
      </c>
      <c r="J889" s="6" t="n">
        <v>54</v>
      </c>
      <c r="K889" s="6">
        <f>H889+I889</f>
        <v/>
      </c>
      <c r="L889" s="5">
        <f>K889/4.7</f>
        <v/>
      </c>
      <c r="M889" s="6" t="n">
        <v>13.4</v>
      </c>
      <c r="N889" s="6" t="n">
        <v>1</v>
      </c>
      <c r="O889" s="6">
        <f>(K889*0.1229+1.05)/4.7</f>
        <v/>
      </c>
      <c r="P889" s="6">
        <f>K889*0.0749/4.7</f>
        <v/>
      </c>
      <c r="Q889" s="5">
        <f>M889+N889+O889+P889</f>
        <v/>
      </c>
      <c r="R889" s="5">
        <f>L889-Q889</f>
        <v/>
      </c>
      <c r="S889" s="6">
        <f>R889*4.7</f>
        <v/>
      </c>
      <c r="T889" s="7">
        <f>IF(L889&gt;0,R889/L889,0)</f>
        <v/>
      </c>
      <c r="U889" s="3" t="inlineStr">
        <is>
          <t>04/05/2026 05:17:06</t>
        </is>
      </c>
    </row>
    <row r="890">
      <c r="A890" s="3" t="inlineStr">
        <is>
          <t>583845132571280511</t>
        </is>
      </c>
      <c r="B890" s="3" t="inlineStr">
        <is>
          <t>已完成</t>
        </is>
      </c>
      <c r="C890" s="3" t="inlineStr">
        <is>
          <t>Js18</t>
        </is>
      </c>
      <c r="D890" s="3" t="inlineStr">
        <is>
          <t>果冻18个</t>
        </is>
      </c>
      <c r="E890" s="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F890" s="3" t="inlineStr">
        <is>
          <t>18 ซอง / 288 กรัม (คละ 3 รสชาติ)</t>
        </is>
      </c>
      <c r="G890" s="6" t="n">
        <v>1</v>
      </c>
      <c r="H890" s="6" t="n">
        <v>202.4</v>
      </c>
      <c r="I890" s="6" t="n">
        <v>7.82</v>
      </c>
      <c r="J890" s="6" t="n">
        <v>54</v>
      </c>
      <c r="K890" s="6">
        <f>H890+I890</f>
        <v/>
      </c>
      <c r="L890" s="5">
        <f>K890/4.7</f>
        <v/>
      </c>
      <c r="M890" s="6" t="n">
        <v>12</v>
      </c>
      <c r="N890" s="6" t="n">
        <v>1</v>
      </c>
      <c r="O890" s="6">
        <f>(K890*0.1229+1.05)/4.7</f>
        <v/>
      </c>
      <c r="P890" s="6">
        <f>K890*0.0749/4.7</f>
        <v/>
      </c>
      <c r="Q890" s="5">
        <f>M890+N890+O890+P890</f>
        <v/>
      </c>
      <c r="R890" s="5">
        <f>L890-Q890</f>
        <v/>
      </c>
      <c r="S890" s="6">
        <f>R890*4.7</f>
        <v/>
      </c>
      <c r="T890" s="7">
        <f>IF(L890&gt;0,R890/L890,0)</f>
        <v/>
      </c>
      <c r="U890" s="3" t="inlineStr">
        <is>
          <t>04/05/2026 05:17:06</t>
        </is>
      </c>
    </row>
    <row r="891">
      <c r="A891" s="3" t="inlineStr">
        <is>
          <t>583845034805527819</t>
        </is>
      </c>
      <c r="B891" s="3" t="inlineStr">
        <is>
          <t>已完成</t>
        </is>
      </c>
      <c r="C891" s="3" t="inlineStr">
        <is>
          <t>C1</t>
        </is>
      </c>
      <c r="D891" s="3" t="inlineStr">
        <is>
          <t>魔芋笋1大袋</t>
        </is>
      </c>
      <c r="E8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1" s="3" t="inlineStr">
        <is>
          <t>รสเผ็ดหอม​, 10 ซอง 200g</t>
        </is>
      </c>
      <c r="G891" s="6" t="n">
        <v>1</v>
      </c>
      <c r="H891" s="6" t="n">
        <v>55.13</v>
      </c>
      <c r="I891" s="6" t="n">
        <v>13.87</v>
      </c>
      <c r="J891" s="6" t="n">
        <v>38</v>
      </c>
      <c r="K891" s="6">
        <f>H891+I891</f>
        <v/>
      </c>
      <c r="L891" s="5">
        <f>K891/4.7</f>
        <v/>
      </c>
      <c r="M891" s="6" t="n">
        <v>6.699999999999999</v>
      </c>
      <c r="N891" s="6" t="n">
        <v>1</v>
      </c>
      <c r="O891" s="6">
        <f>(K891*0.1229+1.05)/4.7</f>
        <v/>
      </c>
      <c r="P891" s="6">
        <f>K891*0.0749/4.7</f>
        <v/>
      </c>
      <c r="Q891" s="5">
        <f>M891+N891+O891+P891</f>
        <v/>
      </c>
      <c r="R891" s="5">
        <f>L891-Q891</f>
        <v/>
      </c>
      <c r="S891" s="6">
        <f>R891*4.7</f>
        <v/>
      </c>
      <c r="T891" s="7">
        <f>IF(L891&gt;0,R891/L891,0)</f>
        <v/>
      </c>
      <c r="U891" s="3" t="inlineStr">
        <is>
          <t>04/05/2026 04:52:10</t>
        </is>
      </c>
    </row>
    <row r="892">
      <c r="A892" s="3" t="inlineStr">
        <is>
          <t>583844723863225466</t>
        </is>
      </c>
      <c r="B892" s="3" t="inlineStr">
        <is>
          <t>已完成</t>
        </is>
      </c>
      <c r="C892" s="3" t="inlineStr">
        <is>
          <t>C2</t>
        </is>
      </c>
      <c r="D892" s="3" t="inlineStr">
        <is>
          <t>魔芋笋2大袋</t>
        </is>
      </c>
      <c r="E8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2" s="3" t="inlineStr">
        <is>
          <t>รสเผ็ดหอม​, 20 ซอง 400g</t>
        </is>
      </c>
      <c r="G892" s="6" t="n">
        <v>1</v>
      </c>
      <c r="H892" s="6" t="n">
        <v>120</v>
      </c>
      <c r="I892" s="6" t="n">
        <v>0</v>
      </c>
      <c r="J892" s="6" t="n">
        <v>38</v>
      </c>
      <c r="K892" s="6">
        <f>H892+I892</f>
        <v/>
      </c>
      <c r="L892" s="5">
        <f>K892/4.7</f>
        <v/>
      </c>
      <c r="M892" s="6" t="n">
        <v>13.4</v>
      </c>
      <c r="N892" s="6" t="n">
        <v>1</v>
      </c>
      <c r="O892" s="6">
        <f>(K892*0.1229+1.05)/4.7</f>
        <v/>
      </c>
      <c r="P892" s="6">
        <f>K892*0.0749/4.7</f>
        <v/>
      </c>
      <c r="Q892" s="5">
        <f>M892+N892+O892+P892</f>
        <v/>
      </c>
      <c r="R892" s="5">
        <f>L892-Q892</f>
        <v/>
      </c>
      <c r="S892" s="6">
        <f>R892*4.7</f>
        <v/>
      </c>
      <c r="T892" s="7">
        <f>IF(L892&gt;0,R892/L892,0)</f>
        <v/>
      </c>
      <c r="U892" s="3" t="inlineStr">
        <is>
          <t>04/05/2026 03:21:53</t>
        </is>
      </c>
    </row>
    <row r="893">
      <c r="A893" s="3" t="inlineStr">
        <is>
          <t>583844441688540870</t>
        </is>
      </c>
      <c r="B893" s="3" t="inlineStr">
        <is>
          <t>已完成</t>
        </is>
      </c>
      <c r="C893" s="3" t="inlineStr">
        <is>
          <t>C5s</t>
        </is>
      </c>
      <c r="D893" s="3" t="inlineStr">
        <is>
          <t>香辣味魔芋笋5小袋</t>
        </is>
      </c>
      <c r="E8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3" s="3" t="inlineStr">
        <is>
          <t>รสเผ็ดหอม​, 5 ซอง 100g</t>
        </is>
      </c>
      <c r="G893" s="6" t="n">
        <v>1</v>
      </c>
      <c r="H893" s="6" t="n">
        <v>47</v>
      </c>
      <c r="I893" s="6" t="n">
        <v>0</v>
      </c>
      <c r="J893" s="6" t="n">
        <v>35</v>
      </c>
      <c r="K893" s="6">
        <f>H893+I893</f>
        <v/>
      </c>
      <c r="L893" s="5">
        <f>K893/4.7</f>
        <v/>
      </c>
      <c r="M893" s="6" t="n">
        <v>3.35</v>
      </c>
      <c r="N893" s="6" t="n">
        <v>1</v>
      </c>
      <c r="O893" s="6">
        <f>(K893*0.1229+1.05)/4.7</f>
        <v/>
      </c>
      <c r="P893" s="6">
        <f>K893*0.0749/4.7</f>
        <v/>
      </c>
      <c r="Q893" s="5">
        <f>M893+N893+O893+P893</f>
        <v/>
      </c>
      <c r="R893" s="5">
        <f>L893-Q893</f>
        <v/>
      </c>
      <c r="S893" s="6">
        <f>R893*4.7</f>
        <v/>
      </c>
      <c r="T893" s="7">
        <f>IF(L893&gt;0,R893/L893,0)</f>
        <v/>
      </c>
      <c r="U893" s="3" t="inlineStr">
        <is>
          <t>04/05/2026 02:02:04</t>
        </is>
      </c>
    </row>
    <row r="894">
      <c r="A894" s="3" t="inlineStr">
        <is>
          <t>583844019563628290</t>
        </is>
      </c>
      <c r="B894" s="3" t="inlineStr">
        <is>
          <t>已完成</t>
        </is>
      </c>
      <c r="C894" s="3" t="inlineStr">
        <is>
          <t>C3</t>
        </is>
      </c>
      <c r="D894" s="3" t="inlineStr">
        <is>
          <t>魔芋笋3大袋</t>
        </is>
      </c>
      <c r="E8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4" s="3" t="inlineStr">
        <is>
          <t>รสเผ็ดหอม​, 30 ซอง 600g</t>
        </is>
      </c>
      <c r="G894" s="6" t="n">
        <v>1</v>
      </c>
      <c r="H894" s="6" t="n">
        <v>236</v>
      </c>
      <c r="I894" s="6" t="n">
        <v>0</v>
      </c>
      <c r="J894" s="6" t="n">
        <v>48</v>
      </c>
      <c r="K894" s="6">
        <f>H894+I894</f>
        <v/>
      </c>
      <c r="L894" s="5">
        <f>K894/4.7</f>
        <v/>
      </c>
      <c r="M894" s="6" t="n">
        <v>20.1</v>
      </c>
      <c r="N894" s="6" t="n">
        <v>1</v>
      </c>
      <c r="O894" s="6">
        <f>(K894*0.1229+1.05)/4.7</f>
        <v/>
      </c>
      <c r="P894" s="6">
        <f>K894*0.0749/4.7</f>
        <v/>
      </c>
      <c r="Q894" s="5">
        <f>M894+N894+O894+P894</f>
        <v/>
      </c>
      <c r="R894" s="5">
        <f>L894-Q894</f>
        <v/>
      </c>
      <c r="S894" s="6">
        <f>R894*4.7</f>
        <v/>
      </c>
      <c r="T894" s="7">
        <f>IF(L894&gt;0,R894/L894,0)</f>
        <v/>
      </c>
      <c r="U894" s="3" t="inlineStr">
        <is>
          <t>04/05/2026 00:43:17</t>
        </is>
      </c>
    </row>
    <row r="895">
      <c r="A895" s="3" t="inlineStr">
        <is>
          <t>583844019563628290</t>
        </is>
      </c>
      <c r="B895" s="3" t="inlineStr">
        <is>
          <t>已完成</t>
        </is>
      </c>
      <c r="C895" s="3" t="inlineStr">
        <is>
          <t>B1</t>
        </is>
      </c>
      <c r="D895" s="3" t="inlineStr">
        <is>
          <t>魔芋笋1大袋</t>
        </is>
      </c>
      <c r="E8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5" s="3" t="inlineStr">
        <is>
          <t>รสเปรี้ยวเผ็ด​, 10 ซอง 200g</t>
        </is>
      </c>
      <c r="G895" s="6" t="n">
        <v>1</v>
      </c>
      <c r="H895" s="6" t="n">
        <v>236</v>
      </c>
      <c r="I895" s="6" t="n">
        <v>0</v>
      </c>
      <c r="J895" s="6" t="n">
        <v>48</v>
      </c>
      <c r="K895" s="6">
        <f>H895+I895</f>
        <v/>
      </c>
      <c r="L895" s="5">
        <f>K895/4.7</f>
        <v/>
      </c>
      <c r="M895" s="6" t="n">
        <v>6.699999999999999</v>
      </c>
      <c r="N895" s="6" t="n">
        <v>1</v>
      </c>
      <c r="O895" s="6">
        <f>(K895*0.1229+1.05)/4.7</f>
        <v/>
      </c>
      <c r="P895" s="6">
        <f>K895*0.0749/4.7</f>
        <v/>
      </c>
      <c r="Q895" s="5">
        <f>M895+N895+O895+P895</f>
        <v/>
      </c>
      <c r="R895" s="5">
        <f>L895-Q895</f>
        <v/>
      </c>
      <c r="S895" s="6">
        <f>R895*4.7</f>
        <v/>
      </c>
      <c r="T895" s="7">
        <f>IF(L895&gt;0,R895/L895,0)</f>
        <v/>
      </c>
      <c r="U895" s="3" t="inlineStr">
        <is>
          <t>04/05/2026 00:43:17</t>
        </is>
      </c>
    </row>
    <row r="896">
      <c r="A896" s="3" t="inlineStr">
        <is>
          <t>583843911797670912</t>
        </is>
      </c>
      <c r="B896" s="3" t="inlineStr">
        <is>
          <t>已完成</t>
        </is>
      </c>
      <c r="C896" s="3" t="inlineStr">
        <is>
          <t>C2</t>
        </is>
      </c>
      <c r="D896" s="3" t="inlineStr">
        <is>
          <t>魔芋笋2大袋</t>
        </is>
      </c>
      <c r="E8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6" s="3" t="inlineStr">
        <is>
          <t>รสเผ็ดหอม​, 20 ซอง 400g</t>
        </is>
      </c>
      <c r="G896" s="6" t="n">
        <v>1</v>
      </c>
      <c r="H896" s="6" t="n">
        <v>223.25</v>
      </c>
      <c r="I896" s="6" t="n">
        <v>13.37</v>
      </c>
      <c r="J896" s="6" t="n">
        <v>98</v>
      </c>
      <c r="K896" s="6">
        <f>H896+I896</f>
        <v/>
      </c>
      <c r="L896" s="5">
        <f>K896/4.7</f>
        <v/>
      </c>
      <c r="M896" s="6" t="n">
        <v>13.4</v>
      </c>
      <c r="N896" s="6" t="n">
        <v>1</v>
      </c>
      <c r="O896" s="6">
        <f>(K896*0.1229+1.05)/4.7</f>
        <v/>
      </c>
      <c r="P896" s="6">
        <f>K896*0.0749/4.7</f>
        <v/>
      </c>
      <c r="Q896" s="5">
        <f>M896+N896+O896+P896</f>
        <v/>
      </c>
      <c r="R896" s="5">
        <f>L896-Q896</f>
        <v/>
      </c>
      <c r="S896" s="6">
        <f>R896*4.7</f>
        <v/>
      </c>
      <c r="T896" s="7">
        <f>IF(L896&gt;0,R896/L896,0)</f>
        <v/>
      </c>
      <c r="U896" s="3" t="inlineStr">
        <is>
          <t>04/05/2026 00:31:07</t>
        </is>
      </c>
    </row>
    <row r="897">
      <c r="A897" s="3" t="inlineStr">
        <is>
          <t>583843911797670912</t>
        </is>
      </c>
      <c r="B897" s="3" t="inlineStr">
        <is>
          <t>已完成</t>
        </is>
      </c>
      <c r="C897" s="3" t="inlineStr">
        <is>
          <t>B2</t>
        </is>
      </c>
      <c r="D897" s="3" t="inlineStr">
        <is>
          <t>魔芋笋2大袋</t>
        </is>
      </c>
      <c r="E8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7" s="3" t="inlineStr">
        <is>
          <t>รสเปรี้ยวเผ็ด​, 20 ซอง 400g</t>
        </is>
      </c>
      <c r="G897" s="6" t="n">
        <v>1</v>
      </c>
      <c r="H897" s="6" t="n">
        <v>223.25</v>
      </c>
      <c r="I897" s="6" t="n">
        <v>13.38</v>
      </c>
      <c r="J897" s="6" t="n">
        <v>98</v>
      </c>
      <c r="K897" s="6">
        <f>H897+I897</f>
        <v/>
      </c>
      <c r="L897" s="5">
        <f>K897/4.7</f>
        <v/>
      </c>
      <c r="M897" s="6" t="n">
        <v>13.4</v>
      </c>
      <c r="N897" s="6" t="n">
        <v>1</v>
      </c>
      <c r="O897" s="6">
        <f>(K897*0.1229+1.05)/4.7</f>
        <v/>
      </c>
      <c r="P897" s="6">
        <f>K897*0.0749/4.7</f>
        <v/>
      </c>
      <c r="Q897" s="5">
        <f>M897+N897+O897+P897</f>
        <v/>
      </c>
      <c r="R897" s="5">
        <f>L897-Q897</f>
        <v/>
      </c>
      <c r="S897" s="6">
        <f>R897*4.7</f>
        <v/>
      </c>
      <c r="T897" s="7">
        <f>IF(L897&gt;0,R897/L897,0)</f>
        <v/>
      </c>
      <c r="U897" s="3" t="inlineStr">
        <is>
          <t>04/05/2026 00:31:07</t>
        </is>
      </c>
    </row>
    <row r="898">
      <c r="A898" s="3" t="inlineStr">
        <is>
          <t>583843817834579621</t>
        </is>
      </c>
      <c r="B898" s="3" t="inlineStr">
        <is>
          <t>已完成</t>
        </is>
      </c>
      <c r="C898" s="3" t="inlineStr">
        <is>
          <t>C3</t>
        </is>
      </c>
      <c r="D898" s="3" t="inlineStr">
        <is>
          <t>魔芋笋3大袋</t>
        </is>
      </c>
      <c r="E8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8" s="3" t="inlineStr">
        <is>
          <t>รสเผ็ดหอม​, 30 ซอง 600g</t>
        </is>
      </c>
      <c r="G898" s="6" t="n">
        <v>1</v>
      </c>
      <c r="H898" s="6" t="n">
        <v>167</v>
      </c>
      <c r="I898" s="6" t="n">
        <v>0</v>
      </c>
      <c r="J898" s="6" t="n">
        <v>23</v>
      </c>
      <c r="K898" s="6">
        <f>H898+I898</f>
        <v/>
      </c>
      <c r="L898" s="5">
        <f>K898/4.7</f>
        <v/>
      </c>
      <c r="M898" s="6" t="n">
        <v>20.1</v>
      </c>
      <c r="N898" s="6" t="n">
        <v>1</v>
      </c>
      <c r="O898" s="6">
        <f>(K898*0.1229+1.05)/4.7</f>
        <v/>
      </c>
      <c r="P898" s="6">
        <f>K898*0.0749/4.7</f>
        <v/>
      </c>
      <c r="Q898" s="5">
        <f>M898+N898+O898+P898</f>
        <v/>
      </c>
      <c r="R898" s="5">
        <f>L898-Q898</f>
        <v/>
      </c>
      <c r="S898" s="6">
        <f>R898*4.7</f>
        <v/>
      </c>
      <c r="T898" s="7">
        <f>IF(L898&gt;0,R898/L898,0)</f>
        <v/>
      </c>
      <c r="U898" s="3" t="inlineStr">
        <is>
          <t>04/05/2026 00:18:53</t>
        </is>
      </c>
    </row>
    <row r="899">
      <c r="A899" s="3" t="inlineStr">
        <is>
          <t>583843553807795468</t>
        </is>
      </c>
      <c r="B899" s="3" t="inlineStr">
        <is>
          <t>已完成</t>
        </is>
      </c>
      <c r="C899" s="3" t="inlineStr">
        <is>
          <t>C2</t>
        </is>
      </c>
      <c r="D899" s="3" t="inlineStr">
        <is>
          <t>魔芋笋2大袋</t>
        </is>
      </c>
      <c r="E8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9" s="3" t="inlineStr">
        <is>
          <t>รสเผ็ดหอม​, 20 ซอง 400g</t>
        </is>
      </c>
      <c r="G899" s="6" t="n">
        <v>2</v>
      </c>
      <c r="H899" s="6" t="n">
        <v>232.75</v>
      </c>
      <c r="I899" s="6" t="n">
        <v>12.25</v>
      </c>
      <c r="J899" s="6" t="n">
        <v>48</v>
      </c>
      <c r="K899" s="6">
        <f>H899+I899</f>
        <v/>
      </c>
      <c r="L899" s="5">
        <f>K899/4.7</f>
        <v/>
      </c>
      <c r="M899" s="6" t="n">
        <v>26.8</v>
      </c>
      <c r="N899" s="6" t="n">
        <v>1</v>
      </c>
      <c r="O899" s="6">
        <f>(K899*0.1229+1.05)/4.7</f>
        <v/>
      </c>
      <c r="P899" s="6">
        <f>K899*0.0749/4.7</f>
        <v/>
      </c>
      <c r="Q899" s="5">
        <f>M899+N899+O899+P899</f>
        <v/>
      </c>
      <c r="R899" s="5">
        <f>L899-Q899</f>
        <v/>
      </c>
      <c r="S899" s="6">
        <f>R899*4.7</f>
        <v/>
      </c>
      <c r="T899" s="7">
        <f>IF(L899&gt;0,R899/L899,0)</f>
        <v/>
      </c>
      <c r="U899" s="3" t="inlineStr">
        <is>
          <t>03/05/2026 23:49:51</t>
        </is>
      </c>
    </row>
    <row r="900">
      <c r="A900" s="3" t="inlineStr">
        <is>
          <t>583843029285439108</t>
        </is>
      </c>
      <c r="B900" s="3" t="inlineStr">
        <is>
          <t>已完成</t>
        </is>
      </c>
      <c r="C900" s="3" t="inlineStr">
        <is>
          <t>B2</t>
        </is>
      </c>
      <c r="D900" s="3" t="inlineStr">
        <is>
          <t>魔芋笋2大袋</t>
        </is>
      </c>
      <c r="E90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0" s="3" t="inlineStr">
        <is>
          <t>รสเปรี้ยวเผ็ด​, 20 ซอง 400g</t>
        </is>
      </c>
      <c r="G900" s="6" t="n">
        <v>1</v>
      </c>
      <c r="H900" s="6" t="n">
        <v>222.85</v>
      </c>
      <c r="I900" s="6" t="n">
        <v>11.08</v>
      </c>
      <c r="J900" s="6" t="n">
        <v>98</v>
      </c>
      <c r="K900" s="6">
        <f>H900+I900</f>
        <v/>
      </c>
      <c r="L900" s="5">
        <f>K900/4.7</f>
        <v/>
      </c>
      <c r="M900" s="6" t="n">
        <v>13.4</v>
      </c>
      <c r="N900" s="6" t="n">
        <v>1</v>
      </c>
      <c r="O900" s="6">
        <f>(K900*0.1229+1.05)/4.7</f>
        <v/>
      </c>
      <c r="P900" s="6">
        <f>K900*0.0749/4.7</f>
        <v/>
      </c>
      <c r="Q900" s="5">
        <f>M900+N900+O900+P900</f>
        <v/>
      </c>
      <c r="R900" s="5">
        <f>L900-Q900</f>
        <v/>
      </c>
      <c r="S900" s="6">
        <f>R900*4.7</f>
        <v/>
      </c>
      <c r="T900" s="7">
        <f>IF(L900&gt;0,R900/L900,0)</f>
        <v/>
      </c>
      <c r="U900" s="3" t="inlineStr">
        <is>
          <t>03/05/2026 22:58:54</t>
        </is>
      </c>
    </row>
    <row r="901">
      <c r="A901" s="3" t="inlineStr">
        <is>
          <t>583843029285439108</t>
        </is>
      </c>
      <c r="B901" s="3" t="inlineStr">
        <is>
          <t>已完成</t>
        </is>
      </c>
      <c r="C901" s="3" t="inlineStr">
        <is>
          <t>C2</t>
        </is>
      </c>
      <c r="D901" s="3" t="inlineStr">
        <is>
          <t>魔芋笋2大袋</t>
        </is>
      </c>
      <c r="E9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1" s="3" t="inlineStr">
        <is>
          <t>รสเผ็ดหอม​, 20 ซอง 400g</t>
        </is>
      </c>
      <c r="G901" s="6" t="n">
        <v>1</v>
      </c>
      <c r="H901" s="6" t="n">
        <v>222.85</v>
      </c>
      <c r="I901" s="6" t="n">
        <v>11.07</v>
      </c>
      <c r="J901" s="6" t="n">
        <v>98</v>
      </c>
      <c r="K901" s="6">
        <f>H901+I901</f>
        <v/>
      </c>
      <c r="L901" s="5">
        <f>K901/4.7</f>
        <v/>
      </c>
      <c r="M901" s="6" t="n">
        <v>13.4</v>
      </c>
      <c r="N901" s="6" t="n">
        <v>1</v>
      </c>
      <c r="O901" s="6">
        <f>(K901*0.1229+1.05)/4.7</f>
        <v/>
      </c>
      <c r="P901" s="6">
        <f>K901*0.0749/4.7</f>
        <v/>
      </c>
      <c r="Q901" s="5">
        <f>M901+N901+O901+P901</f>
        <v/>
      </c>
      <c r="R901" s="5">
        <f>L901-Q901</f>
        <v/>
      </c>
      <c r="S901" s="6">
        <f>R901*4.7</f>
        <v/>
      </c>
      <c r="T901" s="7">
        <f>IF(L901&gt;0,R901/L901,0)</f>
        <v/>
      </c>
      <c r="U901" s="3" t="inlineStr">
        <is>
          <t>03/05/2026 22:58:54</t>
        </is>
      </c>
    </row>
    <row r="902">
      <c r="A902" s="3" t="inlineStr">
        <is>
          <t>583840410505086077</t>
        </is>
      </c>
      <c r="B902" s="3" t="inlineStr">
        <is>
          <t>已完成</t>
        </is>
      </c>
      <c r="C902" s="3" t="inlineStr">
        <is>
          <t>C5s</t>
        </is>
      </c>
      <c r="D902" s="3" t="inlineStr">
        <is>
          <t>香辣味魔芋笋5小袋</t>
        </is>
      </c>
      <c r="E9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2" s="3" t="inlineStr">
        <is>
          <t>รสเผ็ดหอม​, 5 ซอง 100g</t>
        </is>
      </c>
      <c r="G902" s="6" t="n">
        <v>1</v>
      </c>
      <c r="H902" s="6" t="n">
        <v>94</v>
      </c>
      <c r="I902" s="6" t="n">
        <v>0</v>
      </c>
      <c r="J902" s="6" t="n">
        <v>35</v>
      </c>
      <c r="K902" s="6">
        <f>H902+I902</f>
        <v/>
      </c>
      <c r="L902" s="5">
        <f>K902/4.7</f>
        <v/>
      </c>
      <c r="M902" s="6" t="n">
        <v>3.35</v>
      </c>
      <c r="N902" s="6" t="n">
        <v>1</v>
      </c>
      <c r="O902" s="6">
        <f>(K902*0.1229+1.05)/4.7</f>
        <v/>
      </c>
      <c r="P902" s="6">
        <f>K902*0.0749/4.7</f>
        <v/>
      </c>
      <c r="Q902" s="5">
        <f>M902+N902+O902+P902</f>
        <v/>
      </c>
      <c r="R902" s="5">
        <f>L902-Q902</f>
        <v/>
      </c>
      <c r="S902" s="6">
        <f>R902*4.7</f>
        <v/>
      </c>
      <c r="T902" s="7">
        <f>IF(L902&gt;0,R902/L902,0)</f>
        <v/>
      </c>
      <c r="U902" s="3" t="inlineStr">
        <is>
          <t>03/05/2026 20:14:34</t>
        </is>
      </c>
    </row>
    <row r="903">
      <c r="A903" s="3" t="inlineStr">
        <is>
          <t>583840410505086077</t>
        </is>
      </c>
      <c r="B903" s="3" t="inlineStr">
        <is>
          <t>已完成</t>
        </is>
      </c>
      <c r="C903" s="3" t="inlineStr">
        <is>
          <t>B5s</t>
        </is>
      </c>
      <c r="D903" s="3" t="inlineStr">
        <is>
          <t>酸辣味5小袋</t>
        </is>
      </c>
      <c r="E9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3" s="3" t="inlineStr">
        <is>
          <t>รสเปรี้ยวเผ็ด​, 5 ซอง 100g</t>
        </is>
      </c>
      <c r="G903" s="6" t="n">
        <v>1</v>
      </c>
      <c r="H903" s="6" t="n">
        <v>94</v>
      </c>
      <c r="I903" s="6" t="n">
        <v>0</v>
      </c>
      <c r="J903" s="6" t="n">
        <v>35</v>
      </c>
      <c r="K903" s="6">
        <f>H903+I903</f>
        <v/>
      </c>
      <c r="L903" s="5">
        <f>K903/4.7</f>
        <v/>
      </c>
      <c r="M903" s="6" t="n">
        <v>3.35</v>
      </c>
      <c r="N903" s="6" t="n">
        <v>1</v>
      </c>
      <c r="O903" s="6">
        <f>(K903*0.1229+1.05)/4.7</f>
        <v/>
      </c>
      <c r="P903" s="6">
        <f>K903*0.0749/4.7</f>
        <v/>
      </c>
      <c r="Q903" s="5">
        <f>M903+N903+O903+P903</f>
        <v/>
      </c>
      <c r="R903" s="5">
        <f>L903-Q903</f>
        <v/>
      </c>
      <c r="S903" s="6">
        <f>R903*4.7</f>
        <v/>
      </c>
      <c r="T903" s="7">
        <f>IF(L903&gt;0,R903/L903,0)</f>
        <v/>
      </c>
      <c r="U903" s="3" t="inlineStr">
        <is>
          <t>03/05/2026 20:14:34</t>
        </is>
      </c>
    </row>
    <row r="904">
      <c r="A904" s="3" t="inlineStr">
        <is>
          <t>583839862752511122</t>
        </is>
      </c>
      <c r="B904" s="3" t="inlineStr">
        <is>
          <t>已完成</t>
        </is>
      </c>
      <c r="C904" s="3" t="inlineStr">
        <is>
          <t>C1</t>
        </is>
      </c>
      <c r="D904" s="3" t="inlineStr">
        <is>
          <t>魔芋笋1大袋</t>
        </is>
      </c>
      <c r="E9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4" s="3" t="inlineStr">
        <is>
          <t>รสเผ็ดหอม​, 10 ซอง 200g</t>
        </is>
      </c>
      <c r="G904" s="6" t="n">
        <v>1</v>
      </c>
      <c r="H904" s="6" t="n">
        <v>69</v>
      </c>
      <c r="I904" s="6" t="n">
        <v>0</v>
      </c>
      <c r="J904" s="6" t="n">
        <v>38</v>
      </c>
      <c r="K904" s="6">
        <f>H904+I904</f>
        <v/>
      </c>
      <c r="L904" s="5">
        <f>K904/4.7</f>
        <v/>
      </c>
      <c r="M904" s="6" t="n">
        <v>6.699999999999999</v>
      </c>
      <c r="N904" s="6" t="n">
        <v>1</v>
      </c>
      <c r="O904" s="6">
        <f>(K904*0.1229+1.05)/4.7</f>
        <v/>
      </c>
      <c r="P904" s="6">
        <f>K904*0.0749/4.7</f>
        <v/>
      </c>
      <c r="Q904" s="5">
        <f>M904+N904+O904+P904</f>
        <v/>
      </c>
      <c r="R904" s="5">
        <f>L904-Q904</f>
        <v/>
      </c>
      <c r="S904" s="6">
        <f>R904*4.7</f>
        <v/>
      </c>
      <c r="T904" s="7">
        <f>IF(L904&gt;0,R904/L904,0)</f>
        <v/>
      </c>
      <c r="U904" s="3" t="inlineStr">
        <is>
          <t>03/05/2026 19:39:01</t>
        </is>
      </c>
    </row>
    <row r="905">
      <c r="A905" s="3" t="inlineStr">
        <is>
          <t>583839357731374568</t>
        </is>
      </c>
      <c r="B905" s="3" t="inlineStr">
        <is>
          <t>已完成</t>
        </is>
      </c>
      <c r="C905" s="3" t="inlineStr">
        <is>
          <t>C1</t>
        </is>
      </c>
      <c r="D905" s="3" t="inlineStr">
        <is>
          <t>魔芋笋1大袋</t>
        </is>
      </c>
      <c r="E9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5" s="3" t="inlineStr">
        <is>
          <t>รสเผ็ดหอม​, 10 ซอง 200g</t>
        </is>
      </c>
      <c r="G905" s="6" t="n">
        <v>1</v>
      </c>
      <c r="H905" s="6" t="n">
        <v>69</v>
      </c>
      <c r="I905" s="6" t="n">
        <v>0</v>
      </c>
      <c r="J905" s="6" t="n">
        <v>38</v>
      </c>
      <c r="K905" s="6">
        <f>H905+I905</f>
        <v/>
      </c>
      <c r="L905" s="5">
        <f>K905/4.7</f>
        <v/>
      </c>
      <c r="M905" s="6" t="n">
        <v>6.699999999999999</v>
      </c>
      <c r="N905" s="6" t="n">
        <v>1</v>
      </c>
      <c r="O905" s="6">
        <f>(K905*0.1229+1.05)/4.7</f>
        <v/>
      </c>
      <c r="P905" s="6">
        <f>K905*0.0749/4.7</f>
        <v/>
      </c>
      <c r="Q905" s="5">
        <f>M905+N905+O905+P905</f>
        <v/>
      </c>
      <c r="R905" s="5">
        <f>L905-Q905</f>
        <v/>
      </c>
      <c r="S905" s="6">
        <f>R905*4.7</f>
        <v/>
      </c>
      <c r="T905" s="7">
        <f>IF(L905&gt;0,R905/L905,0)</f>
        <v/>
      </c>
      <c r="U905" s="3" t="inlineStr">
        <is>
          <t>03/05/2026 19:07:33</t>
        </is>
      </c>
    </row>
    <row r="906">
      <c r="A906" s="3" t="inlineStr">
        <is>
          <t>583838732483724553</t>
        </is>
      </c>
      <c r="B906" s="3" t="inlineStr">
        <is>
          <t>已取消</t>
        </is>
      </c>
      <c r="C906" s="3" t="inlineStr">
        <is>
          <t>B5s</t>
        </is>
      </c>
      <c r="D906" s="3" t="inlineStr">
        <is>
          <t>酸辣味5小袋</t>
        </is>
      </c>
      <c r="E9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6" s="3" t="inlineStr">
        <is>
          <t>รสเปรี้ยวเผ็ด​, 5 ซอง 100g</t>
        </is>
      </c>
      <c r="G906" s="6" t="n">
        <v>1</v>
      </c>
      <c r="H906" s="6" t="n">
        <v>47</v>
      </c>
      <c r="I906" s="6" t="n">
        <v>0</v>
      </c>
      <c r="J906" s="6" t="n">
        <v>35</v>
      </c>
      <c r="K906" s="6">
        <f>H906+I906</f>
        <v/>
      </c>
      <c r="L906" s="5">
        <f>K906/4.7</f>
        <v/>
      </c>
      <c r="M906" s="6" t="n">
        <v>3.35</v>
      </c>
      <c r="N906" s="6" t="n">
        <v>1</v>
      </c>
      <c r="O906" s="6">
        <f>(K906*0.1229+1.05)/4.7</f>
        <v/>
      </c>
      <c r="P906" s="6">
        <f>K906*0.0749/4.7</f>
        <v/>
      </c>
      <c r="Q906" s="5">
        <f>M906+N906+O906+P906</f>
        <v/>
      </c>
      <c r="R906" s="5">
        <f>L906-Q906</f>
        <v/>
      </c>
      <c r="S906" s="6">
        <f>R906*4.7</f>
        <v/>
      </c>
      <c r="T906" s="7">
        <f>IF(L906&gt;0,R906/L906,0)</f>
        <v/>
      </c>
      <c r="U906" s="3" t="inlineStr">
        <is>
          <t>03/05/2026 18:28:09</t>
        </is>
      </c>
    </row>
    <row r="907">
      <c r="A907" s="3" t="inlineStr">
        <is>
          <t>583836406261188363</t>
        </is>
      </c>
      <c r="B907" s="3" t="inlineStr">
        <is>
          <t>已完成</t>
        </is>
      </c>
      <c r="C907" s="3" t="inlineStr">
        <is>
          <t>C1</t>
        </is>
      </c>
      <c r="D907" s="3" t="inlineStr">
        <is>
          <t>魔芋笋1大袋</t>
        </is>
      </c>
      <c r="E9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7" s="3" t="inlineStr">
        <is>
          <t>รสเผ็ดหอม​, 10 ซอง 200g</t>
        </is>
      </c>
      <c r="G907" s="6" t="n">
        <v>1</v>
      </c>
      <c r="H907" s="6" t="n">
        <v>69</v>
      </c>
      <c r="I907" s="6" t="n">
        <v>0</v>
      </c>
      <c r="J907" s="6" t="n">
        <v>38</v>
      </c>
      <c r="K907" s="6">
        <f>H907+I907</f>
        <v/>
      </c>
      <c r="L907" s="5">
        <f>K907/4.7</f>
        <v/>
      </c>
      <c r="M907" s="6" t="n">
        <v>6.699999999999999</v>
      </c>
      <c r="N907" s="6" t="n">
        <v>1</v>
      </c>
      <c r="O907" s="6">
        <f>(K907*0.1229+1.05)/4.7</f>
        <v/>
      </c>
      <c r="P907" s="6">
        <f>K907*0.0749/4.7</f>
        <v/>
      </c>
      <c r="Q907" s="5">
        <f>M907+N907+O907+P907</f>
        <v/>
      </c>
      <c r="R907" s="5">
        <f>L907-Q907</f>
        <v/>
      </c>
      <c r="S907" s="6">
        <f>R907*4.7</f>
        <v/>
      </c>
      <c r="T907" s="7">
        <f>IF(L907&gt;0,R907/L907,0)</f>
        <v/>
      </c>
      <c r="U907" s="3" t="inlineStr">
        <is>
          <t>03/05/2026 15:58:02</t>
        </is>
      </c>
    </row>
    <row r="908">
      <c r="A908" s="3" t="inlineStr">
        <is>
          <t>583836139130095506</t>
        </is>
      </c>
      <c r="B908" s="3" t="inlineStr">
        <is>
          <t>已完成</t>
        </is>
      </c>
      <c r="C908" s="3" t="inlineStr">
        <is>
          <t>C2</t>
        </is>
      </c>
      <c r="D908" s="3" t="inlineStr">
        <is>
          <t>魔芋笋2大袋</t>
        </is>
      </c>
      <c r="E9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8" s="3" t="inlineStr">
        <is>
          <t>รสเผ็ดหอม​, 20 ซอง 400g</t>
        </is>
      </c>
      <c r="G908" s="6" t="n">
        <v>1</v>
      </c>
      <c r="H908" s="6" t="n">
        <v>175</v>
      </c>
      <c r="I908" s="6" t="n">
        <v>0</v>
      </c>
      <c r="J908" s="6" t="n">
        <v>38</v>
      </c>
      <c r="K908" s="6">
        <f>H908+I908</f>
        <v/>
      </c>
      <c r="L908" s="5">
        <f>K908/4.7</f>
        <v/>
      </c>
      <c r="M908" s="6" t="n">
        <v>13.4</v>
      </c>
      <c r="N908" s="6" t="n">
        <v>1</v>
      </c>
      <c r="O908" s="6">
        <f>(K908*0.1229+1.05)/4.7</f>
        <v/>
      </c>
      <c r="P908" s="6">
        <f>K908*0.0749/4.7</f>
        <v/>
      </c>
      <c r="Q908" s="5">
        <f>M908+N908+O908+P908</f>
        <v/>
      </c>
      <c r="R908" s="5">
        <f>L908-Q908</f>
        <v/>
      </c>
      <c r="S908" s="6">
        <f>R908*4.7</f>
        <v/>
      </c>
      <c r="T908" s="7">
        <f>IF(L908&gt;0,R908/L908,0)</f>
        <v/>
      </c>
      <c r="U908" s="3" t="inlineStr">
        <is>
          <t>03/05/2026 15:45:38</t>
        </is>
      </c>
    </row>
    <row r="909">
      <c r="A909" s="3" t="inlineStr">
        <is>
          <t>583836158264837174</t>
        </is>
      </c>
      <c r="B909" s="3" t="inlineStr">
        <is>
          <t>已取消</t>
        </is>
      </c>
      <c r="C909" s="3" t="inlineStr">
        <is>
          <t>ER-B</t>
        </is>
      </c>
      <c r="D909" s="3" t="inlineStr">
        <is>
          <t>广州酒家黄油鸡蛋卷480g</t>
        </is>
      </c>
      <c r="E909" s="3" t="inlineStr">
        <is>
          <t>Egg Roll 2สูตร ทองม้วนไข่กล่องเหล็กพรีเมี่ยม!! GuangZhou Restaurant 454g/480g กล่องล่ะ 24 แท่ง</t>
        </is>
      </c>
      <c r="F909" s="3" t="inlineStr">
        <is>
          <t>Butter สูตรเนยสด พรีเมี่ยม</t>
        </is>
      </c>
      <c r="G909" s="6" t="n">
        <v>1</v>
      </c>
      <c r="H909" s="6" t="n">
        <v>300</v>
      </c>
      <c r="I909" s="6" t="n">
        <v>40</v>
      </c>
      <c r="J909" s="6" t="n">
        <v>38</v>
      </c>
      <c r="K909" s="6">
        <f>H909+I909</f>
        <v/>
      </c>
      <c r="L909" s="5">
        <f>K909/4.7</f>
        <v/>
      </c>
      <c r="M909" s="6" t="n">
        <v>45.49882436351998</v>
      </c>
      <c r="N909" s="6" t="n">
        <v>2</v>
      </c>
      <c r="O909" s="6">
        <f>(K909*0.1229+1.05)/4.7</f>
        <v/>
      </c>
      <c r="P909" s="6">
        <f>K909*0.0749/4.7</f>
        <v/>
      </c>
      <c r="Q909" s="5">
        <f>M909+N909+O909+P909</f>
        <v/>
      </c>
      <c r="R909" s="5">
        <f>L909-Q909</f>
        <v/>
      </c>
      <c r="S909" s="6">
        <f>R909*4.7</f>
        <v/>
      </c>
      <c r="T909" s="7">
        <f>IF(L909&gt;0,R909/L909,0)</f>
        <v/>
      </c>
      <c r="U909" s="3" t="inlineStr">
        <is>
          <t>03/05/2026 15:45:27</t>
        </is>
      </c>
    </row>
    <row r="910">
      <c r="A910" s="3" t="inlineStr">
        <is>
          <t>583835851173561814</t>
        </is>
      </c>
      <c r="B910" s="3" t="inlineStr">
        <is>
          <t>已完成</t>
        </is>
      </c>
      <c r="C910" s="3" t="inlineStr">
        <is>
          <t>B5s</t>
        </is>
      </c>
      <c r="D910" s="3" t="inlineStr">
        <is>
          <t>酸辣味5小袋</t>
        </is>
      </c>
      <c r="E9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0" s="3" t="inlineStr">
        <is>
          <t>รสเปรี้ยวเผ็ด​, 5 ซอง 100g</t>
        </is>
      </c>
      <c r="G910" s="6" t="n">
        <v>1</v>
      </c>
      <c r="H910" s="6" t="n">
        <v>121</v>
      </c>
      <c r="I910" s="6" t="n">
        <v>0</v>
      </c>
      <c r="J910" s="6" t="n">
        <v>38</v>
      </c>
      <c r="K910" s="6">
        <f>H910+I910</f>
        <v/>
      </c>
      <c r="L910" s="5">
        <f>K910/4.7</f>
        <v/>
      </c>
      <c r="M910" s="6" t="n">
        <v>3.35</v>
      </c>
      <c r="N910" s="6" t="n">
        <v>1</v>
      </c>
      <c r="O910" s="6">
        <f>(K910*0.1229+1.05)/4.7</f>
        <v/>
      </c>
      <c r="P910" s="6">
        <f>K910*0.0749/4.7</f>
        <v/>
      </c>
      <c r="Q910" s="5">
        <f>M910+N910+O910+P910</f>
        <v/>
      </c>
      <c r="R910" s="5">
        <f>L910-Q910</f>
        <v/>
      </c>
      <c r="S910" s="6">
        <f>R910*4.7</f>
        <v/>
      </c>
      <c r="T910" s="7">
        <f>IF(L910&gt;0,R910/L910,0)</f>
        <v/>
      </c>
      <c r="U910" s="3" t="inlineStr">
        <is>
          <t>03/05/2026 15:24:15</t>
        </is>
      </c>
    </row>
    <row r="911">
      <c r="A911" s="3" t="inlineStr">
        <is>
          <t>583835851173561814</t>
        </is>
      </c>
      <c r="B911" s="3" t="inlineStr">
        <is>
          <t>已完成</t>
        </is>
      </c>
      <c r="C911" s="3" t="inlineStr">
        <is>
          <t>C1</t>
        </is>
      </c>
      <c r="D911" s="3" t="inlineStr">
        <is>
          <t>魔芋笋1大袋</t>
        </is>
      </c>
      <c r="E9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1" s="3" t="inlineStr">
        <is>
          <t>รสเผ็ดหอม​, 10 ซอง 200g</t>
        </is>
      </c>
      <c r="G911" s="6" t="n">
        <v>1</v>
      </c>
      <c r="H911" s="6" t="n">
        <v>121</v>
      </c>
      <c r="I911" s="6" t="n">
        <v>0</v>
      </c>
      <c r="J911" s="6" t="n">
        <v>38</v>
      </c>
      <c r="K911" s="6">
        <f>H911+I911</f>
        <v/>
      </c>
      <c r="L911" s="5">
        <f>K911/4.7</f>
        <v/>
      </c>
      <c r="M911" s="6" t="n">
        <v>6.699999999999999</v>
      </c>
      <c r="N911" s="6" t="n">
        <v>1</v>
      </c>
      <c r="O911" s="6">
        <f>(K911*0.1229+1.05)/4.7</f>
        <v/>
      </c>
      <c r="P911" s="6">
        <f>K911*0.0749/4.7</f>
        <v/>
      </c>
      <c r="Q911" s="5">
        <f>M911+N911+O911+P911</f>
        <v/>
      </c>
      <c r="R911" s="5">
        <f>L911-Q911</f>
        <v/>
      </c>
      <c r="S911" s="6">
        <f>R911*4.7</f>
        <v/>
      </c>
      <c r="T911" s="7">
        <f>IF(L911&gt;0,R911/L911,0)</f>
        <v/>
      </c>
      <c r="U911" s="3" t="inlineStr">
        <is>
          <t>03/05/2026 15:24:15</t>
        </is>
      </c>
    </row>
    <row r="912">
      <c r="A912" s="3" t="inlineStr">
        <is>
          <t>583835765226898523</t>
        </is>
      </c>
      <c r="B912" s="3" t="inlineStr">
        <is>
          <t>已完成</t>
        </is>
      </c>
      <c r="C912" s="3" t="inlineStr">
        <is>
          <t>B5s</t>
        </is>
      </c>
      <c r="D912" s="3" t="inlineStr">
        <is>
          <t>酸辣味5小袋</t>
        </is>
      </c>
      <c r="E9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2" s="3" t="inlineStr">
        <is>
          <t>รสเปรี้ยวเผ็ด​, 5 ซอง 100g</t>
        </is>
      </c>
      <c r="G912" s="6" t="n">
        <v>1</v>
      </c>
      <c r="H912" s="6" t="n">
        <v>48</v>
      </c>
      <c r="I912" s="6" t="n">
        <v>0</v>
      </c>
      <c r="J912" s="6" t="n">
        <v>35</v>
      </c>
      <c r="K912" s="6">
        <f>H912+I912</f>
        <v/>
      </c>
      <c r="L912" s="5">
        <f>K912/4.7</f>
        <v/>
      </c>
      <c r="M912" s="6" t="n">
        <v>3.35</v>
      </c>
      <c r="N912" s="6" t="n">
        <v>1</v>
      </c>
      <c r="O912" s="6">
        <f>(K912*0.1229+1.05)/4.7</f>
        <v/>
      </c>
      <c r="P912" s="6">
        <f>K912*0.0749/4.7</f>
        <v/>
      </c>
      <c r="Q912" s="5">
        <f>M912+N912+O912+P912</f>
        <v/>
      </c>
      <c r="R912" s="5">
        <f>L912-Q912</f>
        <v/>
      </c>
      <c r="S912" s="6">
        <f>R912*4.7</f>
        <v/>
      </c>
      <c r="T912" s="7">
        <f>IF(L912&gt;0,R912/L912,0)</f>
        <v/>
      </c>
      <c r="U912" s="3" t="inlineStr">
        <is>
          <t>03/05/2026 15:20:03</t>
        </is>
      </c>
    </row>
    <row r="913">
      <c r="A913" s="3" t="inlineStr">
        <is>
          <t>583835680332088928</t>
        </is>
      </c>
      <c r="B913" s="3" t="inlineStr">
        <is>
          <t>已完成</t>
        </is>
      </c>
      <c r="C913" s="3" t="inlineStr">
        <is>
          <t>C5s</t>
        </is>
      </c>
      <c r="D913" s="3" t="inlineStr">
        <is>
          <t>香辣味魔芋笋5小袋</t>
        </is>
      </c>
      <c r="E9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3" s="3" t="inlineStr">
        <is>
          <t>รสเผ็ดหอม​, 5 ซอง 100g</t>
        </is>
      </c>
      <c r="G913" s="6" t="n">
        <v>1</v>
      </c>
      <c r="H913" s="6" t="n">
        <v>47</v>
      </c>
      <c r="I913" s="6" t="n">
        <v>0</v>
      </c>
      <c r="J913" s="6" t="n">
        <v>38</v>
      </c>
      <c r="K913" s="6">
        <f>H913+I913</f>
        <v/>
      </c>
      <c r="L913" s="5">
        <f>K913/4.7</f>
        <v/>
      </c>
      <c r="M913" s="6" t="n">
        <v>3.35</v>
      </c>
      <c r="N913" s="6" t="n">
        <v>1</v>
      </c>
      <c r="O913" s="6">
        <f>(K913*0.1229+1.05)/4.7</f>
        <v/>
      </c>
      <c r="P913" s="6">
        <f>K913*0.0749/4.7</f>
        <v/>
      </c>
      <c r="Q913" s="5">
        <f>M913+N913+O913+P913</f>
        <v/>
      </c>
      <c r="R913" s="5">
        <f>L913-Q913</f>
        <v/>
      </c>
      <c r="S913" s="6">
        <f>R913*4.7</f>
        <v/>
      </c>
      <c r="T913" s="7">
        <f>IF(L913&gt;0,R913/L913,0)</f>
        <v/>
      </c>
      <c r="U913" s="3" t="inlineStr">
        <is>
          <t>03/05/2026 15:18:16</t>
        </is>
      </c>
    </row>
    <row r="914">
      <c r="A914" s="3" t="inlineStr">
        <is>
          <t>583835564333958939</t>
        </is>
      </c>
      <c r="B914" s="3" t="inlineStr">
        <is>
          <t>已完成</t>
        </is>
      </c>
      <c r="C914" s="3" t="inlineStr">
        <is>
          <t>B1</t>
        </is>
      </c>
      <c r="D914" s="3" t="inlineStr">
        <is>
          <t>魔芋笋1大袋</t>
        </is>
      </c>
      <c r="E9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4" s="3" t="inlineStr">
        <is>
          <t>รสเปรี้ยวเผ็ด​, 10 ซอง 200g</t>
        </is>
      </c>
      <c r="G914" s="6" t="n">
        <v>1</v>
      </c>
      <c r="H914" s="6" t="n">
        <v>64.86</v>
      </c>
      <c r="I914" s="6" t="n">
        <v>4.14</v>
      </c>
      <c r="J914" s="6" t="n">
        <v>38</v>
      </c>
      <c r="K914" s="6">
        <f>H914+I914</f>
        <v/>
      </c>
      <c r="L914" s="5">
        <f>K914/4.7</f>
        <v/>
      </c>
      <c r="M914" s="6" t="n">
        <v>6.699999999999999</v>
      </c>
      <c r="N914" s="6" t="n">
        <v>1</v>
      </c>
      <c r="O914" s="6">
        <f>(K914*0.1229+1.05)/4.7</f>
        <v/>
      </c>
      <c r="P914" s="6">
        <f>K914*0.0749/4.7</f>
        <v/>
      </c>
      <c r="Q914" s="5">
        <f>M914+N914+O914+P914</f>
        <v/>
      </c>
      <c r="R914" s="5">
        <f>L914-Q914</f>
        <v/>
      </c>
      <c r="S914" s="6">
        <f>R914*4.7</f>
        <v/>
      </c>
      <c r="T914" s="7">
        <f>IF(L914&gt;0,R914/L914,0)</f>
        <v/>
      </c>
      <c r="U914" s="3" t="inlineStr">
        <is>
          <t>03/05/2026 15:11:26</t>
        </is>
      </c>
    </row>
    <row r="915">
      <c r="A915" s="3" t="inlineStr">
        <is>
          <t>583835287280125524</t>
        </is>
      </c>
      <c r="B915" s="3" t="inlineStr">
        <is>
          <t>已完成</t>
        </is>
      </c>
      <c r="C915" s="3" t="inlineStr">
        <is>
          <t>C3</t>
        </is>
      </c>
      <c r="D915" s="3" t="inlineStr">
        <is>
          <t>魔芋笋3大袋</t>
        </is>
      </c>
      <c r="E9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5" s="3" t="inlineStr">
        <is>
          <t>รสเผ็ดหอม​, 30 ซอง 600g</t>
        </is>
      </c>
      <c r="G915" s="6" t="n">
        <v>1</v>
      </c>
      <c r="H915" s="6" t="n">
        <v>167</v>
      </c>
      <c r="I915" s="6" t="n">
        <v>0</v>
      </c>
      <c r="J915" s="6" t="n">
        <v>38</v>
      </c>
      <c r="K915" s="6">
        <f>H915+I915</f>
        <v/>
      </c>
      <c r="L915" s="5">
        <f>K915/4.7</f>
        <v/>
      </c>
      <c r="M915" s="6" t="n">
        <v>20.1</v>
      </c>
      <c r="N915" s="6" t="n">
        <v>1</v>
      </c>
      <c r="O915" s="6">
        <f>(K915*0.1229+1.05)/4.7</f>
        <v/>
      </c>
      <c r="P915" s="6">
        <f>K915*0.0749/4.7</f>
        <v/>
      </c>
      <c r="Q915" s="5">
        <f>M915+N915+O915+P915</f>
        <v/>
      </c>
      <c r="R915" s="5">
        <f>L915-Q915</f>
        <v/>
      </c>
      <c r="S915" s="6">
        <f>R915*4.7</f>
        <v/>
      </c>
      <c r="T915" s="7">
        <f>IF(L915&gt;0,R915/L915,0)</f>
        <v/>
      </c>
      <c r="U915" s="3" t="inlineStr">
        <is>
          <t>03/05/2026 14:50:59</t>
        </is>
      </c>
    </row>
    <row r="916">
      <c r="A916" s="3" t="inlineStr">
        <is>
          <t>583835274123249438</t>
        </is>
      </c>
      <c r="B916" s="3" t="inlineStr">
        <is>
          <t>已完成</t>
        </is>
      </c>
      <c r="C916" s="3" t="inlineStr">
        <is>
          <t>C5s</t>
        </is>
      </c>
      <c r="D916" s="3" t="inlineStr">
        <is>
          <t>香辣味魔芋笋5小袋</t>
        </is>
      </c>
      <c r="E9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6" s="3" t="inlineStr">
        <is>
          <t>รสเผ็ดหอม​, 5 ซอง 100g</t>
        </is>
      </c>
      <c r="G916" s="6" t="n">
        <v>1</v>
      </c>
      <c r="H916" s="6" t="n">
        <v>135.42</v>
      </c>
      <c r="I916" s="6" t="n">
        <v>3.29</v>
      </c>
      <c r="J916" s="6" t="n">
        <v>0</v>
      </c>
      <c r="K916" s="6">
        <f>H916+I916</f>
        <v/>
      </c>
      <c r="L916" s="5">
        <f>K916/4.7</f>
        <v/>
      </c>
      <c r="M916" s="6" t="n">
        <v>3.35</v>
      </c>
      <c r="N916" s="6" t="n">
        <v>1</v>
      </c>
      <c r="O916" s="6">
        <f>(K916*0.1229+1.05)/4.7</f>
        <v/>
      </c>
      <c r="P916" s="6">
        <f>K916*0.0749/4.7</f>
        <v/>
      </c>
      <c r="Q916" s="5">
        <f>M916+N916+O916+P916</f>
        <v/>
      </c>
      <c r="R916" s="5">
        <f>L916-Q916</f>
        <v/>
      </c>
      <c r="S916" s="6">
        <f>R916*4.7</f>
        <v/>
      </c>
      <c r="T916" s="7">
        <f>IF(L916&gt;0,R916/L916,0)</f>
        <v/>
      </c>
      <c r="U916" s="3" t="inlineStr">
        <is>
          <t>03/05/2026 14:49:30</t>
        </is>
      </c>
    </row>
    <row r="917">
      <c r="A917" s="3" t="inlineStr">
        <is>
          <t>583835274123249438</t>
        </is>
      </c>
      <c r="B917" s="3" t="inlineStr">
        <is>
          <t>已完成</t>
        </is>
      </c>
      <c r="C917" s="3" t="inlineStr">
        <is>
          <t>B5s</t>
        </is>
      </c>
      <c r="D917" s="3" t="inlineStr">
        <is>
          <t>酸辣味5小袋</t>
        </is>
      </c>
      <c r="E9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7" s="3" t="inlineStr">
        <is>
          <t>รสเปรี้ยวเผ็ด​, 5 ซอง 100g</t>
        </is>
      </c>
      <c r="G917" s="6" t="n">
        <v>1</v>
      </c>
      <c r="H917" s="6" t="n">
        <v>135.42</v>
      </c>
      <c r="I917" s="6" t="n">
        <v>3.29</v>
      </c>
      <c r="J917" s="6" t="n">
        <v>0</v>
      </c>
      <c r="K917" s="6">
        <f>H917+I917</f>
        <v/>
      </c>
      <c r="L917" s="5">
        <f>K917/4.7</f>
        <v/>
      </c>
      <c r="M917" s="6" t="n">
        <v>3.35</v>
      </c>
      <c r="N917" s="6" t="n">
        <v>1</v>
      </c>
      <c r="O917" s="6">
        <f>(K917*0.1229+1.05)/4.7</f>
        <v/>
      </c>
      <c r="P917" s="6">
        <f>K917*0.0749/4.7</f>
        <v/>
      </c>
      <c r="Q917" s="5">
        <f>M917+N917+O917+P917</f>
        <v/>
      </c>
      <c r="R917" s="5">
        <f>L917-Q917</f>
        <v/>
      </c>
      <c r="S917" s="6">
        <f>R917*4.7</f>
        <v/>
      </c>
      <c r="T917" s="7">
        <f>IF(L917&gt;0,R917/L917,0)</f>
        <v/>
      </c>
      <c r="U917" s="3" t="inlineStr">
        <is>
          <t>03/05/2026 14:49:30</t>
        </is>
      </c>
    </row>
    <row r="918">
      <c r="A918" s="3" t="inlineStr">
        <is>
          <t>583834914493924657</t>
        </is>
      </c>
      <c r="B918" s="3" t="inlineStr">
        <is>
          <t>已完成</t>
        </is>
      </c>
      <c r="C918" s="3" t="inlineStr">
        <is>
          <t>B3</t>
        </is>
      </c>
      <c r="D918" s="3" t="inlineStr">
        <is>
          <t>魔芋笋3大袋</t>
        </is>
      </c>
      <c r="E9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8" s="3" t="inlineStr">
        <is>
          <t>รสเปรี้ยวเผ็ด​, 30 ซอง 600g</t>
        </is>
      </c>
      <c r="G918" s="6" t="n">
        <v>3</v>
      </c>
      <c r="H918" s="6" t="n">
        <v>485.04</v>
      </c>
      <c r="I918" s="6" t="n">
        <v>30.96</v>
      </c>
      <c r="J918" s="6" t="n">
        <v>48</v>
      </c>
      <c r="K918" s="6">
        <f>H918+I918</f>
        <v/>
      </c>
      <c r="L918" s="5">
        <f>K918/4.7</f>
        <v/>
      </c>
      <c r="M918" s="6" t="n">
        <v>60.3</v>
      </c>
      <c r="N918" s="6" t="n">
        <v>1</v>
      </c>
      <c r="O918" s="6">
        <f>(K918*0.1229+1.05)/4.7</f>
        <v/>
      </c>
      <c r="P918" s="6">
        <f>K918*0.0749/4.7</f>
        <v/>
      </c>
      <c r="Q918" s="5">
        <f>M918+N918+O918+P918</f>
        <v/>
      </c>
      <c r="R918" s="5">
        <f>L918-Q918</f>
        <v/>
      </c>
      <c r="S918" s="6">
        <f>R918*4.7</f>
        <v/>
      </c>
      <c r="T918" s="7">
        <f>IF(L918&gt;0,R918/L918,0)</f>
        <v/>
      </c>
      <c r="U918" s="3" t="inlineStr">
        <is>
          <t>03/05/2026 14:30:59</t>
        </is>
      </c>
    </row>
    <row r="919">
      <c r="A919" s="3" t="inlineStr">
        <is>
          <t>583834273714963712</t>
        </is>
      </c>
      <c r="B919" s="3" t="inlineStr">
        <is>
          <t>已完成</t>
        </is>
      </c>
      <c r="C919" s="3" t="inlineStr">
        <is>
          <t>C2</t>
        </is>
      </c>
      <c r="D919" s="3" t="inlineStr">
        <is>
          <t>魔芋笋2大袋</t>
        </is>
      </c>
      <c r="E9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9" s="3" t="inlineStr">
        <is>
          <t>รสเผ็ดหอม​, 20 ซอง 400g</t>
        </is>
      </c>
      <c r="G919" s="6" t="n">
        <v>1</v>
      </c>
      <c r="H919" s="6" t="n">
        <v>117.5</v>
      </c>
      <c r="I919" s="6" t="n">
        <v>7.5</v>
      </c>
      <c r="J919" s="6" t="n">
        <v>38</v>
      </c>
      <c r="K919" s="6">
        <f>H919+I919</f>
        <v/>
      </c>
      <c r="L919" s="5">
        <f>K919/4.7</f>
        <v/>
      </c>
      <c r="M919" s="6" t="n">
        <v>13.4</v>
      </c>
      <c r="N919" s="6" t="n">
        <v>1</v>
      </c>
      <c r="O919" s="6">
        <f>(K919*0.1229+1.05)/4.7</f>
        <v/>
      </c>
      <c r="P919" s="6">
        <f>K919*0.0749/4.7</f>
        <v/>
      </c>
      <c r="Q919" s="5">
        <f>M919+N919+O919+P919</f>
        <v/>
      </c>
      <c r="R919" s="5">
        <f>L919-Q919</f>
        <v/>
      </c>
      <c r="S919" s="6">
        <f>R919*4.7</f>
        <v/>
      </c>
      <c r="T919" s="7">
        <f>IF(L919&gt;0,R919/L919,0)</f>
        <v/>
      </c>
      <c r="U919" s="3" t="inlineStr">
        <is>
          <t>03/05/2026 13:52:29</t>
        </is>
      </c>
    </row>
    <row r="920">
      <c r="A920" s="3" t="inlineStr">
        <is>
          <t>583829412092151710</t>
        </is>
      </c>
      <c r="B920" s="3" t="inlineStr">
        <is>
          <t>已完成</t>
        </is>
      </c>
      <c r="C920" s="3" t="inlineStr">
        <is>
          <t>B1</t>
        </is>
      </c>
      <c r="D920" s="3" t="inlineStr">
        <is>
          <t>魔芋笋1大袋</t>
        </is>
      </c>
      <c r="E9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0" s="3" t="inlineStr">
        <is>
          <t>รสเปรี้ยวเผ็ด​, 10 ซอง 200g</t>
        </is>
      </c>
      <c r="G920" s="6" t="n">
        <v>1</v>
      </c>
      <c r="H920" s="6" t="n">
        <v>138</v>
      </c>
      <c r="I920" s="6" t="n">
        <v>0</v>
      </c>
      <c r="J920" s="6" t="n">
        <v>48</v>
      </c>
      <c r="K920" s="6">
        <f>H920+I920</f>
        <v/>
      </c>
      <c r="L920" s="5">
        <f>K920/4.7</f>
        <v/>
      </c>
      <c r="M920" s="6" t="n">
        <v>6.699999999999999</v>
      </c>
      <c r="N920" s="6" t="n">
        <v>1</v>
      </c>
      <c r="O920" s="6">
        <f>(K920*0.1229+1.05)/4.7</f>
        <v/>
      </c>
      <c r="P920" s="6">
        <f>K920*0.0749/4.7</f>
        <v/>
      </c>
      <c r="Q920" s="5">
        <f>M920+N920+O920+P920</f>
        <v/>
      </c>
      <c r="R920" s="5">
        <f>L920-Q920</f>
        <v/>
      </c>
      <c r="S920" s="6">
        <f>R920*4.7</f>
        <v/>
      </c>
      <c r="T920" s="7">
        <f>IF(L920&gt;0,R920/L920,0)</f>
        <v/>
      </c>
      <c r="U920" s="3" t="inlineStr">
        <is>
          <t>03/05/2026 08:56:38</t>
        </is>
      </c>
    </row>
    <row r="921">
      <c r="A921" s="3" t="inlineStr">
        <is>
          <t>583829412092151710</t>
        </is>
      </c>
      <c r="B921" s="3" t="inlineStr">
        <is>
          <t>已完成</t>
        </is>
      </c>
      <c r="C921" s="3" t="inlineStr">
        <is>
          <t>C1</t>
        </is>
      </c>
      <c r="D921" s="3" t="inlineStr">
        <is>
          <t>魔芋笋1大袋</t>
        </is>
      </c>
      <c r="E9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1" s="3" t="inlineStr">
        <is>
          <t>รสเผ็ดหอม​, 10 ซอง 200g</t>
        </is>
      </c>
      <c r="G921" s="6" t="n">
        <v>1</v>
      </c>
      <c r="H921" s="6" t="n">
        <v>138</v>
      </c>
      <c r="I921" s="6" t="n">
        <v>0</v>
      </c>
      <c r="J921" s="6" t="n">
        <v>48</v>
      </c>
      <c r="K921" s="6">
        <f>H921+I921</f>
        <v/>
      </c>
      <c r="L921" s="5">
        <f>K921/4.7</f>
        <v/>
      </c>
      <c r="M921" s="6" t="n">
        <v>6.699999999999999</v>
      </c>
      <c r="N921" s="6" t="n">
        <v>1</v>
      </c>
      <c r="O921" s="6">
        <f>(K921*0.1229+1.05)/4.7</f>
        <v/>
      </c>
      <c r="P921" s="6">
        <f>K921*0.0749/4.7</f>
        <v/>
      </c>
      <c r="Q921" s="5">
        <f>M921+N921+O921+P921</f>
        <v/>
      </c>
      <c r="R921" s="5">
        <f>L921-Q921</f>
        <v/>
      </c>
      <c r="S921" s="6">
        <f>R921*4.7</f>
        <v/>
      </c>
      <c r="T921" s="7">
        <f>IF(L921&gt;0,R921/L921,0)</f>
        <v/>
      </c>
      <c r="U921" s="3" t="inlineStr">
        <is>
          <t>03/05/2026 08:56:38</t>
        </is>
      </c>
    </row>
    <row r="922">
      <c r="A922" s="3" t="inlineStr">
        <is>
          <t>583829021238723688</t>
        </is>
      </c>
      <c r="B922" s="3" t="inlineStr">
        <is>
          <t>已完成</t>
        </is>
      </c>
      <c r="C922" s="3" t="inlineStr">
        <is>
          <t>ER-B</t>
        </is>
      </c>
      <c r="D922" s="3" t="inlineStr">
        <is>
          <t>广州酒家黄油鸡蛋卷480g</t>
        </is>
      </c>
      <c r="E922" s="3" t="inlineStr">
        <is>
          <t>Egg Roll 2สูตร ทองม้วนไข่กล่องเหล็กพรีเมี่ยม!! GuangZhou Restaurant 454g/480g กล่องล่ะ 24 แท่ง</t>
        </is>
      </c>
      <c r="F922" s="3" t="inlineStr">
        <is>
          <t>Butter สูตรเนยสด พรีเมี่ยม</t>
        </is>
      </c>
      <c r="G922" s="6" t="n">
        <v>1</v>
      </c>
      <c r="H922" s="6" t="n">
        <v>300</v>
      </c>
      <c r="I922" s="6" t="n">
        <v>40</v>
      </c>
      <c r="J922" s="6" t="n">
        <v>35</v>
      </c>
      <c r="K922" s="6">
        <f>H922+I922</f>
        <v/>
      </c>
      <c r="L922" s="5">
        <f>K922/4.7</f>
        <v/>
      </c>
      <c r="M922" s="6" t="n">
        <v>45.49882436351998</v>
      </c>
      <c r="N922" s="6" t="n">
        <v>2</v>
      </c>
      <c r="O922" s="6">
        <f>(K922*0.1229+1.05)/4.7</f>
        <v/>
      </c>
      <c r="P922" s="6">
        <f>K922*0.0749/4.7</f>
        <v/>
      </c>
      <c r="Q922" s="5">
        <f>M922+N922+O922+P922</f>
        <v/>
      </c>
      <c r="R922" s="5">
        <f>L922-Q922</f>
        <v/>
      </c>
      <c r="S922" s="6">
        <f>R922*4.7</f>
        <v/>
      </c>
      <c r="T922" s="7">
        <f>IF(L922&gt;0,R922/L922,0)</f>
        <v/>
      </c>
      <c r="U922" s="3" t="inlineStr">
        <is>
          <t>03/05/2026 08:22:24</t>
        </is>
      </c>
    </row>
    <row r="923">
      <c r="A923" s="3" t="inlineStr">
        <is>
          <t>583828134486639855</t>
        </is>
      </c>
      <c r="B923" s="3" t="inlineStr">
        <is>
          <t>已完成</t>
        </is>
      </c>
      <c r="C923" s="3" t="inlineStr">
        <is>
          <t>C3</t>
        </is>
      </c>
      <c r="D923" s="3" t="inlineStr">
        <is>
          <t>魔芋笋3大袋</t>
        </is>
      </c>
      <c r="E9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3" s="3" t="inlineStr">
        <is>
          <t>รสเผ็ดหอม​, 30 ซอง 600g</t>
        </is>
      </c>
      <c r="G923" s="6" t="n">
        <v>1</v>
      </c>
      <c r="H923" s="6" t="n">
        <v>172</v>
      </c>
      <c r="I923" s="6" t="n">
        <v>0</v>
      </c>
      <c r="J923" s="6" t="n">
        <v>38</v>
      </c>
      <c r="K923" s="6">
        <f>H923+I923</f>
        <v/>
      </c>
      <c r="L923" s="5">
        <f>K923/4.7</f>
        <v/>
      </c>
      <c r="M923" s="6" t="n">
        <v>20.1</v>
      </c>
      <c r="N923" s="6" t="n">
        <v>1</v>
      </c>
      <c r="O923" s="6">
        <f>(K923*0.1229+1.05)/4.7</f>
        <v/>
      </c>
      <c r="P923" s="6">
        <f>K923*0.0749/4.7</f>
        <v/>
      </c>
      <c r="Q923" s="5">
        <f>M923+N923+O923+P923</f>
        <v/>
      </c>
      <c r="R923" s="5">
        <f>L923-Q923</f>
        <v/>
      </c>
      <c r="S923" s="6">
        <f>R923*4.7</f>
        <v/>
      </c>
      <c r="T923" s="7">
        <f>IF(L923&gt;0,R923/L923,0)</f>
        <v/>
      </c>
      <c r="U923" s="3" t="inlineStr">
        <is>
          <t>03/05/2026 07:06:03</t>
        </is>
      </c>
    </row>
    <row r="924">
      <c r="A924" s="3" t="inlineStr">
        <is>
          <t>583826397249308516</t>
        </is>
      </c>
      <c r="B924" s="3" t="inlineStr">
        <is>
          <t>已完成</t>
        </is>
      </c>
      <c r="C924" s="3" t="inlineStr">
        <is>
          <t>B5s</t>
        </is>
      </c>
      <c r="D924" s="3" t="inlineStr">
        <is>
          <t>酸辣味5小袋</t>
        </is>
      </c>
      <c r="E9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4" s="3" t="inlineStr">
        <is>
          <t>รสเปรี้ยวเผ็ด​, 5 ซอง 100g</t>
        </is>
      </c>
      <c r="G924" s="6" t="n">
        <v>1</v>
      </c>
      <c r="H924" s="6" t="n">
        <v>94</v>
      </c>
      <c r="I924" s="6" t="n">
        <v>0</v>
      </c>
      <c r="J924" s="6" t="n">
        <v>48</v>
      </c>
      <c r="K924" s="6">
        <f>H924+I924</f>
        <v/>
      </c>
      <c r="L924" s="5">
        <f>K924/4.7</f>
        <v/>
      </c>
      <c r="M924" s="6" t="n">
        <v>3.35</v>
      </c>
      <c r="N924" s="6" t="n">
        <v>1</v>
      </c>
      <c r="O924" s="6">
        <f>(K924*0.1229+1.05)/4.7</f>
        <v/>
      </c>
      <c r="P924" s="6">
        <f>K924*0.0749/4.7</f>
        <v/>
      </c>
      <c r="Q924" s="5">
        <f>M924+N924+O924+P924</f>
        <v/>
      </c>
      <c r="R924" s="5">
        <f>L924-Q924</f>
        <v/>
      </c>
      <c r="S924" s="6">
        <f>R924*4.7</f>
        <v/>
      </c>
      <c r="T924" s="7">
        <f>IF(L924&gt;0,R924/L924,0)</f>
        <v/>
      </c>
      <c r="U924" s="3" t="inlineStr">
        <is>
          <t>03/05/2026 02:32:33</t>
        </is>
      </c>
    </row>
    <row r="925">
      <c r="A925" s="3" t="inlineStr">
        <is>
          <t>583826397249308516</t>
        </is>
      </c>
      <c r="B925" s="3" t="inlineStr">
        <is>
          <t>已完成</t>
        </is>
      </c>
      <c r="C925" s="3" t="inlineStr">
        <is>
          <t>C5s</t>
        </is>
      </c>
      <c r="D925" s="3" t="inlineStr">
        <is>
          <t>香辣味魔芋笋5小袋</t>
        </is>
      </c>
      <c r="E9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5" s="3" t="inlineStr">
        <is>
          <t>รสเผ็ดหอม​, 5 ซอง 100g</t>
        </is>
      </c>
      <c r="G925" s="6" t="n">
        <v>1</v>
      </c>
      <c r="H925" s="6" t="n">
        <v>94</v>
      </c>
      <c r="I925" s="6" t="n">
        <v>0</v>
      </c>
      <c r="J925" s="6" t="n">
        <v>48</v>
      </c>
      <c r="K925" s="6">
        <f>H925+I925</f>
        <v/>
      </c>
      <c r="L925" s="5">
        <f>K925/4.7</f>
        <v/>
      </c>
      <c r="M925" s="6" t="n">
        <v>3.35</v>
      </c>
      <c r="N925" s="6" t="n">
        <v>1</v>
      </c>
      <c r="O925" s="6">
        <f>(K925*0.1229+1.05)/4.7</f>
        <v/>
      </c>
      <c r="P925" s="6">
        <f>K925*0.0749/4.7</f>
        <v/>
      </c>
      <c r="Q925" s="5">
        <f>M925+N925+O925+P925</f>
        <v/>
      </c>
      <c r="R925" s="5">
        <f>L925-Q925</f>
        <v/>
      </c>
      <c r="S925" s="6">
        <f>R925*4.7</f>
        <v/>
      </c>
      <c r="T925" s="7">
        <f>IF(L925&gt;0,R925/L925,0)</f>
        <v/>
      </c>
      <c r="U925" s="3" t="inlineStr">
        <is>
          <t>03/05/2026 02:32:33</t>
        </is>
      </c>
    </row>
    <row r="926">
      <c r="A926" s="3" t="inlineStr">
        <is>
          <t>583687756420646750</t>
        </is>
      </c>
      <c r="B926" s="3" t="inlineStr">
        <is>
          <t>已完成</t>
        </is>
      </c>
      <c r="C926" s="3" t="inlineStr">
        <is>
          <t>C3</t>
        </is>
      </c>
      <c r="D926" s="3" t="inlineStr">
        <is>
          <t>魔芋笋3大袋</t>
        </is>
      </c>
      <c r="E9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6" s="3" t="inlineStr">
        <is>
          <t>รสเผ็ดหอม​, 30 ซอง 600g</t>
        </is>
      </c>
      <c r="G926" s="6" t="n">
        <v>1</v>
      </c>
      <c r="H926" s="6" t="n">
        <v>158.65</v>
      </c>
      <c r="I926" s="6" t="n">
        <v>8.35</v>
      </c>
      <c r="J926" s="6" t="n">
        <v>38</v>
      </c>
      <c r="K926" s="6">
        <f>H926+I926</f>
        <v/>
      </c>
      <c r="L926" s="5">
        <f>K926/4.7</f>
        <v/>
      </c>
      <c r="M926" s="6" t="n">
        <v>20.1</v>
      </c>
      <c r="N926" s="6" t="n">
        <v>1</v>
      </c>
      <c r="O926" s="6">
        <f>(K926*0.1229+1.05)/4.7</f>
        <v/>
      </c>
      <c r="P926" s="6">
        <f>K926*0.0749/4.7</f>
        <v/>
      </c>
      <c r="Q926" s="5">
        <f>M926+N926+O926+P926</f>
        <v/>
      </c>
      <c r="R926" s="5">
        <f>L926-Q926</f>
        <v/>
      </c>
      <c r="S926" s="6">
        <f>R926*4.7</f>
        <v/>
      </c>
      <c r="T926" s="7">
        <f>IF(L926&gt;0,R926/L926,0)</f>
        <v/>
      </c>
      <c r="U926" s="3" t="inlineStr">
        <is>
          <t>03/05/2026 02:25:51</t>
        </is>
      </c>
    </row>
    <row r="927">
      <c r="A927" s="3" t="inlineStr">
        <is>
          <t>583825462284551185</t>
        </is>
      </c>
      <c r="B927" s="3" t="inlineStr">
        <is>
          <t>已完成</t>
        </is>
      </c>
      <c r="C927" s="3" t="inlineStr">
        <is>
          <t>C5s</t>
        </is>
      </c>
      <c r="D927" s="3" t="inlineStr">
        <is>
          <t>香辣味魔芋笋5小袋</t>
        </is>
      </c>
      <c r="E9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7" s="3" t="inlineStr">
        <is>
          <t>รสเผ็ดหอม​, 5 ซอง 100g</t>
        </is>
      </c>
      <c r="G927" s="6" t="n">
        <v>1</v>
      </c>
      <c r="H927" s="6" t="n">
        <v>47</v>
      </c>
      <c r="I927" s="6" t="n">
        <v>0</v>
      </c>
      <c r="J927" s="6" t="n">
        <v>38</v>
      </c>
      <c r="K927" s="6">
        <f>H927+I927</f>
        <v/>
      </c>
      <c r="L927" s="5">
        <f>K927/4.7</f>
        <v/>
      </c>
      <c r="M927" s="6" t="n">
        <v>3.35</v>
      </c>
      <c r="N927" s="6" t="n">
        <v>1</v>
      </c>
      <c r="O927" s="6">
        <f>(K927*0.1229+1.05)/4.7</f>
        <v/>
      </c>
      <c r="P927" s="6">
        <f>K927*0.0749/4.7</f>
        <v/>
      </c>
      <c r="Q927" s="5">
        <f>M927+N927+O927+P927</f>
        <v/>
      </c>
      <c r="R927" s="5">
        <f>L927-Q927</f>
        <v/>
      </c>
      <c r="S927" s="6">
        <f>R927*4.7</f>
        <v/>
      </c>
      <c r="T927" s="7">
        <f>IF(L927&gt;0,R927/L927,0)</f>
        <v/>
      </c>
      <c r="U927" s="3" t="inlineStr">
        <is>
          <t>03/05/2026 00:22:15</t>
        </is>
      </c>
    </row>
    <row r="928">
      <c r="A928" s="3" t="inlineStr">
        <is>
          <t>583825295248688775</t>
        </is>
      </c>
      <c r="B928" s="3" t="inlineStr">
        <is>
          <t>已完成</t>
        </is>
      </c>
      <c r="C928" s="3" t="inlineStr">
        <is>
          <t>B5s</t>
        </is>
      </c>
      <c r="D928" s="3" t="inlineStr">
        <is>
          <t>酸辣味5小袋</t>
        </is>
      </c>
      <c r="E9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8" s="3" t="inlineStr">
        <is>
          <t>รสเปรี้ยวเผ็ด​, 5 ซอง 100g</t>
        </is>
      </c>
      <c r="G928" s="6" t="n">
        <v>1</v>
      </c>
      <c r="H928" s="6" t="n">
        <v>43.24</v>
      </c>
      <c r="I928" s="6" t="n">
        <v>3.76</v>
      </c>
      <c r="J928" s="6" t="n">
        <v>35</v>
      </c>
      <c r="K928" s="6">
        <f>H928+I928</f>
        <v/>
      </c>
      <c r="L928" s="5">
        <f>K928/4.7</f>
        <v/>
      </c>
      <c r="M928" s="6" t="n">
        <v>3.35</v>
      </c>
      <c r="N928" s="6" t="n">
        <v>1</v>
      </c>
      <c r="O928" s="6">
        <f>(K928*0.1229+1.05)/4.7</f>
        <v/>
      </c>
      <c r="P928" s="6">
        <f>K928*0.0749/4.7</f>
        <v/>
      </c>
      <c r="Q928" s="5">
        <f>M928+N928+O928+P928</f>
        <v/>
      </c>
      <c r="R928" s="5">
        <f>L928-Q928</f>
        <v/>
      </c>
      <c r="S928" s="6">
        <f>R928*4.7</f>
        <v/>
      </c>
      <c r="T928" s="7">
        <f>IF(L928&gt;0,R928/L928,0)</f>
        <v/>
      </c>
      <c r="U928" s="3" t="inlineStr">
        <is>
          <t>03/05/2026 00:06:02</t>
        </is>
      </c>
    </row>
    <row r="929">
      <c r="A929" s="3" t="inlineStr">
        <is>
          <t>583824608000313191</t>
        </is>
      </c>
      <c r="B929" s="3" t="inlineStr">
        <is>
          <t>已完成</t>
        </is>
      </c>
      <c r="C929" s="3" t="inlineStr">
        <is>
          <t>B5s</t>
        </is>
      </c>
      <c r="D929" s="3" t="inlineStr">
        <is>
          <t>酸辣味5小袋</t>
        </is>
      </c>
      <c r="E9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9" s="3" t="inlineStr">
        <is>
          <t>รสเปรี้ยวเผ็ด​, 5 ซอง 100g</t>
        </is>
      </c>
      <c r="G929" s="6" t="n">
        <v>1</v>
      </c>
      <c r="H929" s="6" t="n">
        <v>47</v>
      </c>
      <c r="I929" s="6" t="n">
        <v>0</v>
      </c>
      <c r="J929" s="6" t="n">
        <v>38</v>
      </c>
      <c r="K929" s="6">
        <f>H929+I929</f>
        <v/>
      </c>
      <c r="L929" s="5">
        <f>K929/4.7</f>
        <v/>
      </c>
      <c r="M929" s="6" t="n">
        <v>3.35</v>
      </c>
      <c r="N929" s="6" t="n">
        <v>1</v>
      </c>
      <c r="O929" s="6">
        <f>(K929*0.1229+1.05)/4.7</f>
        <v/>
      </c>
      <c r="P929" s="6">
        <f>K929*0.0749/4.7</f>
        <v/>
      </c>
      <c r="Q929" s="5">
        <f>M929+N929+O929+P929</f>
        <v/>
      </c>
      <c r="R929" s="5">
        <f>L929-Q929</f>
        <v/>
      </c>
      <c r="S929" s="6">
        <f>R929*4.7</f>
        <v/>
      </c>
      <c r="T929" s="7">
        <f>IF(L929&gt;0,R929/L929,0)</f>
        <v/>
      </c>
      <c r="U929" s="3" t="inlineStr">
        <is>
          <t>02/05/2026 23:09:01</t>
        </is>
      </c>
    </row>
    <row r="930">
      <c r="A930" s="3" t="inlineStr">
        <is>
          <t>583824366551336282</t>
        </is>
      </c>
      <c r="B930" s="3" t="inlineStr">
        <is>
          <t>已完成</t>
        </is>
      </c>
      <c r="C930" s="3" t="inlineStr">
        <is>
          <t>C3</t>
        </is>
      </c>
      <c r="D930" s="3" t="inlineStr">
        <is>
          <t>魔芋笋3大袋</t>
        </is>
      </c>
      <c r="E9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0" s="3" t="inlineStr">
        <is>
          <t>รสเผ็ดหอม​, 30 ซอง 600g</t>
        </is>
      </c>
      <c r="G930" s="6" t="n">
        <v>1</v>
      </c>
      <c r="H930" s="6" t="n">
        <v>108.55</v>
      </c>
      <c r="I930" s="6" t="n">
        <v>58.45</v>
      </c>
      <c r="J930" s="6" t="n">
        <v>35</v>
      </c>
      <c r="K930" s="6">
        <f>H930+I930</f>
        <v/>
      </c>
      <c r="L930" s="5">
        <f>K930/4.7</f>
        <v/>
      </c>
      <c r="M930" s="6" t="n">
        <v>20.1</v>
      </c>
      <c r="N930" s="6" t="n">
        <v>1</v>
      </c>
      <c r="O930" s="6">
        <f>(K930*0.1229+1.05)/4.7</f>
        <v/>
      </c>
      <c r="P930" s="6">
        <f>K930*0.0749/4.7</f>
        <v/>
      </c>
      <c r="Q930" s="5">
        <f>M930+N930+O930+P930</f>
        <v/>
      </c>
      <c r="R930" s="5">
        <f>L930-Q930</f>
        <v/>
      </c>
      <c r="S930" s="6">
        <f>R930*4.7</f>
        <v/>
      </c>
      <c r="T930" s="7">
        <f>IF(L930&gt;0,R930/L930,0)</f>
        <v/>
      </c>
      <c r="U930" s="3" t="inlineStr">
        <is>
          <t>02/05/2026 22:48:28</t>
        </is>
      </c>
    </row>
    <row r="931">
      <c r="A931" s="3" t="inlineStr">
        <is>
          <t>583823864290838036</t>
        </is>
      </c>
      <c r="B931" s="3" t="inlineStr">
        <is>
          <t>已完成</t>
        </is>
      </c>
      <c r="C931" s="3" t="inlineStr">
        <is>
          <t>C1</t>
        </is>
      </c>
      <c r="D931" s="3" t="inlineStr">
        <is>
          <t>魔芋笋1大袋</t>
        </is>
      </c>
      <c r="E9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1" s="3" t="inlineStr">
        <is>
          <t>รสเผ็ดหอม​, 10 ซอง 200g</t>
        </is>
      </c>
      <c r="G931" s="6" t="n">
        <v>1</v>
      </c>
      <c r="H931" s="6" t="n">
        <v>58.65</v>
      </c>
      <c r="I931" s="6" t="n">
        <v>10.35</v>
      </c>
      <c r="J931" s="6" t="n">
        <v>35</v>
      </c>
      <c r="K931" s="6">
        <f>H931+I931</f>
        <v/>
      </c>
      <c r="L931" s="5">
        <f>K931/4.7</f>
        <v/>
      </c>
      <c r="M931" s="6" t="n">
        <v>6.699999999999999</v>
      </c>
      <c r="N931" s="6" t="n">
        <v>1</v>
      </c>
      <c r="O931" s="6">
        <f>(K931*0.1229+1.05)/4.7</f>
        <v/>
      </c>
      <c r="P931" s="6">
        <f>K931*0.0749/4.7</f>
        <v/>
      </c>
      <c r="Q931" s="5">
        <f>M931+N931+O931+P931</f>
        <v/>
      </c>
      <c r="R931" s="5">
        <f>L931-Q931</f>
        <v/>
      </c>
      <c r="S931" s="6">
        <f>R931*4.7</f>
        <v/>
      </c>
      <c r="T931" s="7">
        <f>IF(L931&gt;0,R931/L931,0)</f>
        <v/>
      </c>
      <c r="U931" s="3" t="inlineStr">
        <is>
          <t>02/05/2026 22:10:35</t>
        </is>
      </c>
    </row>
    <row r="932">
      <c r="A932" s="3" t="inlineStr">
        <is>
          <t>583823715351168256</t>
        </is>
      </c>
      <c r="B932" s="3" t="inlineStr">
        <is>
          <t>已取消</t>
        </is>
      </c>
      <c r="C932" s="3" t="inlineStr">
        <is>
          <t>C2</t>
        </is>
      </c>
      <c r="D932" s="3" t="inlineStr">
        <is>
          <t>魔芋笋2大袋</t>
        </is>
      </c>
      <c r="E9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2" s="3" t="inlineStr">
        <is>
          <t>รสเผ็ดหอม​, 20 ซอง 400g</t>
        </is>
      </c>
      <c r="G932" s="6" t="n">
        <v>1</v>
      </c>
      <c r="H932" s="6" t="n">
        <v>115</v>
      </c>
      <c r="I932" s="6" t="n">
        <v>10</v>
      </c>
      <c r="J932" s="6" t="n">
        <v>38</v>
      </c>
      <c r="K932" s="6">
        <f>H932+I932</f>
        <v/>
      </c>
      <c r="L932" s="5">
        <f>K932/4.7</f>
        <v/>
      </c>
      <c r="M932" s="6" t="n">
        <v>13.4</v>
      </c>
      <c r="N932" s="6" t="n">
        <v>1</v>
      </c>
      <c r="O932" s="6">
        <f>(K932*0.1229+1.05)/4.7</f>
        <v/>
      </c>
      <c r="P932" s="6">
        <f>K932*0.0749/4.7</f>
        <v/>
      </c>
      <c r="Q932" s="5">
        <f>M932+N932+O932+P932</f>
        <v/>
      </c>
      <c r="R932" s="5">
        <f>L932-Q932</f>
        <v/>
      </c>
      <c r="S932" s="6">
        <f>R932*4.7</f>
        <v/>
      </c>
      <c r="T932" s="7">
        <f>IF(L932&gt;0,R932/L932,0)</f>
        <v/>
      </c>
      <c r="U932" s="3" t="inlineStr">
        <is>
          <t>02/05/2026 22:09:58</t>
        </is>
      </c>
    </row>
    <row r="933">
      <c r="A933" s="3" t="inlineStr">
        <is>
          <t>583822782965909012</t>
        </is>
      </c>
      <c r="B933" s="3" t="inlineStr">
        <is>
          <t>已取消</t>
        </is>
      </c>
      <c r="C933" s="3" t="inlineStr">
        <is>
          <t>C5s</t>
        </is>
      </c>
      <c r="D933" s="3" t="inlineStr">
        <is>
          <t>香辣味魔芋笋5小袋</t>
        </is>
      </c>
      <c r="E9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3" s="3" t="inlineStr">
        <is>
          <t>รสเผ็ดหอม​, 5 ซอง 100g</t>
        </is>
      </c>
      <c r="G933" s="6" t="n">
        <v>1</v>
      </c>
      <c r="H933" s="6" t="n">
        <v>47</v>
      </c>
      <c r="I933" s="6" t="n">
        <v>0</v>
      </c>
      <c r="J933" s="6" t="n">
        <v>35</v>
      </c>
      <c r="K933" s="6">
        <f>H933+I933</f>
        <v/>
      </c>
      <c r="L933" s="5">
        <f>K933/4.7</f>
        <v/>
      </c>
      <c r="M933" s="6" t="n">
        <v>3.35</v>
      </c>
      <c r="N933" s="6" t="n">
        <v>1</v>
      </c>
      <c r="O933" s="6">
        <f>(K933*0.1229+1.05)/4.7</f>
        <v/>
      </c>
      <c r="P933" s="6">
        <f>K933*0.0749/4.7</f>
        <v/>
      </c>
      <c r="Q933" s="5">
        <f>M933+N933+O933+P933</f>
        <v/>
      </c>
      <c r="R933" s="5">
        <f>L933-Q933</f>
        <v/>
      </c>
      <c r="S933" s="6">
        <f>R933*4.7</f>
        <v/>
      </c>
      <c r="T933" s="7">
        <f>IF(L933&gt;0,R933/L933,0)</f>
        <v/>
      </c>
      <c r="U933" s="3" t="inlineStr">
        <is>
          <t>02/05/2026 21:08:16</t>
        </is>
      </c>
    </row>
    <row r="934">
      <c r="A934" s="3" t="inlineStr">
        <is>
          <t>583822415381628622</t>
        </is>
      </c>
      <c r="B934" s="3" t="inlineStr">
        <is>
          <t>已取消</t>
        </is>
      </c>
      <c r="C934" s="3" t="inlineStr">
        <is>
          <t>B1</t>
        </is>
      </c>
      <c r="D934" s="3" t="inlineStr">
        <is>
          <t>魔芋笋1大袋</t>
        </is>
      </c>
      <c r="E9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4" s="3" t="inlineStr">
        <is>
          <t>รสเปรี้ยวเผ็ด​, 10 ซอง 200g</t>
        </is>
      </c>
      <c r="G934" s="6" t="n">
        <v>1</v>
      </c>
      <c r="H934" s="6" t="n">
        <v>63.48</v>
      </c>
      <c r="I934" s="6" t="n">
        <v>5.52</v>
      </c>
      <c r="J934" s="6" t="n">
        <v>38</v>
      </c>
      <c r="K934" s="6">
        <f>H934+I934</f>
        <v/>
      </c>
      <c r="L934" s="5">
        <f>K934/4.7</f>
        <v/>
      </c>
      <c r="M934" s="6" t="n">
        <v>6.699999999999999</v>
      </c>
      <c r="N934" s="6" t="n">
        <v>1</v>
      </c>
      <c r="O934" s="6">
        <f>(K934*0.1229+1.05)/4.7</f>
        <v/>
      </c>
      <c r="P934" s="6">
        <f>K934*0.0749/4.7</f>
        <v/>
      </c>
      <c r="Q934" s="5">
        <f>M934+N934+O934+P934</f>
        <v/>
      </c>
      <c r="R934" s="5">
        <f>L934-Q934</f>
        <v/>
      </c>
      <c r="S934" s="6">
        <f>R934*4.7</f>
        <v/>
      </c>
      <c r="T934" s="7">
        <f>IF(L934&gt;0,R934/L934,0)</f>
        <v/>
      </c>
      <c r="U934" s="3" t="inlineStr">
        <is>
          <t>02/05/2026 20:50:28</t>
        </is>
      </c>
    </row>
    <row r="935">
      <c r="A935" s="3" t="inlineStr">
        <is>
          <t>583822353397155379</t>
        </is>
      </c>
      <c r="B935" s="3" t="inlineStr">
        <is>
          <t>已完成</t>
        </is>
      </c>
      <c r="C935" s="3" t="inlineStr">
        <is>
          <t>B1</t>
        </is>
      </c>
      <c r="D935" s="3" t="inlineStr">
        <is>
          <t>魔芋笋1大袋</t>
        </is>
      </c>
      <c r="E9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5" s="3" t="inlineStr">
        <is>
          <t>รสเปรี้ยวเผ็ด​, 10 ซอง 200g</t>
        </is>
      </c>
      <c r="G935" s="6" t="n">
        <v>1</v>
      </c>
      <c r="H935" s="6" t="n">
        <v>69</v>
      </c>
      <c r="I935" s="6" t="n">
        <v>0</v>
      </c>
      <c r="J935" s="6" t="n">
        <v>38</v>
      </c>
      <c r="K935" s="6">
        <f>H935+I935</f>
        <v/>
      </c>
      <c r="L935" s="5">
        <f>K935/4.7</f>
        <v/>
      </c>
      <c r="M935" s="6" t="n">
        <v>6.699999999999999</v>
      </c>
      <c r="N935" s="6" t="n">
        <v>1</v>
      </c>
      <c r="O935" s="6">
        <f>(K935*0.1229+1.05)/4.7</f>
        <v/>
      </c>
      <c r="P935" s="6">
        <f>K935*0.0749/4.7</f>
        <v/>
      </c>
      <c r="Q935" s="5">
        <f>M935+N935+O935+P935</f>
        <v/>
      </c>
      <c r="R935" s="5">
        <f>L935-Q935</f>
        <v/>
      </c>
      <c r="S935" s="6">
        <f>R935*4.7</f>
        <v/>
      </c>
      <c r="T935" s="7">
        <f>IF(L935&gt;0,R935/L935,0)</f>
        <v/>
      </c>
      <c r="U935" s="3" t="inlineStr">
        <is>
          <t>02/05/2026 20:48:22</t>
        </is>
      </c>
    </row>
    <row r="936">
      <c r="A936" s="3" t="inlineStr">
        <is>
          <t>583822001435412179</t>
        </is>
      </c>
      <c r="B936" s="3" t="inlineStr">
        <is>
          <t>已完成</t>
        </is>
      </c>
      <c r="C936" s="3" t="inlineStr">
        <is>
          <t>B1</t>
        </is>
      </c>
      <c r="D936" s="3" t="inlineStr">
        <is>
          <t>魔芋笋1大袋</t>
        </is>
      </c>
      <c r="E9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6" s="3" t="inlineStr">
        <is>
          <t>รสเปรี้ยวเผ็ด​, 10 ซอง 200g</t>
        </is>
      </c>
      <c r="G936" s="6" t="n">
        <v>1</v>
      </c>
      <c r="H936" s="6" t="n">
        <v>69</v>
      </c>
      <c r="I936" s="6" t="n">
        <v>0</v>
      </c>
      <c r="J936" s="6" t="n">
        <v>38</v>
      </c>
      <c r="K936" s="6">
        <f>H936+I936</f>
        <v/>
      </c>
      <c r="L936" s="5">
        <f>K936/4.7</f>
        <v/>
      </c>
      <c r="M936" s="6" t="n">
        <v>6.699999999999999</v>
      </c>
      <c r="N936" s="6" t="n">
        <v>1</v>
      </c>
      <c r="O936" s="6">
        <f>(K936*0.1229+1.05)/4.7</f>
        <v/>
      </c>
      <c r="P936" s="6">
        <f>K936*0.0749/4.7</f>
        <v/>
      </c>
      <c r="Q936" s="5">
        <f>M936+N936+O936+P936</f>
        <v/>
      </c>
      <c r="R936" s="5">
        <f>L936-Q936</f>
        <v/>
      </c>
      <c r="S936" s="6">
        <f>R936*4.7</f>
        <v/>
      </c>
      <c r="T936" s="7">
        <f>IF(L936&gt;0,R936/L936,0)</f>
        <v/>
      </c>
      <c r="U936" s="3" t="inlineStr">
        <is>
          <t>02/05/2026 20:26:42</t>
        </is>
      </c>
    </row>
    <row r="937">
      <c r="A937" s="3" t="inlineStr">
        <is>
          <t>583821965761545939</t>
        </is>
      </c>
      <c r="B937" s="3" t="inlineStr">
        <is>
          <t>已取消</t>
        </is>
      </c>
      <c r="C937" s="3" t="inlineStr">
        <is>
          <t>B2</t>
        </is>
      </c>
      <c r="D937" s="3" t="inlineStr">
        <is>
          <t>魔芋笋2大袋</t>
        </is>
      </c>
      <c r="E9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7" s="3" t="inlineStr">
        <is>
          <t>รสเปรี้ยวเผ็ด​, 20 ซอง 400g</t>
        </is>
      </c>
      <c r="G937" s="6" t="n">
        <v>1</v>
      </c>
      <c r="H937" s="6" t="n">
        <v>125</v>
      </c>
      <c r="I937" s="6" t="n">
        <v>0</v>
      </c>
      <c r="J937" s="6" t="n">
        <v>38</v>
      </c>
      <c r="K937" s="6">
        <f>H937+I937</f>
        <v/>
      </c>
      <c r="L937" s="5">
        <f>K937/4.7</f>
        <v/>
      </c>
      <c r="M937" s="6" t="n">
        <v>13.4</v>
      </c>
      <c r="N937" s="6" t="n">
        <v>1</v>
      </c>
      <c r="O937" s="6">
        <f>(K937*0.1229+1.05)/4.7</f>
        <v/>
      </c>
      <c r="P937" s="6">
        <f>K937*0.0749/4.7</f>
        <v/>
      </c>
      <c r="Q937" s="5">
        <f>M937+N937+O937+P937</f>
        <v/>
      </c>
      <c r="R937" s="5">
        <f>L937-Q937</f>
        <v/>
      </c>
      <c r="S937" s="6">
        <f>R937*4.7</f>
        <v/>
      </c>
      <c r="T937" s="7">
        <f>IF(L937&gt;0,R937/L937,0)</f>
        <v/>
      </c>
      <c r="U937" s="3" t="inlineStr">
        <is>
          <t>02/05/2026 20:24:41</t>
        </is>
      </c>
    </row>
    <row r="938">
      <c r="A938" s="3" t="inlineStr">
        <is>
          <t>583821879979050206</t>
        </is>
      </c>
      <c r="B938" s="3" t="inlineStr">
        <is>
          <t>已完成</t>
        </is>
      </c>
      <c r="C938" s="3" t="inlineStr">
        <is>
          <t>C1</t>
        </is>
      </c>
      <c r="D938" s="3" t="inlineStr">
        <is>
          <t>魔芋笋1大袋</t>
        </is>
      </c>
      <c r="E9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8" s="3" t="inlineStr">
        <is>
          <t>รสเผ็ดหอม​, 10 ซอง 200g</t>
        </is>
      </c>
      <c r="G938" s="6" t="n">
        <v>1</v>
      </c>
      <c r="H938" s="6" t="n">
        <v>63.48</v>
      </c>
      <c r="I938" s="6" t="n">
        <v>5.52</v>
      </c>
      <c r="J938" s="6" t="n">
        <v>38</v>
      </c>
      <c r="K938" s="6">
        <f>H938+I938</f>
        <v/>
      </c>
      <c r="L938" s="5">
        <f>K938/4.7</f>
        <v/>
      </c>
      <c r="M938" s="6" t="n">
        <v>6.699999999999999</v>
      </c>
      <c r="N938" s="6" t="n">
        <v>1</v>
      </c>
      <c r="O938" s="6">
        <f>(K938*0.1229+1.05)/4.7</f>
        <v/>
      </c>
      <c r="P938" s="6">
        <f>K938*0.0749/4.7</f>
        <v/>
      </c>
      <c r="Q938" s="5">
        <f>M938+N938+O938+P938</f>
        <v/>
      </c>
      <c r="R938" s="5">
        <f>L938-Q938</f>
        <v/>
      </c>
      <c r="S938" s="6">
        <f>R938*4.7</f>
        <v/>
      </c>
      <c r="T938" s="7">
        <f>IF(L938&gt;0,R938/L938,0)</f>
        <v/>
      </c>
      <c r="U938" s="3" t="inlineStr">
        <is>
          <t>02/05/2026 20:21:55</t>
        </is>
      </c>
    </row>
    <row r="939">
      <c r="A939" s="3" t="inlineStr">
        <is>
          <t>583820656503850414</t>
        </is>
      </c>
      <c r="B939" s="3" t="inlineStr">
        <is>
          <t>已完成</t>
        </is>
      </c>
      <c r="C939" s="3" t="inlineStr">
        <is>
          <t>B2</t>
        </is>
      </c>
      <c r="D939" s="3" t="inlineStr">
        <is>
          <t>魔芋笋2大袋</t>
        </is>
      </c>
      <c r="E9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9" s="3" t="inlineStr">
        <is>
          <t>รสเปรี้ยวเผ็ด​, 20 ซอง 400g</t>
        </is>
      </c>
      <c r="G939" s="6" t="n">
        <v>1</v>
      </c>
      <c r="H939" s="6" t="n">
        <v>126</v>
      </c>
      <c r="I939" s="6" t="n">
        <v>0</v>
      </c>
      <c r="J939" s="6" t="n">
        <v>35</v>
      </c>
      <c r="K939" s="6">
        <f>H939+I939</f>
        <v/>
      </c>
      <c r="L939" s="5">
        <f>K939/4.7</f>
        <v/>
      </c>
      <c r="M939" s="6" t="n">
        <v>13.4</v>
      </c>
      <c r="N939" s="6" t="n">
        <v>1</v>
      </c>
      <c r="O939" s="6">
        <f>(K939*0.1229+1.05)/4.7</f>
        <v/>
      </c>
      <c r="P939" s="6">
        <f>K939*0.0749/4.7</f>
        <v/>
      </c>
      <c r="Q939" s="5">
        <f>M939+N939+O939+P939</f>
        <v/>
      </c>
      <c r="R939" s="5">
        <f>L939-Q939</f>
        <v/>
      </c>
      <c r="S939" s="6">
        <f>R939*4.7</f>
        <v/>
      </c>
      <c r="T939" s="7">
        <f>IF(L939&gt;0,R939/L939,0)</f>
        <v/>
      </c>
      <c r="U939" s="3" t="inlineStr">
        <is>
          <t>02/05/2026 19:12:28</t>
        </is>
      </c>
    </row>
    <row r="940">
      <c r="A940" s="3" t="inlineStr">
        <is>
          <t>583820291894773440</t>
        </is>
      </c>
      <c r="B940" s="3" t="inlineStr">
        <is>
          <t>已完成</t>
        </is>
      </c>
      <c r="C940" s="3" t="inlineStr">
        <is>
          <t>CK</t>
        </is>
      </c>
      <c r="D940" s="3" t="inlineStr">
        <is>
          <t>黑松露黑麦苏打饼干</t>
        </is>
      </c>
      <c r="E94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40" s="3" t="inlineStr">
        <is>
          <t>ค่าเริ่มต้น</t>
        </is>
      </c>
      <c r="G940" s="6" t="n">
        <v>1</v>
      </c>
      <c r="H940" s="6" t="n">
        <v>100</v>
      </c>
      <c r="I940" s="6" t="n">
        <v>25</v>
      </c>
      <c r="J940" s="6" t="n">
        <v>35</v>
      </c>
      <c r="K940" s="6">
        <f>H940+I940</f>
        <v/>
      </c>
      <c r="L940" s="5">
        <f>K940/4.7</f>
        <v/>
      </c>
      <c r="M940" s="6" t="n">
        <v>10.72665050209467</v>
      </c>
      <c r="N940" s="6" t="n">
        <v>1</v>
      </c>
      <c r="O940" s="6">
        <f>(K940*0.1229+1.05)/4.7</f>
        <v/>
      </c>
      <c r="P940" s="6">
        <f>K940*0.0749/4.7</f>
        <v/>
      </c>
      <c r="Q940" s="5">
        <f>M940+N940+O940+P940</f>
        <v/>
      </c>
      <c r="R940" s="5">
        <f>L940-Q940</f>
        <v/>
      </c>
      <c r="S940" s="6">
        <f>R940*4.7</f>
        <v/>
      </c>
      <c r="T940" s="7">
        <f>IF(L940&gt;0,R940/L940,0)</f>
        <v/>
      </c>
      <c r="U940" s="3" t="inlineStr">
        <is>
          <t>02/05/2026 18:48:50</t>
        </is>
      </c>
    </row>
    <row r="941">
      <c r="A941" s="3" t="inlineStr">
        <is>
          <t>583819735267574833</t>
        </is>
      </c>
      <c r="B941" s="3" t="inlineStr">
        <is>
          <t>已完成</t>
        </is>
      </c>
      <c r="C941" s="3" t="inlineStr">
        <is>
          <t>C1</t>
        </is>
      </c>
      <c r="D941" s="3" t="inlineStr">
        <is>
          <t>魔芋笋1大袋</t>
        </is>
      </c>
      <c r="E9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1" s="3" t="inlineStr">
        <is>
          <t>รสเผ็ดหอม​, 10 ซอง 200g</t>
        </is>
      </c>
      <c r="G941" s="6" t="n">
        <v>1</v>
      </c>
      <c r="H941" s="6" t="n">
        <v>69</v>
      </c>
      <c r="I941" s="6" t="n">
        <v>0</v>
      </c>
      <c r="J941" s="6" t="n">
        <v>35</v>
      </c>
      <c r="K941" s="6">
        <f>H941+I941</f>
        <v/>
      </c>
      <c r="L941" s="5">
        <f>K941/4.7</f>
        <v/>
      </c>
      <c r="M941" s="6" t="n">
        <v>6.699999999999999</v>
      </c>
      <c r="N941" s="6" t="n">
        <v>1</v>
      </c>
      <c r="O941" s="6">
        <f>(K941*0.1229+1.05)/4.7</f>
        <v/>
      </c>
      <c r="P941" s="6">
        <f>K941*0.0749/4.7</f>
        <v/>
      </c>
      <c r="Q941" s="5">
        <f>M941+N941+O941+P941</f>
        <v/>
      </c>
      <c r="R941" s="5">
        <f>L941-Q941</f>
        <v/>
      </c>
      <c r="S941" s="6">
        <f>R941*4.7</f>
        <v/>
      </c>
      <c r="T941" s="7">
        <f>IF(L941&gt;0,R941/L941,0)</f>
        <v/>
      </c>
      <c r="U941" s="3" t="inlineStr">
        <is>
          <t>02/05/2026 18:16:31</t>
        </is>
      </c>
    </row>
    <row r="942">
      <c r="A942" s="3" t="inlineStr">
        <is>
          <t>583819307836867601</t>
        </is>
      </c>
      <c r="B942" s="3" t="inlineStr">
        <is>
          <t>已完成</t>
        </is>
      </c>
      <c r="C942" s="3" t="inlineStr">
        <is>
          <t>C1</t>
        </is>
      </c>
      <c r="D942" s="3" t="inlineStr">
        <is>
          <t>魔芋笋1大袋</t>
        </is>
      </c>
      <c r="E9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2" s="3" t="inlineStr">
        <is>
          <t>รสเผ็ดหอม​, 10 ซอง 200g</t>
        </is>
      </c>
      <c r="G942" s="6" t="n">
        <v>1</v>
      </c>
      <c r="H942" s="6" t="n">
        <v>69</v>
      </c>
      <c r="I942" s="6" t="n">
        <v>0</v>
      </c>
      <c r="J942" s="6" t="n">
        <v>35</v>
      </c>
      <c r="K942" s="6">
        <f>H942+I942</f>
        <v/>
      </c>
      <c r="L942" s="5">
        <f>K942/4.7</f>
        <v/>
      </c>
      <c r="M942" s="6" t="n">
        <v>6.699999999999999</v>
      </c>
      <c r="N942" s="6" t="n">
        <v>1</v>
      </c>
      <c r="O942" s="6">
        <f>(K942*0.1229+1.05)/4.7</f>
        <v/>
      </c>
      <c r="P942" s="6">
        <f>K942*0.0749/4.7</f>
        <v/>
      </c>
      <c r="Q942" s="5">
        <f>M942+N942+O942+P942</f>
        <v/>
      </c>
      <c r="R942" s="5">
        <f>L942-Q942</f>
        <v/>
      </c>
      <c r="S942" s="6">
        <f>R942*4.7</f>
        <v/>
      </c>
      <c r="T942" s="7">
        <f>IF(L942&gt;0,R942/L942,0)</f>
        <v/>
      </c>
      <c r="U942" s="3" t="inlineStr">
        <is>
          <t>02/05/2026 17:43:08</t>
        </is>
      </c>
    </row>
    <row r="943">
      <c r="A943" s="3" t="inlineStr">
        <is>
          <t>583818035598755022</t>
        </is>
      </c>
      <c r="B943" s="3" t="inlineStr">
        <is>
          <t>已完成</t>
        </is>
      </c>
      <c r="C943" s="3" t="inlineStr">
        <is>
          <t>C1</t>
        </is>
      </c>
      <c r="D943" s="3" t="inlineStr">
        <is>
          <t>魔芋笋1大袋</t>
        </is>
      </c>
      <c r="E9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3" s="3" t="inlineStr">
        <is>
          <t>รสเผ็ดหอม​, 10 ซอง 200g</t>
        </is>
      </c>
      <c r="G943" s="6" t="n">
        <v>1</v>
      </c>
      <c r="H943" s="6" t="n">
        <v>69</v>
      </c>
      <c r="I943" s="6" t="n">
        <v>0</v>
      </c>
      <c r="J943" s="6" t="n">
        <v>35</v>
      </c>
      <c r="K943" s="6">
        <f>H943+I943</f>
        <v/>
      </c>
      <c r="L943" s="5">
        <f>K943/4.7</f>
        <v/>
      </c>
      <c r="M943" s="6" t="n">
        <v>6.699999999999999</v>
      </c>
      <c r="N943" s="6" t="n">
        <v>1</v>
      </c>
      <c r="O943" s="6">
        <f>(K943*0.1229+1.05)/4.7</f>
        <v/>
      </c>
      <c r="P943" s="6">
        <f>K943*0.0749/4.7</f>
        <v/>
      </c>
      <c r="Q943" s="5">
        <f>M943+N943+O943+P943</f>
        <v/>
      </c>
      <c r="R943" s="5">
        <f>L943-Q943</f>
        <v/>
      </c>
      <c r="S943" s="6">
        <f>R943*4.7</f>
        <v/>
      </c>
      <c r="T943" s="7">
        <f>IF(L943&gt;0,R943/L943,0)</f>
        <v/>
      </c>
      <c r="U943" s="3" t="inlineStr">
        <is>
          <t>02/05/2026 16:15:20</t>
        </is>
      </c>
    </row>
    <row r="944">
      <c r="A944" s="3" t="inlineStr">
        <is>
          <t>583816411641251663</t>
        </is>
      </c>
      <c r="B944" s="3" t="inlineStr">
        <is>
          <t>已完成</t>
        </is>
      </c>
      <c r="C944" s="3" t="inlineStr">
        <is>
          <t>B1</t>
        </is>
      </c>
      <c r="D944" s="3" t="inlineStr">
        <is>
          <t>魔芋笋1大袋</t>
        </is>
      </c>
      <c r="E9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4" s="3" t="inlineStr">
        <is>
          <t>รสเปรี้ยวเผ็ด​, 10 ซอง 200g</t>
        </is>
      </c>
      <c r="G944" s="6" t="n">
        <v>1</v>
      </c>
      <c r="H944" s="6" t="n">
        <v>133</v>
      </c>
      <c r="I944" s="6" t="n">
        <v>0</v>
      </c>
      <c r="J944" s="6" t="n">
        <v>33</v>
      </c>
      <c r="K944" s="6">
        <f>H944+I944</f>
        <v/>
      </c>
      <c r="L944" s="5">
        <f>K944/4.7</f>
        <v/>
      </c>
      <c r="M944" s="6" t="n">
        <v>6.699999999999999</v>
      </c>
      <c r="N944" s="6" t="n">
        <v>1</v>
      </c>
      <c r="O944" s="6">
        <f>(K944*0.1229+1.05)/4.7</f>
        <v/>
      </c>
      <c r="P944" s="6">
        <f>K944*0.0749/4.7</f>
        <v/>
      </c>
      <c r="Q944" s="5">
        <f>M944+N944+O944+P944</f>
        <v/>
      </c>
      <c r="R944" s="5">
        <f>L944-Q944</f>
        <v/>
      </c>
      <c r="S944" s="6">
        <f>R944*4.7</f>
        <v/>
      </c>
      <c r="T944" s="7">
        <f>IF(L944&gt;0,R944/L944,0)</f>
        <v/>
      </c>
      <c r="U944" s="3" t="inlineStr">
        <is>
          <t>02/05/2026 14:30:58</t>
        </is>
      </c>
    </row>
    <row r="945">
      <c r="A945" s="3" t="inlineStr">
        <is>
          <t>583816411641251663</t>
        </is>
      </c>
      <c r="B945" s="3" t="inlineStr">
        <is>
          <t>已完成</t>
        </is>
      </c>
      <c r="C945" s="3" t="inlineStr">
        <is>
          <t>C1</t>
        </is>
      </c>
      <c r="D945" s="3" t="inlineStr">
        <is>
          <t>魔芋笋1大袋</t>
        </is>
      </c>
      <c r="E9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5" s="3" t="inlineStr">
        <is>
          <t>รสเผ็ดหอม​, 10 ซอง 200g</t>
        </is>
      </c>
      <c r="G945" s="6" t="n">
        <v>1</v>
      </c>
      <c r="H945" s="6" t="n">
        <v>133</v>
      </c>
      <c r="I945" s="6" t="n">
        <v>0</v>
      </c>
      <c r="J945" s="6" t="n">
        <v>33</v>
      </c>
      <c r="K945" s="6">
        <f>H945+I945</f>
        <v/>
      </c>
      <c r="L945" s="5">
        <f>K945/4.7</f>
        <v/>
      </c>
      <c r="M945" s="6" t="n">
        <v>6.699999999999999</v>
      </c>
      <c r="N945" s="6" t="n">
        <v>1</v>
      </c>
      <c r="O945" s="6">
        <f>(K945*0.1229+1.05)/4.7</f>
        <v/>
      </c>
      <c r="P945" s="6">
        <f>K945*0.0749/4.7</f>
        <v/>
      </c>
      <c r="Q945" s="5">
        <f>M945+N945+O945+P945</f>
        <v/>
      </c>
      <c r="R945" s="5">
        <f>L945-Q945</f>
        <v/>
      </c>
      <c r="S945" s="6">
        <f>R945*4.7</f>
        <v/>
      </c>
      <c r="T945" s="7">
        <f>IF(L945&gt;0,R945/L945,0)</f>
        <v/>
      </c>
      <c r="U945" s="3" t="inlineStr">
        <is>
          <t>02/05/2026 14:30:58</t>
        </is>
      </c>
    </row>
    <row r="946">
      <c r="A946" s="3" t="inlineStr">
        <is>
          <t>583815963396048783</t>
        </is>
      </c>
      <c r="B946" s="3" t="inlineStr">
        <is>
          <t>已完成</t>
        </is>
      </c>
      <c r="C946" s="3" t="inlineStr">
        <is>
          <t>B3</t>
        </is>
      </c>
      <c r="D946" s="3" t="inlineStr">
        <is>
          <t>魔芋笋3大袋</t>
        </is>
      </c>
      <c r="E9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6" s="3" t="inlineStr">
        <is>
          <t>รสเปรี้ยวเผ็ด​, 30 ซอง 600g</t>
        </is>
      </c>
      <c r="G946" s="6" t="n">
        <v>1</v>
      </c>
      <c r="H946" s="6" t="n">
        <v>154.4</v>
      </c>
      <c r="I946" s="6" t="n">
        <v>12.6</v>
      </c>
      <c r="J946" s="6" t="n">
        <v>38</v>
      </c>
      <c r="K946" s="6">
        <f>H946+I946</f>
        <v/>
      </c>
      <c r="L946" s="5">
        <f>K946/4.7</f>
        <v/>
      </c>
      <c r="M946" s="6" t="n">
        <v>20.1</v>
      </c>
      <c r="N946" s="6" t="n">
        <v>1</v>
      </c>
      <c r="O946" s="6">
        <f>(K946*0.1229+1.05)/4.7</f>
        <v/>
      </c>
      <c r="P946" s="6">
        <f>K946*0.0749/4.7</f>
        <v/>
      </c>
      <c r="Q946" s="5">
        <f>M946+N946+O946+P946</f>
        <v/>
      </c>
      <c r="R946" s="5">
        <f>L946-Q946</f>
        <v/>
      </c>
      <c r="S946" s="6">
        <f>R946*4.7</f>
        <v/>
      </c>
      <c r="T946" s="7">
        <f>IF(L946&gt;0,R946/L946,0)</f>
        <v/>
      </c>
      <c r="U946" s="3" t="inlineStr">
        <is>
          <t>02/05/2026 14:01:43</t>
        </is>
      </c>
    </row>
    <row r="947">
      <c r="A947" s="3" t="inlineStr">
        <is>
          <t>583815219186336884</t>
        </is>
      </c>
      <c r="B947" s="3" t="inlineStr">
        <is>
          <t>已完成</t>
        </is>
      </c>
      <c r="C947" s="3" t="inlineStr">
        <is>
          <t>C2</t>
        </is>
      </c>
      <c r="D947" s="3" t="inlineStr">
        <is>
          <t>魔芋笋2大袋</t>
        </is>
      </c>
      <c r="E9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7" s="3" t="inlineStr">
        <is>
          <t>รสเผ็ดหอม​, 20 ซอง 400g</t>
        </is>
      </c>
      <c r="G947" s="6" t="n">
        <v>1</v>
      </c>
      <c r="H947" s="6" t="n">
        <v>158</v>
      </c>
      <c r="I947" s="6" t="n">
        <v>0</v>
      </c>
      <c r="J947" s="6" t="n">
        <v>0</v>
      </c>
      <c r="K947" s="6">
        <f>H947+I947</f>
        <v/>
      </c>
      <c r="L947" s="5">
        <f>K947/4.7</f>
        <v/>
      </c>
      <c r="M947" s="6" t="n">
        <v>13.4</v>
      </c>
      <c r="N947" s="6" t="n">
        <v>1</v>
      </c>
      <c r="O947" s="6">
        <f>(K947*0.1229+1.05)/4.7</f>
        <v/>
      </c>
      <c r="P947" s="6">
        <f>K947*0.0749/4.7</f>
        <v/>
      </c>
      <c r="Q947" s="5">
        <f>M947+N947+O947+P947</f>
        <v/>
      </c>
      <c r="R947" s="5">
        <f>L947-Q947</f>
        <v/>
      </c>
      <c r="S947" s="6">
        <f>R947*4.7</f>
        <v/>
      </c>
      <c r="T947" s="7">
        <f>IF(L947&gt;0,R947/L947,0)</f>
        <v/>
      </c>
      <c r="U947" s="3" t="inlineStr">
        <is>
          <t>02/05/2026 13:11:25</t>
        </is>
      </c>
    </row>
    <row r="948">
      <c r="A948" s="3" t="inlineStr">
        <is>
          <t>583814438815564817</t>
        </is>
      </c>
      <c r="B948" s="3" t="inlineStr">
        <is>
          <t>已完成</t>
        </is>
      </c>
      <c r="C948" s="3" t="inlineStr">
        <is>
          <t>C1</t>
        </is>
      </c>
      <c r="D948" s="3" t="inlineStr">
        <is>
          <t>魔芋笋1大袋</t>
        </is>
      </c>
      <c r="E9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8" s="3" t="inlineStr">
        <is>
          <t>รสเผ็ดหอม​, 10 ซอง 200g</t>
        </is>
      </c>
      <c r="G948" s="6" t="n">
        <v>1</v>
      </c>
      <c r="H948" s="6" t="n">
        <v>145.02</v>
      </c>
      <c r="I948" s="6" t="n">
        <v>3.99</v>
      </c>
      <c r="J948" s="6" t="n">
        <v>28</v>
      </c>
      <c r="K948" s="6">
        <f>H948+I948</f>
        <v/>
      </c>
      <c r="L948" s="5">
        <f>K948/4.7</f>
        <v/>
      </c>
      <c r="M948" s="6" t="n">
        <v>6.699999999999999</v>
      </c>
      <c r="N948" s="6" t="n">
        <v>1</v>
      </c>
      <c r="O948" s="6">
        <f>(K948*0.1229+1.05)/4.7</f>
        <v/>
      </c>
      <c r="P948" s="6">
        <f>K948*0.0749/4.7</f>
        <v/>
      </c>
      <c r="Q948" s="5">
        <f>M948+N948+O948+P948</f>
        <v/>
      </c>
      <c r="R948" s="5">
        <f>L948-Q948</f>
        <v/>
      </c>
      <c r="S948" s="6">
        <f>R948*4.7</f>
        <v/>
      </c>
      <c r="T948" s="7">
        <f>IF(L948&gt;0,R948/L948,0)</f>
        <v/>
      </c>
      <c r="U948" s="3" t="inlineStr">
        <is>
          <t>02/05/2026 12:29:00</t>
        </is>
      </c>
    </row>
    <row r="949">
      <c r="A949" s="3" t="inlineStr">
        <is>
          <t>583814438815564817</t>
        </is>
      </c>
      <c r="B949" s="3" t="inlineStr">
        <is>
          <t>已完成</t>
        </is>
      </c>
      <c r="C949" s="3" t="inlineStr">
        <is>
          <t>B1</t>
        </is>
      </c>
      <c r="D949" s="3" t="inlineStr">
        <is>
          <t>魔芋笋1大袋</t>
        </is>
      </c>
      <c r="E9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9" s="3" t="inlineStr">
        <is>
          <t>รสเปรี้ยวเผ็ด​, 10 ซอง 200g</t>
        </is>
      </c>
      <c r="G949" s="6" t="n">
        <v>1</v>
      </c>
      <c r="H949" s="6" t="n">
        <v>145.02</v>
      </c>
      <c r="I949" s="6" t="n">
        <v>3.99</v>
      </c>
      <c r="J949" s="6" t="n">
        <v>28</v>
      </c>
      <c r="K949" s="6">
        <f>H949+I949</f>
        <v/>
      </c>
      <c r="L949" s="5">
        <f>K949/4.7</f>
        <v/>
      </c>
      <c r="M949" s="6" t="n">
        <v>6.699999999999999</v>
      </c>
      <c r="N949" s="6" t="n">
        <v>1</v>
      </c>
      <c r="O949" s="6">
        <f>(K949*0.1229+1.05)/4.7</f>
        <v/>
      </c>
      <c r="P949" s="6">
        <f>K949*0.0749/4.7</f>
        <v/>
      </c>
      <c r="Q949" s="5">
        <f>M949+N949+O949+P949</f>
        <v/>
      </c>
      <c r="R949" s="5">
        <f>L949-Q949</f>
        <v/>
      </c>
      <c r="S949" s="6">
        <f>R949*4.7</f>
        <v/>
      </c>
      <c r="T949" s="7">
        <f>IF(L949&gt;0,R949/L949,0)</f>
        <v/>
      </c>
      <c r="U949" s="3" t="inlineStr">
        <is>
          <t>02/05/2026 12:29:00</t>
        </is>
      </c>
    </row>
    <row r="950">
      <c r="A950" s="3" t="inlineStr">
        <is>
          <t>583813773147079958</t>
        </is>
      </c>
      <c r="B950" s="3" t="inlineStr">
        <is>
          <t>已完成</t>
        </is>
      </c>
      <c r="C950" s="3" t="inlineStr">
        <is>
          <t>C1</t>
        </is>
      </c>
      <c r="D950" s="3" t="inlineStr">
        <is>
          <t>魔芋笋1大袋</t>
        </is>
      </c>
      <c r="E9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0" s="3" t="inlineStr">
        <is>
          <t>รสเผ็ดหอม​, 10 ซอง 200g</t>
        </is>
      </c>
      <c r="G950" s="6" t="n">
        <v>1</v>
      </c>
      <c r="H950" s="6" t="n">
        <v>69</v>
      </c>
      <c r="I950" s="6" t="n">
        <v>0</v>
      </c>
      <c r="J950" s="6" t="n">
        <v>11</v>
      </c>
      <c r="K950" s="6">
        <f>H950+I950</f>
        <v/>
      </c>
      <c r="L950" s="5">
        <f>K950/4.7</f>
        <v/>
      </c>
      <c r="M950" s="6" t="n">
        <v>6.699999999999999</v>
      </c>
      <c r="N950" s="6" t="n">
        <v>1</v>
      </c>
      <c r="O950" s="6">
        <f>(K950*0.1229+1.05)/4.7</f>
        <v/>
      </c>
      <c r="P950" s="6">
        <f>K950*0.0749/4.7</f>
        <v/>
      </c>
      <c r="Q950" s="5">
        <f>M950+N950+O950+P950</f>
        <v/>
      </c>
      <c r="R950" s="5">
        <f>L950-Q950</f>
        <v/>
      </c>
      <c r="S950" s="6">
        <f>R950*4.7</f>
        <v/>
      </c>
      <c r="T950" s="7">
        <f>IF(L950&gt;0,R950/L950,0)</f>
        <v/>
      </c>
      <c r="U950" s="3" t="inlineStr">
        <is>
          <t>02/05/2026 11:45:03</t>
        </is>
      </c>
    </row>
    <row r="951">
      <c r="A951" s="3" t="inlineStr">
        <is>
          <t>583812846762755819</t>
        </is>
      </c>
      <c r="B951" s="3" t="inlineStr">
        <is>
          <t>已完成</t>
        </is>
      </c>
      <c r="C951" s="3" t="inlineStr">
        <is>
          <t>C3</t>
        </is>
      </c>
      <c r="D951" s="3" t="inlineStr">
        <is>
          <t>魔芋笋3大袋</t>
        </is>
      </c>
      <c r="E9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1" s="3" t="inlineStr">
        <is>
          <t>รสเผ็ดหอม​, 30 ซอง 600g</t>
        </is>
      </c>
      <c r="G951" s="6" t="n">
        <v>1</v>
      </c>
      <c r="H951" s="6" t="n">
        <v>146.2</v>
      </c>
      <c r="I951" s="6" t="n">
        <v>25.8</v>
      </c>
      <c r="J951" s="6" t="n">
        <v>35</v>
      </c>
      <c r="K951" s="6">
        <f>H951+I951</f>
        <v/>
      </c>
      <c r="L951" s="5">
        <f>K951/4.7</f>
        <v/>
      </c>
      <c r="M951" s="6" t="n">
        <v>20.1</v>
      </c>
      <c r="N951" s="6" t="n">
        <v>1</v>
      </c>
      <c r="O951" s="6">
        <f>(K951*0.1229+1.05)/4.7</f>
        <v/>
      </c>
      <c r="P951" s="6">
        <f>K951*0.0749/4.7</f>
        <v/>
      </c>
      <c r="Q951" s="5">
        <f>M951+N951+O951+P951</f>
        <v/>
      </c>
      <c r="R951" s="5">
        <f>L951-Q951</f>
        <v/>
      </c>
      <c r="S951" s="6">
        <f>R951*4.7</f>
        <v/>
      </c>
      <c r="T951" s="7">
        <f>IF(L951&gt;0,R951/L951,0)</f>
        <v/>
      </c>
      <c r="U951" s="3" t="inlineStr">
        <is>
          <t>02/05/2026 10:52:01</t>
        </is>
      </c>
    </row>
    <row r="952">
      <c r="A952" s="3" t="inlineStr">
        <is>
          <t>583812570557744875</t>
        </is>
      </c>
      <c r="B952" s="3" t="inlineStr">
        <is>
          <t>已取消</t>
        </is>
      </c>
      <c r="C952" s="3" t="inlineStr">
        <is>
          <t>C3</t>
        </is>
      </c>
      <c r="D952" s="3" t="inlineStr">
        <is>
          <t>魔芋笋3大袋</t>
        </is>
      </c>
      <c r="E9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2" s="3" t="inlineStr">
        <is>
          <t>รสเผ็ดหอม​, 30 ซอง 600g</t>
        </is>
      </c>
      <c r="G952" s="6" t="n">
        <v>1</v>
      </c>
      <c r="H952" s="6" t="n">
        <v>172</v>
      </c>
      <c r="I952" s="6" t="n">
        <v>0</v>
      </c>
      <c r="J952" s="6" t="n">
        <v>35</v>
      </c>
      <c r="K952" s="6">
        <f>H952+I952</f>
        <v/>
      </c>
      <c r="L952" s="5">
        <f>K952/4.7</f>
        <v/>
      </c>
      <c r="M952" s="6" t="n">
        <v>20.1</v>
      </c>
      <c r="N952" s="6" t="n">
        <v>1</v>
      </c>
      <c r="O952" s="6">
        <f>(K952*0.1229+1.05)/4.7</f>
        <v/>
      </c>
      <c r="P952" s="6">
        <f>K952*0.0749/4.7</f>
        <v/>
      </c>
      <c r="Q952" s="5">
        <f>M952+N952+O952+P952</f>
        <v/>
      </c>
      <c r="R952" s="5">
        <f>L952-Q952</f>
        <v/>
      </c>
      <c r="S952" s="6">
        <f>R952*4.7</f>
        <v/>
      </c>
      <c r="T952" s="7">
        <f>IF(L952&gt;0,R952/L952,0)</f>
        <v/>
      </c>
      <c r="U952" s="3" t="inlineStr">
        <is>
          <t>02/05/2026 10:32:50</t>
        </is>
      </c>
    </row>
    <row r="953">
      <c r="A953" s="3" t="inlineStr">
        <is>
          <t>583812576835503851</t>
        </is>
      </c>
      <c r="B953" s="3" t="inlineStr">
        <is>
          <t>已取消</t>
        </is>
      </c>
      <c r="C953" s="3" t="inlineStr">
        <is>
          <t>C1</t>
        </is>
      </c>
      <c r="D953" s="3" t="inlineStr">
        <is>
          <t>魔芋笋1大袋</t>
        </is>
      </c>
      <c r="E9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3" s="3" t="inlineStr">
        <is>
          <t>รสเผ็ดหอม​, 10 ซอง 200g</t>
        </is>
      </c>
      <c r="G953" s="6" t="n">
        <v>1</v>
      </c>
      <c r="H953" s="6" t="n">
        <v>69</v>
      </c>
      <c r="I953" s="6" t="n">
        <v>0</v>
      </c>
      <c r="J953" s="6" t="n">
        <v>35</v>
      </c>
      <c r="K953" s="6">
        <f>H953+I953</f>
        <v/>
      </c>
      <c r="L953" s="5">
        <f>K953/4.7</f>
        <v/>
      </c>
      <c r="M953" s="6" t="n">
        <v>6.699999999999999</v>
      </c>
      <c r="N953" s="6" t="n">
        <v>1</v>
      </c>
      <c r="O953" s="6">
        <f>(K953*0.1229+1.05)/4.7</f>
        <v/>
      </c>
      <c r="P953" s="6">
        <f>K953*0.0749/4.7</f>
        <v/>
      </c>
      <c r="Q953" s="5">
        <f>M953+N953+O953+P953</f>
        <v/>
      </c>
      <c r="R953" s="5">
        <f>L953-Q953</f>
        <v/>
      </c>
      <c r="S953" s="6">
        <f>R953*4.7</f>
        <v/>
      </c>
      <c r="T953" s="7">
        <f>IF(L953&gt;0,R953/L953,0)</f>
        <v/>
      </c>
      <c r="U953" s="3" t="inlineStr">
        <is>
          <t>02/05/2026 10:31:15</t>
        </is>
      </c>
    </row>
    <row r="954">
      <c r="A954" s="3" t="inlineStr">
        <is>
          <t>583812188899869898</t>
        </is>
      </c>
      <c r="B954" s="3" t="inlineStr">
        <is>
          <t>已完成</t>
        </is>
      </c>
      <c r="C954" s="3" t="inlineStr">
        <is>
          <t>C1</t>
        </is>
      </c>
      <c r="D954" s="3" t="inlineStr">
        <is>
          <t>魔芋笋1大袋</t>
        </is>
      </c>
      <c r="E9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4" s="3" t="inlineStr">
        <is>
          <t>รสเผ็ดหอม​, 10 ซอง 200g</t>
        </is>
      </c>
      <c r="G954" s="6" t="n">
        <v>1</v>
      </c>
      <c r="H954" s="6" t="n">
        <v>69</v>
      </c>
      <c r="I954" s="6" t="n">
        <v>0</v>
      </c>
      <c r="J954" s="6" t="n">
        <v>35</v>
      </c>
      <c r="K954" s="6">
        <f>H954+I954</f>
        <v/>
      </c>
      <c r="L954" s="5">
        <f>K954/4.7</f>
        <v/>
      </c>
      <c r="M954" s="6" t="n">
        <v>6.699999999999999</v>
      </c>
      <c r="N954" s="6" t="n">
        <v>1</v>
      </c>
      <c r="O954" s="6">
        <f>(K954*0.1229+1.05)/4.7</f>
        <v/>
      </c>
      <c r="P954" s="6">
        <f>K954*0.0749/4.7</f>
        <v/>
      </c>
      <c r="Q954" s="5">
        <f>M954+N954+O954+P954</f>
        <v/>
      </c>
      <c r="R954" s="5">
        <f>L954-Q954</f>
        <v/>
      </c>
      <c r="S954" s="6">
        <f>R954*4.7</f>
        <v/>
      </c>
      <c r="T954" s="7">
        <f>IF(L954&gt;0,R954/L954,0)</f>
        <v/>
      </c>
      <c r="U954" s="3" t="inlineStr">
        <is>
          <t>02/05/2026 10:07:38</t>
        </is>
      </c>
    </row>
    <row r="955">
      <c r="A955" s="3" t="inlineStr">
        <is>
          <t>583812199589250250</t>
        </is>
      </c>
      <c r="B955" s="3" t="inlineStr">
        <is>
          <t>已取消</t>
        </is>
      </c>
      <c r="C955" s="3" t="inlineStr">
        <is>
          <t>C1</t>
        </is>
      </c>
      <c r="D955" s="3" t="inlineStr">
        <is>
          <t>魔芋笋1大袋</t>
        </is>
      </c>
      <c r="E9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5" s="3" t="inlineStr">
        <is>
          <t>รสเผ็ดหอม​, 10 ซอง 200g</t>
        </is>
      </c>
      <c r="G955" s="6" t="n">
        <v>1</v>
      </c>
      <c r="H955" s="6" t="n">
        <v>69</v>
      </c>
      <c r="I955" s="6" t="n">
        <v>0</v>
      </c>
      <c r="J955" s="6" t="n">
        <v>35</v>
      </c>
      <c r="K955" s="6">
        <f>H955+I955</f>
        <v/>
      </c>
      <c r="L955" s="5">
        <f>K955/4.7</f>
        <v/>
      </c>
      <c r="M955" s="6" t="n">
        <v>6.699999999999999</v>
      </c>
      <c r="N955" s="6" t="n">
        <v>1</v>
      </c>
      <c r="O955" s="6">
        <f>(K955*0.1229+1.05)/4.7</f>
        <v/>
      </c>
      <c r="P955" s="6">
        <f>K955*0.0749/4.7</f>
        <v/>
      </c>
      <c r="Q955" s="5">
        <f>M955+N955+O955+P955</f>
        <v/>
      </c>
      <c r="R955" s="5">
        <f>L955-Q955</f>
        <v/>
      </c>
      <c r="S955" s="6">
        <f>R955*4.7</f>
        <v/>
      </c>
      <c r="T955" s="7">
        <f>IF(L955&gt;0,R955/L955,0)</f>
        <v/>
      </c>
      <c r="U955" s="3" t="inlineStr">
        <is>
          <t>02/05/2026 10:06:59</t>
        </is>
      </c>
    </row>
    <row r="956">
      <c r="A956" s="3" t="inlineStr">
        <is>
          <t>583810453232452973</t>
        </is>
      </c>
      <c r="B956" s="3" t="inlineStr">
        <is>
          <t>已完成</t>
        </is>
      </c>
      <c r="C956" s="3" t="inlineStr">
        <is>
          <t>B5s</t>
        </is>
      </c>
      <c r="D956" s="3" t="inlineStr">
        <is>
          <t>酸辣味5小袋</t>
        </is>
      </c>
      <c r="E9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6" s="3" t="inlineStr">
        <is>
          <t>รสเปรี้ยวเผ็ด​, 5 ซอง 100g</t>
        </is>
      </c>
      <c r="G956" s="6" t="n">
        <v>1</v>
      </c>
      <c r="H956" s="6" t="n">
        <v>94.25</v>
      </c>
      <c r="I956" s="6" t="n">
        <v>6.79</v>
      </c>
      <c r="J956" s="6" t="n">
        <v>48</v>
      </c>
      <c r="K956" s="6">
        <f>H956+I956</f>
        <v/>
      </c>
      <c r="L956" s="5">
        <f>K956/4.7</f>
        <v/>
      </c>
      <c r="M956" s="6" t="n">
        <v>3.35</v>
      </c>
      <c r="N956" s="6" t="n">
        <v>1</v>
      </c>
      <c r="O956" s="6">
        <f>(K956*0.1229+1.05)/4.7</f>
        <v/>
      </c>
      <c r="P956" s="6">
        <f>K956*0.0749/4.7</f>
        <v/>
      </c>
      <c r="Q956" s="5">
        <f>M956+N956+O956+P956</f>
        <v/>
      </c>
      <c r="R956" s="5">
        <f>L956-Q956</f>
        <v/>
      </c>
      <c r="S956" s="6">
        <f>R956*4.7</f>
        <v/>
      </c>
      <c r="T956" s="7">
        <f>IF(L956&gt;0,R956/L956,0)</f>
        <v/>
      </c>
      <c r="U956" s="3" t="inlineStr">
        <is>
          <t>02/05/2026 07:41:28</t>
        </is>
      </c>
    </row>
    <row r="957">
      <c r="A957" s="3" t="inlineStr">
        <is>
          <t>583810453232452973</t>
        </is>
      </c>
      <c r="B957" s="3" t="inlineStr">
        <is>
          <t>已完成</t>
        </is>
      </c>
      <c r="C957" s="3" t="inlineStr">
        <is>
          <t>C1</t>
        </is>
      </c>
      <c r="D957" s="3" t="inlineStr">
        <is>
          <t>魔芋笋1大袋</t>
        </is>
      </c>
      <c r="E9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7" s="3" t="inlineStr">
        <is>
          <t>รสเผ็ดหอม​, 10 ซอง 200g</t>
        </is>
      </c>
      <c r="G957" s="6" t="n">
        <v>1</v>
      </c>
      <c r="H957" s="6" t="n">
        <v>94.25</v>
      </c>
      <c r="I957" s="6" t="n">
        <v>9.960000000000001</v>
      </c>
      <c r="J957" s="6" t="n">
        <v>48</v>
      </c>
      <c r="K957" s="6">
        <f>H957+I957</f>
        <v/>
      </c>
      <c r="L957" s="5">
        <f>K957/4.7</f>
        <v/>
      </c>
      <c r="M957" s="6" t="n">
        <v>6.699999999999999</v>
      </c>
      <c r="N957" s="6" t="n">
        <v>1</v>
      </c>
      <c r="O957" s="6">
        <f>(K957*0.1229+1.05)/4.7</f>
        <v/>
      </c>
      <c r="P957" s="6">
        <f>K957*0.0749/4.7</f>
        <v/>
      </c>
      <c r="Q957" s="5">
        <f>M957+N957+O957+P957</f>
        <v/>
      </c>
      <c r="R957" s="5">
        <f>L957-Q957</f>
        <v/>
      </c>
      <c r="S957" s="6">
        <f>R957*4.7</f>
        <v/>
      </c>
      <c r="T957" s="7">
        <f>IF(L957&gt;0,R957/L957,0)</f>
        <v/>
      </c>
      <c r="U957" s="3" t="inlineStr">
        <is>
          <t>02/05/2026 07:41:28</t>
        </is>
      </c>
    </row>
    <row r="958">
      <c r="A958" s="3" t="inlineStr">
        <is>
          <t>583808655640724736</t>
        </is>
      </c>
      <c r="B958" s="3" t="inlineStr">
        <is>
          <t>已取消</t>
        </is>
      </c>
      <c r="C958" s="3" t="inlineStr">
        <is>
          <t>CK</t>
        </is>
      </c>
      <c r="D958" s="3" t="inlineStr">
        <is>
          <t>黑松露黑麦苏打饼干</t>
        </is>
      </c>
      <c r="E95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58" s="3" t="inlineStr">
        <is>
          <t>ค่าเริ่มต้น</t>
        </is>
      </c>
      <c r="G958" s="6" t="n">
        <v>1</v>
      </c>
      <c r="H958" s="6" t="n">
        <v>130</v>
      </c>
      <c r="I958" s="6" t="n">
        <v>0</v>
      </c>
      <c r="J958" s="6" t="n">
        <v>38</v>
      </c>
      <c r="K958" s="6">
        <f>H958+I958</f>
        <v/>
      </c>
      <c r="L958" s="5">
        <f>K958/4.7</f>
        <v/>
      </c>
      <c r="M958" s="6" t="n">
        <v>10.72665050209467</v>
      </c>
      <c r="N958" s="6" t="n">
        <v>1</v>
      </c>
      <c r="O958" s="6">
        <f>(K958*0.1229+1.05)/4.7</f>
        <v/>
      </c>
      <c r="P958" s="6">
        <f>K958*0.0749/4.7</f>
        <v/>
      </c>
      <c r="Q958" s="5">
        <f>M958+N958+O958+P958</f>
        <v/>
      </c>
      <c r="R958" s="5">
        <f>L958-Q958</f>
        <v/>
      </c>
      <c r="S958" s="6">
        <f>R958*4.7</f>
        <v/>
      </c>
      <c r="T958" s="7">
        <f>IF(L958&gt;0,R958/L958,0)</f>
        <v/>
      </c>
      <c r="U958" s="3" t="inlineStr">
        <is>
          <t>02/05/2026 02:12:52</t>
        </is>
      </c>
    </row>
    <row r="959">
      <c r="A959" s="3" t="inlineStr">
        <is>
          <t>583808011082499091</t>
        </is>
      </c>
      <c r="B959" s="3" t="inlineStr">
        <is>
          <t>已完成</t>
        </is>
      </c>
      <c r="C959" s="3" t="inlineStr">
        <is>
          <t>C1</t>
        </is>
      </c>
      <c r="D959" s="3" t="inlineStr">
        <is>
          <t>魔芋笋1大袋</t>
        </is>
      </c>
      <c r="E9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9" s="3" t="inlineStr">
        <is>
          <t>รสเผ็ดหอม​, 10 ซอง 200g</t>
        </is>
      </c>
      <c r="G959" s="6" t="n">
        <v>1</v>
      </c>
      <c r="H959" s="6" t="n">
        <v>69</v>
      </c>
      <c r="I959" s="6" t="n">
        <v>0</v>
      </c>
      <c r="J959" s="6" t="n">
        <v>38</v>
      </c>
      <c r="K959" s="6">
        <f>H959+I959</f>
        <v/>
      </c>
      <c r="L959" s="5">
        <f>K959/4.7</f>
        <v/>
      </c>
      <c r="M959" s="6" t="n">
        <v>6.699999999999999</v>
      </c>
      <c r="N959" s="6" t="n">
        <v>1</v>
      </c>
      <c r="O959" s="6">
        <f>(K959*0.1229+1.05)/4.7</f>
        <v/>
      </c>
      <c r="P959" s="6">
        <f>K959*0.0749/4.7</f>
        <v/>
      </c>
      <c r="Q959" s="5">
        <f>M959+N959+O959+P959</f>
        <v/>
      </c>
      <c r="R959" s="5">
        <f>L959-Q959</f>
        <v/>
      </c>
      <c r="S959" s="6">
        <f>R959*4.7</f>
        <v/>
      </c>
      <c r="T959" s="7">
        <f>IF(L959&gt;0,R959/L959,0)</f>
        <v/>
      </c>
      <c r="U959" s="3" t="inlineStr">
        <is>
          <t>02/05/2026 00:46:31</t>
        </is>
      </c>
    </row>
    <row r="960">
      <c r="A960" s="3" t="inlineStr">
        <is>
          <t>583807922482021453</t>
        </is>
      </c>
      <c r="B960" s="3" t="inlineStr">
        <is>
          <t>已取消</t>
        </is>
      </c>
      <c r="C960" s="3" t="inlineStr">
        <is>
          <t>CK</t>
        </is>
      </c>
      <c r="D960" s="3" t="inlineStr">
        <is>
          <t>黑松露黑麦苏打饼干</t>
        </is>
      </c>
      <c r="E96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60" s="3" t="inlineStr">
        <is>
          <t>ค่าเริ่มต้น</t>
        </is>
      </c>
      <c r="G960" s="6" t="n">
        <v>2</v>
      </c>
      <c r="H960" s="6" t="n">
        <v>239.2</v>
      </c>
      <c r="I960" s="6" t="n">
        <v>20.8</v>
      </c>
      <c r="J960" s="6" t="n">
        <v>35</v>
      </c>
      <c r="K960" s="6">
        <f>H960+I960</f>
        <v/>
      </c>
      <c r="L960" s="5">
        <f>K960/4.7</f>
        <v/>
      </c>
      <c r="M960" s="6" t="n">
        <v>21.45330100418933</v>
      </c>
      <c r="N960" s="6" t="n">
        <v>1</v>
      </c>
      <c r="O960" s="6">
        <f>(K960*0.1229+1.05)/4.7</f>
        <v/>
      </c>
      <c r="P960" s="6">
        <f>K960*0.0749/4.7</f>
        <v/>
      </c>
      <c r="Q960" s="5">
        <f>M960+N960+O960+P960</f>
        <v/>
      </c>
      <c r="R960" s="5">
        <f>L960-Q960</f>
        <v/>
      </c>
      <c r="S960" s="6">
        <f>R960*4.7</f>
        <v/>
      </c>
      <c r="T960" s="7">
        <f>IF(L960&gt;0,R960/L960,0)</f>
        <v/>
      </c>
      <c r="U960" s="3" t="inlineStr">
        <is>
          <t>02/05/2026 00:37:26</t>
        </is>
      </c>
    </row>
    <row r="961">
      <c r="A961" s="3" t="inlineStr">
        <is>
          <t>583807921649058833</t>
        </is>
      </c>
      <c r="B961" s="3" t="inlineStr">
        <is>
          <t>已完成</t>
        </is>
      </c>
      <c r="C961" s="3" t="inlineStr">
        <is>
          <t>C1</t>
        </is>
      </c>
      <c r="D961" s="3" t="inlineStr">
        <is>
          <t>魔芋笋1大袋</t>
        </is>
      </c>
      <c r="E9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1" s="3" t="inlineStr">
        <is>
          <t>รสเผ็ดหอม​, 10 ซอง 200g</t>
        </is>
      </c>
      <c r="G961" s="6" t="n">
        <v>1</v>
      </c>
      <c r="H961" s="6" t="n">
        <v>69</v>
      </c>
      <c r="I961" s="6" t="n">
        <v>0</v>
      </c>
      <c r="J961" s="6" t="n">
        <v>35</v>
      </c>
      <c r="K961" s="6">
        <f>H961+I961</f>
        <v/>
      </c>
      <c r="L961" s="5">
        <f>K961/4.7</f>
        <v/>
      </c>
      <c r="M961" s="6" t="n">
        <v>6.699999999999999</v>
      </c>
      <c r="N961" s="6" t="n">
        <v>1</v>
      </c>
      <c r="O961" s="6">
        <f>(K961*0.1229+1.05)/4.7</f>
        <v/>
      </c>
      <c r="P961" s="6">
        <f>K961*0.0749/4.7</f>
        <v/>
      </c>
      <c r="Q961" s="5">
        <f>M961+N961+O961+P961</f>
        <v/>
      </c>
      <c r="R961" s="5">
        <f>L961-Q961</f>
        <v/>
      </c>
      <c r="S961" s="6">
        <f>R961*4.7</f>
        <v/>
      </c>
      <c r="T961" s="7">
        <f>IF(L961&gt;0,R961/L961,0)</f>
        <v/>
      </c>
      <c r="U961" s="3" t="inlineStr">
        <is>
          <t>02/05/2026 00:35:47</t>
        </is>
      </c>
    </row>
    <row r="962">
      <c r="A962" s="3" t="inlineStr">
        <is>
          <t>583807300729997027</t>
        </is>
      </c>
      <c r="B962" s="3" t="inlineStr">
        <is>
          <t>已完成</t>
        </is>
      </c>
      <c r="C962" s="3" t="inlineStr">
        <is>
          <t>C1</t>
        </is>
      </c>
      <c r="D962" s="3" t="inlineStr">
        <is>
          <t>魔芋笋1大袋</t>
        </is>
      </c>
      <c r="E9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2" s="3" t="inlineStr">
        <is>
          <t>รสเผ็ดหอม​, 10 ซอง 200g</t>
        </is>
      </c>
      <c r="G962" s="6" t="n">
        <v>1</v>
      </c>
      <c r="H962" s="6" t="n">
        <v>69</v>
      </c>
      <c r="I962" s="6" t="n">
        <v>0</v>
      </c>
      <c r="J962" s="6" t="n">
        <v>38</v>
      </c>
      <c r="K962" s="6">
        <f>H962+I962</f>
        <v/>
      </c>
      <c r="L962" s="5">
        <f>K962/4.7</f>
        <v/>
      </c>
      <c r="M962" s="6" t="n">
        <v>6.699999999999999</v>
      </c>
      <c r="N962" s="6" t="n">
        <v>1</v>
      </c>
      <c r="O962" s="6">
        <f>(K962*0.1229+1.05)/4.7</f>
        <v/>
      </c>
      <c r="P962" s="6">
        <f>K962*0.0749/4.7</f>
        <v/>
      </c>
      <c r="Q962" s="5">
        <f>M962+N962+O962+P962</f>
        <v/>
      </c>
      <c r="R962" s="5">
        <f>L962-Q962</f>
        <v/>
      </c>
      <c r="S962" s="6">
        <f>R962*4.7</f>
        <v/>
      </c>
      <c r="T962" s="7">
        <f>IF(L962&gt;0,R962/L962,0)</f>
        <v/>
      </c>
      <c r="U962" s="3" t="inlineStr">
        <is>
          <t>01/05/2026 23:38:58</t>
        </is>
      </c>
    </row>
    <row r="963">
      <c r="A963" s="3" t="inlineStr">
        <is>
          <t>583807170471626547</t>
        </is>
      </c>
      <c r="B963" s="3" t="inlineStr">
        <is>
          <t>已完成</t>
        </is>
      </c>
      <c r="C963" s="3" t="inlineStr">
        <is>
          <t>C1</t>
        </is>
      </c>
      <c r="D963" s="3" t="inlineStr">
        <is>
          <t>魔芋笋1大袋</t>
        </is>
      </c>
      <c r="E9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3" s="3" t="inlineStr">
        <is>
          <t>รสเผ็ดหอม​, 10 ซอง 200g</t>
        </is>
      </c>
      <c r="G963" s="6" t="n">
        <v>1</v>
      </c>
      <c r="H963" s="6" t="n">
        <v>69</v>
      </c>
      <c r="I963" s="6" t="n">
        <v>0</v>
      </c>
      <c r="J963" s="6" t="n">
        <v>35</v>
      </c>
      <c r="K963" s="6">
        <f>H963+I963</f>
        <v/>
      </c>
      <c r="L963" s="5">
        <f>K963/4.7</f>
        <v/>
      </c>
      <c r="M963" s="6" t="n">
        <v>6.699999999999999</v>
      </c>
      <c r="N963" s="6" t="n">
        <v>1</v>
      </c>
      <c r="O963" s="6">
        <f>(K963*0.1229+1.05)/4.7</f>
        <v/>
      </c>
      <c r="P963" s="6">
        <f>K963*0.0749/4.7</f>
        <v/>
      </c>
      <c r="Q963" s="5">
        <f>M963+N963+O963+P963</f>
        <v/>
      </c>
      <c r="R963" s="5">
        <f>L963-Q963</f>
        <v/>
      </c>
      <c r="S963" s="6">
        <f>R963*4.7</f>
        <v/>
      </c>
      <c r="T963" s="7">
        <f>IF(L963&gt;0,R963/L963,0)</f>
        <v/>
      </c>
      <c r="U963" s="3" t="inlineStr">
        <is>
          <t>01/05/2026 23:28:54</t>
        </is>
      </c>
    </row>
    <row r="964">
      <c r="A964" s="3" t="inlineStr">
        <is>
          <t>583806252741593010</t>
        </is>
      </c>
      <c r="B964" s="3" t="inlineStr">
        <is>
          <t>已完成</t>
        </is>
      </c>
      <c r="C964" s="3" t="inlineStr">
        <is>
          <t>C2</t>
        </is>
      </c>
      <c r="D964" s="3" t="inlineStr">
        <is>
          <t>魔芋笋2大袋</t>
        </is>
      </c>
      <c r="E9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4" s="3" t="inlineStr">
        <is>
          <t>รสเผ็ดหอม​, 20 ซอง 400g</t>
        </is>
      </c>
      <c r="G964" s="6" t="n">
        <v>1</v>
      </c>
      <c r="H964" s="6" t="n">
        <v>125</v>
      </c>
      <c r="I964" s="6" t="n">
        <v>0</v>
      </c>
      <c r="J964" s="6" t="n">
        <v>38</v>
      </c>
      <c r="K964" s="6">
        <f>H964+I964</f>
        <v/>
      </c>
      <c r="L964" s="5">
        <f>K964/4.7</f>
        <v/>
      </c>
      <c r="M964" s="6" t="n">
        <v>13.4</v>
      </c>
      <c r="N964" s="6" t="n">
        <v>1</v>
      </c>
      <c r="O964" s="6">
        <f>(K964*0.1229+1.05)/4.7</f>
        <v/>
      </c>
      <c r="P964" s="6">
        <f>K964*0.0749/4.7</f>
        <v/>
      </c>
      <c r="Q964" s="5">
        <f>M964+N964+O964+P964</f>
        <v/>
      </c>
      <c r="R964" s="5">
        <f>L964-Q964</f>
        <v/>
      </c>
      <c r="S964" s="6">
        <f>R964*4.7</f>
        <v/>
      </c>
      <c r="T964" s="7">
        <f>IF(L964&gt;0,R964/L964,0)</f>
        <v/>
      </c>
      <c r="U964" s="3" t="inlineStr">
        <is>
          <t>01/05/2026 22:28:52</t>
        </is>
      </c>
    </row>
    <row r="965">
      <c r="A965" s="3" t="inlineStr">
        <is>
          <t>583805926662899611</t>
        </is>
      </c>
      <c r="B965" s="3" t="inlineStr">
        <is>
          <t>已取消</t>
        </is>
      </c>
      <c r="C965" s="3" t="inlineStr">
        <is>
          <t>C5s</t>
        </is>
      </c>
      <c r="D965" s="3" t="inlineStr">
        <is>
          <t>香辣味魔芋笋5小袋</t>
        </is>
      </c>
      <c r="E9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5" s="3" t="inlineStr">
        <is>
          <t>รสเผ็ดหอม​, 5 ซอง 100g</t>
        </is>
      </c>
      <c r="G965" s="6" t="n">
        <v>1</v>
      </c>
      <c r="H965" s="6" t="n">
        <v>94</v>
      </c>
      <c r="I965" s="6" t="n">
        <v>0</v>
      </c>
      <c r="J965" s="6" t="n">
        <v>48</v>
      </c>
      <c r="K965" s="6">
        <f>H965+I965</f>
        <v/>
      </c>
      <c r="L965" s="5">
        <f>K965/4.7</f>
        <v/>
      </c>
      <c r="M965" s="6" t="n">
        <v>3.35</v>
      </c>
      <c r="N965" s="6" t="n">
        <v>1</v>
      </c>
      <c r="O965" s="6">
        <f>(K965*0.1229+1.05)/4.7</f>
        <v/>
      </c>
      <c r="P965" s="6">
        <f>K965*0.0749/4.7</f>
        <v/>
      </c>
      <c r="Q965" s="5">
        <f>M965+N965+O965+P965</f>
        <v/>
      </c>
      <c r="R965" s="5">
        <f>L965-Q965</f>
        <v/>
      </c>
      <c r="S965" s="6">
        <f>R965*4.7</f>
        <v/>
      </c>
      <c r="T965" s="7">
        <f>IF(L965&gt;0,R965/L965,0)</f>
        <v/>
      </c>
      <c r="U965" s="3" t="inlineStr">
        <is>
          <t>01/05/2026 22:08:35</t>
        </is>
      </c>
    </row>
    <row r="966">
      <c r="A966" s="3" t="inlineStr">
        <is>
          <t>583805926662899611</t>
        </is>
      </c>
      <c r="B966" s="3" t="inlineStr">
        <is>
          <t>已取消</t>
        </is>
      </c>
      <c r="C966" s="3" t="inlineStr">
        <is>
          <t>B5s</t>
        </is>
      </c>
      <c r="D966" s="3" t="inlineStr">
        <is>
          <t>酸辣味5小袋</t>
        </is>
      </c>
      <c r="E9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6" s="3" t="inlineStr">
        <is>
          <t>รสเปรี้ยวเผ็ด​, 5 ซอง 100g</t>
        </is>
      </c>
      <c r="G966" s="6" t="n">
        <v>1</v>
      </c>
      <c r="H966" s="6" t="n">
        <v>94</v>
      </c>
      <c r="I966" s="6" t="n">
        <v>0</v>
      </c>
      <c r="J966" s="6" t="n">
        <v>48</v>
      </c>
      <c r="K966" s="6">
        <f>H966+I966</f>
        <v/>
      </c>
      <c r="L966" s="5">
        <f>K966/4.7</f>
        <v/>
      </c>
      <c r="M966" s="6" t="n">
        <v>3.35</v>
      </c>
      <c r="N966" s="6" t="n">
        <v>1</v>
      </c>
      <c r="O966" s="6">
        <f>(K966*0.1229+1.05)/4.7</f>
        <v/>
      </c>
      <c r="P966" s="6">
        <f>K966*0.0749/4.7</f>
        <v/>
      </c>
      <c r="Q966" s="5">
        <f>M966+N966+O966+P966</f>
        <v/>
      </c>
      <c r="R966" s="5">
        <f>L966-Q966</f>
        <v/>
      </c>
      <c r="S966" s="6">
        <f>R966*4.7</f>
        <v/>
      </c>
      <c r="T966" s="7">
        <f>IF(L966&gt;0,R966/L966,0)</f>
        <v/>
      </c>
      <c r="U966" s="3" t="inlineStr">
        <is>
          <t>01/05/2026 22:08:35</t>
        </is>
      </c>
    </row>
    <row r="967">
      <c r="A967" s="3" t="inlineStr">
        <is>
          <t>583805715970885348</t>
        </is>
      </c>
      <c r="B967" s="3" t="inlineStr">
        <is>
          <t>已取消</t>
        </is>
      </c>
      <c r="C967" s="3" t="inlineStr">
        <is>
          <t>C5s</t>
        </is>
      </c>
      <c r="D967" s="3" t="inlineStr">
        <is>
          <t>香辣味魔芋笋5小袋</t>
        </is>
      </c>
      <c r="E9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7" s="3" t="inlineStr">
        <is>
          <t>รสเผ็ดหอม​, 5 ซอง 100g</t>
        </is>
      </c>
      <c r="G967" s="6" t="n">
        <v>1</v>
      </c>
      <c r="H967" s="6" t="n">
        <v>47</v>
      </c>
      <c r="I967" s="6" t="n">
        <v>0</v>
      </c>
      <c r="J967" s="6" t="n">
        <v>38</v>
      </c>
      <c r="K967" s="6">
        <f>H967+I967</f>
        <v/>
      </c>
      <c r="L967" s="5">
        <f>K967/4.7</f>
        <v/>
      </c>
      <c r="M967" s="6" t="n">
        <v>3.35</v>
      </c>
      <c r="N967" s="6" t="n">
        <v>1</v>
      </c>
      <c r="O967" s="6">
        <f>(K967*0.1229+1.05)/4.7</f>
        <v/>
      </c>
      <c r="P967" s="6">
        <f>K967*0.0749/4.7</f>
        <v/>
      </c>
      <c r="Q967" s="5">
        <f>M967+N967+O967+P967</f>
        <v/>
      </c>
      <c r="R967" s="5">
        <f>L967-Q967</f>
        <v/>
      </c>
      <c r="S967" s="6">
        <f>R967*4.7</f>
        <v/>
      </c>
      <c r="T967" s="7">
        <f>IF(L967&gt;0,R967/L967,0)</f>
        <v/>
      </c>
      <c r="U967" s="3" t="inlineStr">
        <is>
          <t>01/05/2026 21:58:47</t>
        </is>
      </c>
    </row>
    <row r="968">
      <c r="A968" s="3" t="inlineStr">
        <is>
          <t>583805446692636439</t>
        </is>
      </c>
      <c r="B968" s="3" t="inlineStr">
        <is>
          <t>已完成</t>
        </is>
      </c>
      <c r="C968" s="3" t="inlineStr">
        <is>
          <t>B2</t>
        </is>
      </c>
      <c r="D968" s="3" t="inlineStr">
        <is>
          <t>魔芋笋2大袋</t>
        </is>
      </c>
      <c r="E9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8" s="3" t="inlineStr">
        <is>
          <t>รสเปรี้ยวเผ็ด​, 20 ซอง 400g</t>
        </is>
      </c>
      <c r="G968" s="6" t="n">
        <v>1</v>
      </c>
      <c r="H968" s="6" t="n">
        <v>136.5</v>
      </c>
      <c r="I968" s="6" t="n">
        <v>7.5</v>
      </c>
      <c r="J968" s="6" t="n">
        <v>0</v>
      </c>
      <c r="K968" s="6">
        <f>H968+I968</f>
        <v/>
      </c>
      <c r="L968" s="5">
        <f>K968/4.7</f>
        <v/>
      </c>
      <c r="M968" s="6" t="n">
        <v>13.4</v>
      </c>
      <c r="N968" s="6" t="n">
        <v>1</v>
      </c>
      <c r="O968" s="6">
        <f>(K968*0.1229+1.05)/4.7</f>
        <v/>
      </c>
      <c r="P968" s="6">
        <f>K968*0.0749/4.7</f>
        <v/>
      </c>
      <c r="Q968" s="5">
        <f>M968+N968+O968+P968</f>
        <v/>
      </c>
      <c r="R968" s="5">
        <f>L968-Q968</f>
        <v/>
      </c>
      <c r="S968" s="6">
        <f>R968*4.7</f>
        <v/>
      </c>
      <c r="T968" s="7">
        <f>IF(L968&gt;0,R968/L968,0)</f>
        <v/>
      </c>
      <c r="U968" s="3" t="inlineStr">
        <is>
          <t>01/05/2026 21:42:52</t>
        </is>
      </c>
    </row>
    <row r="969">
      <c r="A969" s="3" t="inlineStr">
        <is>
          <t>583805258709763089</t>
        </is>
      </c>
      <c r="B969" s="3" t="inlineStr">
        <is>
          <t>已完成</t>
        </is>
      </c>
      <c r="C969" s="3" t="inlineStr">
        <is>
          <t>C2</t>
        </is>
      </c>
      <c r="D969" s="3" t="inlineStr">
        <is>
          <t>魔芋笋2大袋</t>
        </is>
      </c>
      <c r="E9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9" s="3" t="inlineStr">
        <is>
          <t>รสเผ็ดหอม​, 20 ซอง 400g</t>
        </is>
      </c>
      <c r="G969" s="6" t="n">
        <v>1</v>
      </c>
      <c r="H969" s="6" t="n">
        <v>70</v>
      </c>
      <c r="I969" s="6" t="n">
        <v>50</v>
      </c>
      <c r="J969" s="6" t="n">
        <v>3</v>
      </c>
      <c r="K969" s="6">
        <f>H969+I969</f>
        <v/>
      </c>
      <c r="L969" s="5">
        <f>K969/4.7</f>
        <v/>
      </c>
      <c r="M969" s="6" t="n">
        <v>13.4</v>
      </c>
      <c r="N969" s="6" t="n">
        <v>1</v>
      </c>
      <c r="O969" s="6">
        <f>(K969*0.1229+1.05)/4.7</f>
        <v/>
      </c>
      <c r="P969" s="6">
        <f>K969*0.0749/4.7</f>
        <v/>
      </c>
      <c r="Q969" s="5">
        <f>M969+N969+O969+P969</f>
        <v/>
      </c>
      <c r="R969" s="5">
        <f>L969-Q969</f>
        <v/>
      </c>
      <c r="S969" s="6">
        <f>R969*4.7</f>
        <v/>
      </c>
      <c r="T969" s="7">
        <f>IF(L969&gt;0,R969/L969,0)</f>
        <v/>
      </c>
      <c r="U969" s="3" t="inlineStr">
        <is>
          <t>01/05/2026 21:28:58</t>
        </is>
      </c>
    </row>
    <row r="970">
      <c r="A970" s="3" t="inlineStr">
        <is>
          <t>583805096220460960</t>
        </is>
      </c>
      <c r="B970" s="3" t="inlineStr">
        <is>
          <t>已完成</t>
        </is>
      </c>
      <c r="C970" s="3" t="inlineStr">
        <is>
          <t>C1</t>
        </is>
      </c>
      <c r="D970" s="3" t="inlineStr">
        <is>
          <t>魔芋笋1大袋</t>
        </is>
      </c>
      <c r="E9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0" s="3" t="inlineStr">
        <is>
          <t>รสเผ็ดหอม​, 10 ซอง 200g</t>
        </is>
      </c>
      <c r="G970" s="6" t="n">
        <v>1</v>
      </c>
      <c r="H970" s="6" t="n">
        <v>69</v>
      </c>
      <c r="I970" s="6" t="n">
        <v>0</v>
      </c>
      <c r="J970" s="6" t="n">
        <v>35</v>
      </c>
      <c r="K970" s="6">
        <f>H970+I970</f>
        <v/>
      </c>
      <c r="L970" s="5">
        <f>K970/4.7</f>
        <v/>
      </c>
      <c r="M970" s="6" t="n">
        <v>6.699999999999999</v>
      </c>
      <c r="N970" s="6" t="n">
        <v>1</v>
      </c>
      <c r="O970" s="6">
        <f>(K970*0.1229+1.05)/4.7</f>
        <v/>
      </c>
      <c r="P970" s="6">
        <f>K970*0.0749/4.7</f>
        <v/>
      </c>
      <c r="Q970" s="5">
        <f>M970+N970+O970+P970</f>
        <v/>
      </c>
      <c r="R970" s="5">
        <f>L970-Q970</f>
        <v/>
      </c>
      <c r="S970" s="6">
        <f>R970*4.7</f>
        <v/>
      </c>
      <c r="T970" s="7">
        <f>IF(L970&gt;0,R970/L970,0)</f>
        <v/>
      </c>
      <c r="U970" s="3" t="inlineStr">
        <is>
          <t>01/05/2026 21:19:42</t>
        </is>
      </c>
    </row>
    <row r="971">
      <c r="A971" s="3" t="inlineStr">
        <is>
          <t>583804302658274852</t>
        </is>
      </c>
      <c r="B971" s="3" t="inlineStr">
        <is>
          <t>已完成</t>
        </is>
      </c>
      <c r="C971" s="3" t="inlineStr">
        <is>
          <t>C1</t>
        </is>
      </c>
      <c r="D971" s="3" t="inlineStr">
        <is>
          <t>魔芋笋1大袋</t>
        </is>
      </c>
      <c r="E9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1" s="3" t="inlineStr">
        <is>
          <t>รสเผ็ดหอม​, 10 ซอง 200g</t>
        </is>
      </c>
      <c r="G971" s="6" t="n">
        <v>1</v>
      </c>
      <c r="H971" s="6" t="n">
        <v>69</v>
      </c>
      <c r="I971" s="6" t="n">
        <v>0</v>
      </c>
      <c r="J971" s="6" t="n">
        <v>38</v>
      </c>
      <c r="K971" s="6">
        <f>H971+I971</f>
        <v/>
      </c>
      <c r="L971" s="5">
        <f>K971/4.7</f>
        <v/>
      </c>
      <c r="M971" s="6" t="n">
        <v>6.699999999999999</v>
      </c>
      <c r="N971" s="6" t="n">
        <v>1</v>
      </c>
      <c r="O971" s="6">
        <f>(K971*0.1229+1.05)/4.7</f>
        <v/>
      </c>
      <c r="P971" s="6">
        <f>K971*0.0749/4.7</f>
        <v/>
      </c>
      <c r="Q971" s="5">
        <f>M971+N971+O971+P971</f>
        <v/>
      </c>
      <c r="R971" s="5">
        <f>L971-Q971</f>
        <v/>
      </c>
      <c r="S971" s="6">
        <f>R971*4.7</f>
        <v/>
      </c>
      <c r="T971" s="7">
        <f>IF(L971&gt;0,R971/L971,0)</f>
        <v/>
      </c>
      <c r="U971" s="3" t="inlineStr">
        <is>
          <t>01/05/2026 20:37:39</t>
        </is>
      </c>
    </row>
    <row r="972">
      <c r="A972" s="3" t="inlineStr">
        <is>
          <t>583803715789358621</t>
        </is>
      </c>
      <c r="B972" s="3" t="inlineStr">
        <is>
          <t>已完成</t>
        </is>
      </c>
      <c r="C972" s="3" t="inlineStr">
        <is>
          <t>C2</t>
        </is>
      </c>
      <c r="D972" s="3" t="inlineStr">
        <is>
          <t>魔芋笋2大袋</t>
        </is>
      </c>
      <c r="E9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2" s="3" t="inlineStr">
        <is>
          <t>รสเผ็ดหอม​, 20 ซอง 400g</t>
        </is>
      </c>
      <c r="G972" s="6" t="n">
        <v>1</v>
      </c>
      <c r="H972" s="6" t="n">
        <v>120</v>
      </c>
      <c r="I972" s="6" t="n">
        <v>0</v>
      </c>
      <c r="J972" s="6" t="n">
        <v>35</v>
      </c>
      <c r="K972" s="6">
        <f>H972+I972</f>
        <v/>
      </c>
      <c r="L972" s="5">
        <f>K972/4.7</f>
        <v/>
      </c>
      <c r="M972" s="6" t="n">
        <v>13.4</v>
      </c>
      <c r="N972" s="6" t="n">
        <v>1</v>
      </c>
      <c r="O972" s="6">
        <f>(K972*0.1229+1.05)/4.7</f>
        <v/>
      </c>
      <c r="P972" s="6">
        <f>K972*0.0749/4.7</f>
        <v/>
      </c>
      <c r="Q972" s="5">
        <f>M972+N972+O972+P972</f>
        <v/>
      </c>
      <c r="R972" s="5">
        <f>L972-Q972</f>
        <v/>
      </c>
      <c r="S972" s="6">
        <f>R972*4.7</f>
        <v/>
      </c>
      <c r="T972" s="7">
        <f>IF(L972&gt;0,R972/L972,0)</f>
        <v/>
      </c>
      <c r="U972" s="3" t="inlineStr">
        <is>
          <t>01/05/2026 20:05:57</t>
        </is>
      </c>
    </row>
    <row r="973">
      <c r="A973" s="3" t="inlineStr">
        <is>
          <t>583803370342941992</t>
        </is>
      </c>
      <c r="B973" s="3" t="inlineStr">
        <is>
          <t>已取消</t>
        </is>
      </c>
      <c r="C973" s="3" t="inlineStr">
        <is>
          <t>C1</t>
        </is>
      </c>
      <c r="D973" s="3" t="inlineStr">
        <is>
          <t>魔芋笋1大袋</t>
        </is>
      </c>
      <c r="E9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3" s="3" t="inlineStr">
        <is>
          <t>รสเผ็ดหอม​, 10 ซอง 200g</t>
        </is>
      </c>
      <c r="G973" s="6" t="n">
        <v>1</v>
      </c>
      <c r="H973" s="6" t="n">
        <v>69</v>
      </c>
      <c r="I973" s="6" t="n">
        <v>0</v>
      </c>
      <c r="J973" s="6" t="n">
        <v>38</v>
      </c>
      <c r="K973" s="6">
        <f>H973+I973</f>
        <v/>
      </c>
      <c r="L973" s="5">
        <f>K973/4.7</f>
        <v/>
      </c>
      <c r="M973" s="6" t="n">
        <v>6.699999999999999</v>
      </c>
      <c r="N973" s="6" t="n">
        <v>1</v>
      </c>
      <c r="O973" s="6">
        <f>(K973*0.1229+1.05)/4.7</f>
        <v/>
      </c>
      <c r="P973" s="6">
        <f>K973*0.0749/4.7</f>
        <v/>
      </c>
      <c r="Q973" s="5">
        <f>M973+N973+O973+P973</f>
        <v/>
      </c>
      <c r="R973" s="5">
        <f>L973-Q973</f>
        <v/>
      </c>
      <c r="S973" s="6">
        <f>R973*4.7</f>
        <v/>
      </c>
      <c r="T973" s="7">
        <f>IF(L973&gt;0,R973/L973,0)</f>
        <v/>
      </c>
      <c r="U973" s="3" t="inlineStr">
        <is>
          <t>01/05/2026 19:48:42</t>
        </is>
      </c>
    </row>
    <row r="974">
      <c r="A974" s="3" t="inlineStr">
        <is>
          <t>583801860495804383</t>
        </is>
      </c>
      <c r="B974" s="3" t="inlineStr">
        <is>
          <t>已完成</t>
        </is>
      </c>
      <c r="C974" s="3" t="inlineStr">
        <is>
          <t>C1</t>
        </is>
      </c>
      <c r="D974" s="3" t="inlineStr">
        <is>
          <t>魔芋笋1大袋</t>
        </is>
      </c>
      <c r="E9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4" s="3" t="inlineStr">
        <is>
          <t>รสเผ็ดหอม​, 10 ซอง 200g</t>
        </is>
      </c>
      <c r="G974" s="6" t="n">
        <v>1</v>
      </c>
      <c r="H974" s="6" t="n">
        <v>69</v>
      </c>
      <c r="I974" s="6" t="n">
        <v>0</v>
      </c>
      <c r="J974" s="6" t="n">
        <v>38</v>
      </c>
      <c r="K974" s="6">
        <f>H974+I974</f>
        <v/>
      </c>
      <c r="L974" s="5">
        <f>K974/4.7</f>
        <v/>
      </c>
      <c r="M974" s="6" t="n">
        <v>6.699999999999999</v>
      </c>
      <c r="N974" s="6" t="n">
        <v>1</v>
      </c>
      <c r="O974" s="6">
        <f>(K974*0.1229+1.05)/4.7</f>
        <v/>
      </c>
      <c r="P974" s="6">
        <f>K974*0.0749/4.7</f>
        <v/>
      </c>
      <c r="Q974" s="5">
        <f>M974+N974+O974+P974</f>
        <v/>
      </c>
      <c r="R974" s="5">
        <f>L974-Q974</f>
        <v/>
      </c>
      <c r="S974" s="6">
        <f>R974*4.7</f>
        <v/>
      </c>
      <c r="T974" s="7">
        <f>IF(L974&gt;0,R974/L974,0)</f>
        <v/>
      </c>
      <c r="U974" s="3" t="inlineStr">
        <is>
          <t>01/05/2026 18:21:49</t>
        </is>
      </c>
    </row>
    <row r="975">
      <c r="A975" s="3" t="inlineStr">
        <is>
          <t>583800818353210565</t>
        </is>
      </c>
      <c r="B975" s="3" t="inlineStr">
        <is>
          <t>已完成</t>
        </is>
      </c>
      <c r="C975" s="3" t="inlineStr">
        <is>
          <t>C2</t>
        </is>
      </c>
      <c r="D975" s="3" t="inlineStr">
        <is>
          <t>魔芋笋2大袋</t>
        </is>
      </c>
      <c r="E9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5" s="3" t="inlineStr">
        <is>
          <t>รสเผ็ดหอม​, 20 ซอง 400g</t>
        </is>
      </c>
      <c r="G975" s="6" t="n">
        <v>1</v>
      </c>
      <c r="H975" s="6" t="n">
        <v>120</v>
      </c>
      <c r="I975" s="6" t="n">
        <v>0</v>
      </c>
      <c r="J975" s="6" t="n">
        <v>88</v>
      </c>
      <c r="K975" s="6">
        <f>H975+I975</f>
        <v/>
      </c>
      <c r="L975" s="5">
        <f>K975/4.7</f>
        <v/>
      </c>
      <c r="M975" s="6" t="n">
        <v>13.4</v>
      </c>
      <c r="N975" s="6" t="n">
        <v>1</v>
      </c>
      <c r="O975" s="6">
        <f>(K975*0.1229+1.05)/4.7</f>
        <v/>
      </c>
      <c r="P975" s="6">
        <f>K975*0.0749/4.7</f>
        <v/>
      </c>
      <c r="Q975" s="5">
        <f>M975+N975+O975+P975</f>
        <v/>
      </c>
      <c r="R975" s="5">
        <f>L975-Q975</f>
        <v/>
      </c>
      <c r="S975" s="6">
        <f>R975*4.7</f>
        <v/>
      </c>
      <c r="T975" s="7">
        <f>IF(L975&gt;0,R975/L975,0)</f>
        <v/>
      </c>
      <c r="U975" s="3" t="inlineStr">
        <is>
          <t>01/05/2026 17:17:54</t>
        </is>
      </c>
    </row>
    <row r="976">
      <c r="A976" s="3" t="inlineStr">
        <is>
          <t>583800533823096823</t>
        </is>
      </c>
      <c r="B976" s="3" t="inlineStr">
        <is>
          <t>已完成</t>
        </is>
      </c>
      <c r="C976" s="3" t="inlineStr">
        <is>
          <t>ER-A</t>
        </is>
      </c>
      <c r="D976" s="3" t="inlineStr">
        <is>
          <t>广州酒家传统鸡蛋卷454g</t>
        </is>
      </c>
      <c r="E976" s="3" t="inlineStr">
        <is>
          <t>Egg Roll 2สูตร ทองม้วนไข่กล่องเหล็กพรีเมี่ยม!! GuangZhou Restaurant 454g/480g กล่องล่ะ 24 แท่ง</t>
        </is>
      </c>
      <c r="F976" s="3" t="inlineStr">
        <is>
          <t>Traditional สูตรดั้งเดิม ไข่ล้วน</t>
        </is>
      </c>
      <c r="G976" s="6" t="n">
        <v>1</v>
      </c>
      <c r="H976" s="6" t="n">
        <v>364.5</v>
      </c>
      <c r="I976" s="6" t="n">
        <v>40.5</v>
      </c>
      <c r="J976" s="6" t="n">
        <v>35</v>
      </c>
      <c r="K976" s="6">
        <f>H976+I976</f>
        <v/>
      </c>
      <c r="L976" s="5">
        <f>K976/4.7</f>
        <v/>
      </c>
      <c r="M976" s="6" t="n">
        <v>40.25338607190941</v>
      </c>
      <c r="N976" s="6" t="n">
        <v>2</v>
      </c>
      <c r="O976" s="6">
        <f>(K976*0.1229+1.05)/4.7</f>
        <v/>
      </c>
      <c r="P976" s="6">
        <f>K976*0.0749/4.7</f>
        <v/>
      </c>
      <c r="Q976" s="5">
        <f>M976+N976+O976+P976</f>
        <v/>
      </c>
      <c r="R976" s="5">
        <f>L976-Q976</f>
        <v/>
      </c>
      <c r="S976" s="6">
        <f>R976*4.7</f>
        <v/>
      </c>
      <c r="T976" s="7">
        <f>IF(L976&gt;0,R976/L976,0)</f>
        <v/>
      </c>
      <c r="U976" s="3" t="inlineStr">
        <is>
          <t>01/05/2026 16:59:09</t>
        </is>
      </c>
    </row>
    <row r="977">
      <c r="A977" s="3" t="inlineStr">
        <is>
          <t>583800282568885447</t>
        </is>
      </c>
      <c r="B977" s="3" t="inlineStr">
        <is>
          <t>已完成</t>
        </is>
      </c>
      <c r="C977" s="3" t="inlineStr">
        <is>
          <t>C2</t>
        </is>
      </c>
      <c r="D977" s="3" t="inlineStr">
        <is>
          <t>魔芋笋2大袋</t>
        </is>
      </c>
      <c r="E9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7" s="3" t="inlineStr">
        <is>
          <t>รสเผ็ดหอม​, 20 ซอง 400g</t>
        </is>
      </c>
      <c r="G977" s="6" t="n">
        <v>1</v>
      </c>
      <c r="H977" s="6" t="n">
        <v>115</v>
      </c>
      <c r="I977" s="6" t="n">
        <v>10</v>
      </c>
      <c r="J977" s="6" t="n">
        <v>38</v>
      </c>
      <c r="K977" s="6">
        <f>H977+I977</f>
        <v/>
      </c>
      <c r="L977" s="5">
        <f>K977/4.7</f>
        <v/>
      </c>
      <c r="M977" s="6" t="n">
        <v>13.4</v>
      </c>
      <c r="N977" s="6" t="n">
        <v>1</v>
      </c>
      <c r="O977" s="6">
        <f>(K977*0.1229+1.05)/4.7</f>
        <v/>
      </c>
      <c r="P977" s="6">
        <f>K977*0.0749/4.7</f>
        <v/>
      </c>
      <c r="Q977" s="5">
        <f>M977+N977+O977+P977</f>
        <v/>
      </c>
      <c r="R977" s="5">
        <f>L977-Q977</f>
        <v/>
      </c>
      <c r="S977" s="6">
        <f>R977*4.7</f>
        <v/>
      </c>
      <c r="T977" s="7">
        <f>IF(L977&gt;0,R977/L977,0)</f>
        <v/>
      </c>
      <c r="U977" s="3" t="inlineStr">
        <is>
          <t>01/05/2026 16:38:36</t>
        </is>
      </c>
    </row>
    <row r="978">
      <c r="A978" s="3" t="inlineStr">
        <is>
          <t>583798602932324241</t>
        </is>
      </c>
      <c r="B978" s="3" t="inlineStr">
        <is>
          <t>已取消</t>
        </is>
      </c>
      <c r="C978" s="3" t="inlineStr">
        <is>
          <t>C1</t>
        </is>
      </c>
      <c r="D978" s="3" t="inlineStr">
        <is>
          <t>魔芋笋1大袋</t>
        </is>
      </c>
      <c r="E9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8" s="3" t="inlineStr">
        <is>
          <t>รสเผ็ดหอม​, 10 ซอง 200g</t>
        </is>
      </c>
      <c r="G978" s="6" t="n">
        <v>1</v>
      </c>
      <c r="H978" s="6" t="n">
        <v>64.86</v>
      </c>
      <c r="I978" s="6" t="n">
        <v>4.14</v>
      </c>
      <c r="J978" s="6" t="n">
        <v>29</v>
      </c>
      <c r="K978" s="6">
        <f>H978+I978</f>
        <v/>
      </c>
      <c r="L978" s="5">
        <f>K978/4.7</f>
        <v/>
      </c>
      <c r="M978" s="6" t="n">
        <v>6.699999999999999</v>
      </c>
      <c r="N978" s="6" t="n">
        <v>1</v>
      </c>
      <c r="O978" s="6">
        <f>(K978*0.1229+1.05)/4.7</f>
        <v/>
      </c>
      <c r="P978" s="6">
        <f>K978*0.0749/4.7</f>
        <v/>
      </c>
      <c r="Q978" s="5">
        <f>M978+N978+O978+P978</f>
        <v/>
      </c>
      <c r="R978" s="5">
        <f>L978-Q978</f>
        <v/>
      </c>
      <c r="S978" s="6">
        <f>R978*4.7</f>
        <v/>
      </c>
      <c r="T978" s="7">
        <f>IF(L978&gt;0,R978/L978,0)</f>
        <v/>
      </c>
      <c r="U978" s="3" t="inlineStr">
        <is>
          <t>01/05/2026 15:00:47</t>
        </is>
      </c>
    </row>
    <row r="979">
      <c r="A979" s="3" t="inlineStr">
        <is>
          <t>583797988320773461</t>
        </is>
      </c>
      <c r="B979" s="3" t="inlineStr">
        <is>
          <t>已完成</t>
        </is>
      </c>
      <c r="C979" s="3" t="inlineStr">
        <is>
          <t>B5s</t>
        </is>
      </c>
      <c r="D979" s="3" t="inlineStr">
        <is>
          <t>酸辣味5小袋</t>
        </is>
      </c>
      <c r="E9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9" s="3" t="inlineStr">
        <is>
          <t>รสเปรี้ยวเผ็ด​, 5 ซอง 100g</t>
        </is>
      </c>
      <c r="G979" s="6" t="n">
        <v>2</v>
      </c>
      <c r="H979" s="6" t="n">
        <v>94</v>
      </c>
      <c r="I979" s="6" t="n">
        <v>0</v>
      </c>
      <c r="J979" s="6" t="n">
        <v>35</v>
      </c>
      <c r="K979" s="6">
        <f>H979+I979</f>
        <v/>
      </c>
      <c r="L979" s="5">
        <f>K979/4.7</f>
        <v/>
      </c>
      <c r="M979" s="6" t="n">
        <v>6.699999999999999</v>
      </c>
      <c r="N979" s="6" t="n">
        <v>1</v>
      </c>
      <c r="O979" s="6">
        <f>(K979*0.1229+1.05)/4.7</f>
        <v/>
      </c>
      <c r="P979" s="6">
        <f>K979*0.0749/4.7</f>
        <v/>
      </c>
      <c r="Q979" s="5">
        <f>M979+N979+O979+P979</f>
        <v/>
      </c>
      <c r="R979" s="5">
        <f>L979-Q979</f>
        <v/>
      </c>
      <c r="S979" s="6">
        <f>R979*4.7</f>
        <v/>
      </c>
      <c r="T979" s="7">
        <f>IF(L979&gt;0,R979/L979,0)</f>
        <v/>
      </c>
      <c r="U979" s="3" t="inlineStr">
        <is>
          <t>01/05/2026 14:26:54</t>
        </is>
      </c>
    </row>
    <row r="980">
      <c r="A980" s="3" t="inlineStr">
        <is>
          <t>583797955250455629</t>
        </is>
      </c>
      <c r="B980" s="3" t="inlineStr">
        <is>
          <t>已取消</t>
        </is>
      </c>
      <c r="C980" s="3" t="inlineStr">
        <is>
          <t>CK</t>
        </is>
      </c>
      <c r="D980" s="3" t="inlineStr">
        <is>
          <t>黑松露黑麦苏打饼干</t>
        </is>
      </c>
      <c r="E98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80" s="3" t="inlineStr">
        <is>
          <t>ค่าเริ่มต้น</t>
        </is>
      </c>
      <c r="G980" s="6" t="n">
        <v>1</v>
      </c>
      <c r="H980" s="6" t="n">
        <v>125</v>
      </c>
      <c r="I980" s="6" t="n">
        <v>40</v>
      </c>
      <c r="J980" s="6" t="n">
        <v>0</v>
      </c>
      <c r="K980" s="6">
        <f>H980+I980</f>
        <v/>
      </c>
      <c r="L980" s="5">
        <f>K980/4.7</f>
        <v/>
      </c>
      <c r="M980" s="6" t="n">
        <v>10.72665050209467</v>
      </c>
      <c r="N980" s="6" t="n">
        <v>1</v>
      </c>
      <c r="O980" s="6">
        <f>(K980*0.1229+1.05)/4.7</f>
        <v/>
      </c>
      <c r="P980" s="6">
        <f>K980*0.0749/4.7</f>
        <v/>
      </c>
      <c r="Q980" s="5">
        <f>M980+N980+O980+P980</f>
        <v/>
      </c>
      <c r="R980" s="5">
        <f>L980-Q980</f>
        <v/>
      </c>
      <c r="S980" s="6">
        <f>R980*4.7</f>
        <v/>
      </c>
      <c r="T980" s="7">
        <f>IF(L980&gt;0,R980/L980,0)</f>
        <v/>
      </c>
      <c r="U980" s="3" t="inlineStr">
        <is>
          <t>01/05/2026 14:24:50</t>
        </is>
      </c>
    </row>
    <row r="981">
      <c r="A981" s="3" t="inlineStr">
        <is>
          <t>583797700026008718</t>
        </is>
      </c>
      <c r="B981" s="3" t="inlineStr">
        <is>
          <t>已完成</t>
        </is>
      </c>
      <c r="C981" s="3" t="inlineStr">
        <is>
          <t>C5s</t>
        </is>
      </c>
      <c r="D981" s="3" t="inlineStr">
        <is>
          <t>香辣味魔芋笋5小袋</t>
        </is>
      </c>
      <c r="E9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1" s="3" t="inlineStr">
        <is>
          <t>รสเผ็ดหอม​, 5 ซอง 100g</t>
        </is>
      </c>
      <c r="G981" s="6" t="n">
        <v>1</v>
      </c>
      <c r="H981" s="6" t="n">
        <v>44.18</v>
      </c>
      <c r="I981" s="6" t="n">
        <v>2.82</v>
      </c>
      <c r="J981" s="6" t="n">
        <v>38</v>
      </c>
      <c r="K981" s="6">
        <f>H981+I981</f>
        <v/>
      </c>
      <c r="L981" s="5">
        <f>K981/4.7</f>
        <v/>
      </c>
      <c r="M981" s="6" t="n">
        <v>3.35</v>
      </c>
      <c r="N981" s="6" t="n">
        <v>1</v>
      </c>
      <c r="O981" s="6">
        <f>(K981*0.1229+1.05)/4.7</f>
        <v/>
      </c>
      <c r="P981" s="6">
        <f>K981*0.0749/4.7</f>
        <v/>
      </c>
      <c r="Q981" s="5">
        <f>M981+N981+O981+P981</f>
        <v/>
      </c>
      <c r="R981" s="5">
        <f>L981-Q981</f>
        <v/>
      </c>
      <c r="S981" s="6">
        <f>R981*4.7</f>
        <v/>
      </c>
      <c r="T981" s="7">
        <f>IF(L981&gt;0,R981/L981,0)</f>
        <v/>
      </c>
      <c r="U981" s="3" t="inlineStr">
        <is>
          <t>01/05/2026 14:09:53</t>
        </is>
      </c>
    </row>
    <row r="982">
      <c r="A982" s="3" t="inlineStr">
        <is>
          <t>583797709181126243</t>
        </is>
      </c>
      <c r="B982" s="3" t="inlineStr">
        <is>
          <t>已完成</t>
        </is>
      </c>
      <c r="C982" s="3" t="inlineStr">
        <is>
          <t>C3</t>
        </is>
      </c>
      <c r="D982" s="3" t="inlineStr">
        <is>
          <t>魔芋笋3大袋</t>
        </is>
      </c>
      <c r="E9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2" s="3" t="inlineStr">
        <is>
          <t>รสเผ็ดหอม​, 30 ซอง 600g</t>
        </is>
      </c>
      <c r="G982" s="6" t="n">
        <v>1</v>
      </c>
      <c r="H982" s="6" t="n">
        <v>157.13</v>
      </c>
      <c r="I982" s="6" t="n">
        <v>10.03</v>
      </c>
      <c r="J982" s="6" t="n">
        <v>38</v>
      </c>
      <c r="K982" s="6">
        <f>H982+I982</f>
        <v/>
      </c>
      <c r="L982" s="5">
        <f>K982/4.7</f>
        <v/>
      </c>
      <c r="M982" s="6" t="n">
        <v>20.1</v>
      </c>
      <c r="N982" s="6" t="n">
        <v>1</v>
      </c>
      <c r="O982" s="6">
        <f>(K982*0.1229+1.05)/4.7</f>
        <v/>
      </c>
      <c r="P982" s="6">
        <f>K982*0.0749/4.7</f>
        <v/>
      </c>
      <c r="Q982" s="5">
        <f>M982+N982+O982+P982</f>
        <v/>
      </c>
      <c r="R982" s="5">
        <f>L982-Q982</f>
        <v/>
      </c>
      <c r="S982" s="6">
        <f>R982*4.7</f>
        <v/>
      </c>
      <c r="T982" s="7">
        <f>IF(L982&gt;0,R982/L982,0)</f>
        <v/>
      </c>
      <c r="U982" s="3" t="inlineStr">
        <is>
          <t>01/05/2026 14:08:31</t>
        </is>
      </c>
    </row>
    <row r="983">
      <c r="A983" s="3" t="inlineStr">
        <is>
          <t>583797146324993809</t>
        </is>
      </c>
      <c r="B983" s="3" t="inlineStr">
        <is>
          <t>已完成</t>
        </is>
      </c>
      <c r="C983" s="3" t="inlineStr">
        <is>
          <t>A2</t>
        </is>
      </c>
      <c r="D983" s="3" t="inlineStr">
        <is>
          <t>魔芋干2包</t>
        </is>
      </c>
      <c r="E98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983" s="3" t="inlineStr">
        <is>
          <t>20 ซอง 200g</t>
        </is>
      </c>
      <c r="G983" s="6" t="n">
        <v>1</v>
      </c>
      <c r="H983" s="6" t="n">
        <v>97</v>
      </c>
      <c r="I983" s="6" t="n">
        <v>0</v>
      </c>
      <c r="J983" s="6" t="n">
        <v>88</v>
      </c>
      <c r="K983" s="6">
        <f>H983+I983</f>
        <v/>
      </c>
      <c r="L983" s="5">
        <f>K983/4.7</f>
        <v/>
      </c>
      <c r="M983" s="6" t="n">
        <v>12.2</v>
      </c>
      <c r="N983" s="6" t="n">
        <v>0.5</v>
      </c>
      <c r="O983" s="6">
        <f>(K983*0.1229+1.05)/4.7</f>
        <v/>
      </c>
      <c r="P983" s="6">
        <f>K983*0.0749/4.7</f>
        <v/>
      </c>
      <c r="Q983" s="5">
        <f>M983+N983+O983+P983</f>
        <v/>
      </c>
      <c r="R983" s="5">
        <f>L983-Q983</f>
        <v/>
      </c>
      <c r="S983" s="6">
        <f>R983*4.7</f>
        <v/>
      </c>
      <c r="T983" s="7">
        <f>IF(L983&gt;0,R983/L983,0)</f>
        <v/>
      </c>
      <c r="U983" s="3" t="inlineStr">
        <is>
          <t>01/05/2026 13:36:58</t>
        </is>
      </c>
    </row>
    <row r="984">
      <c r="A984" s="3" t="inlineStr">
        <is>
          <t>583796362639410627</t>
        </is>
      </c>
      <c r="B984" s="3" t="inlineStr">
        <is>
          <t>已完成</t>
        </is>
      </c>
      <c r="C984" s="3" t="inlineStr">
        <is>
          <t>B1</t>
        </is>
      </c>
      <c r="D984" s="3" t="inlineStr">
        <is>
          <t>魔芋笋1大袋</t>
        </is>
      </c>
      <c r="E9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4" s="3" t="inlineStr">
        <is>
          <t>รสเปรี้ยวเผ็ด​, 10 ซอง 200g</t>
        </is>
      </c>
      <c r="G984" s="6" t="n">
        <v>1</v>
      </c>
      <c r="H984" s="6" t="n">
        <v>138</v>
      </c>
      <c r="I984" s="6" t="n">
        <v>0</v>
      </c>
      <c r="J984" s="6" t="n">
        <v>48</v>
      </c>
      <c r="K984" s="6">
        <f>H984+I984</f>
        <v/>
      </c>
      <c r="L984" s="5">
        <f>K984/4.7</f>
        <v/>
      </c>
      <c r="M984" s="6" t="n">
        <v>6.699999999999999</v>
      </c>
      <c r="N984" s="6" t="n">
        <v>1</v>
      </c>
      <c r="O984" s="6">
        <f>(K984*0.1229+1.05)/4.7</f>
        <v/>
      </c>
      <c r="P984" s="6">
        <f>K984*0.0749/4.7</f>
        <v/>
      </c>
      <c r="Q984" s="5">
        <f>M984+N984+O984+P984</f>
        <v/>
      </c>
      <c r="R984" s="5">
        <f>L984-Q984</f>
        <v/>
      </c>
      <c r="S984" s="6">
        <f>R984*4.7</f>
        <v/>
      </c>
      <c r="T984" s="7">
        <f>IF(L984&gt;0,R984/L984,0)</f>
        <v/>
      </c>
      <c r="U984" s="3" t="inlineStr">
        <is>
          <t>01/05/2026 12:53:25</t>
        </is>
      </c>
    </row>
    <row r="985">
      <c r="A985" s="3" t="inlineStr">
        <is>
          <t>583796362639410627</t>
        </is>
      </c>
      <c r="B985" s="3" t="inlineStr">
        <is>
          <t>已完成</t>
        </is>
      </c>
      <c r="C985" s="3" t="inlineStr">
        <is>
          <t>C1</t>
        </is>
      </c>
      <c r="D985" s="3" t="inlineStr">
        <is>
          <t>魔芋笋1大袋</t>
        </is>
      </c>
      <c r="E9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5" s="3" t="inlineStr">
        <is>
          <t>รสเผ็ดหอม​, 10 ซอง 200g</t>
        </is>
      </c>
      <c r="G985" s="6" t="n">
        <v>1</v>
      </c>
      <c r="H985" s="6" t="n">
        <v>138</v>
      </c>
      <c r="I985" s="6" t="n">
        <v>0</v>
      </c>
      <c r="J985" s="6" t="n">
        <v>48</v>
      </c>
      <c r="K985" s="6">
        <f>H985+I985</f>
        <v/>
      </c>
      <c r="L985" s="5">
        <f>K985/4.7</f>
        <v/>
      </c>
      <c r="M985" s="6" t="n">
        <v>6.699999999999999</v>
      </c>
      <c r="N985" s="6" t="n">
        <v>1</v>
      </c>
      <c r="O985" s="6">
        <f>(K985*0.1229+1.05)/4.7</f>
        <v/>
      </c>
      <c r="P985" s="6">
        <f>K985*0.0749/4.7</f>
        <v/>
      </c>
      <c r="Q985" s="5">
        <f>M985+N985+O985+P985</f>
        <v/>
      </c>
      <c r="R985" s="5">
        <f>L985-Q985</f>
        <v/>
      </c>
      <c r="S985" s="6">
        <f>R985*4.7</f>
        <v/>
      </c>
      <c r="T985" s="7">
        <f>IF(L985&gt;0,R985/L985,0)</f>
        <v/>
      </c>
      <c r="U985" s="3" t="inlineStr">
        <is>
          <t>01/05/2026 12:53:25</t>
        </is>
      </c>
    </row>
    <row r="986">
      <c r="A986" s="3" t="inlineStr">
        <is>
          <t>583795725662586355</t>
        </is>
      </c>
      <c r="B986" s="3" t="inlineStr">
        <is>
          <t>已完成</t>
        </is>
      </c>
      <c r="C986" s="3" t="inlineStr">
        <is>
          <t>C3</t>
        </is>
      </c>
      <c r="D986" s="3" t="inlineStr">
        <is>
          <t>魔芋笋3大袋</t>
        </is>
      </c>
      <c r="E9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6" s="3" t="inlineStr">
        <is>
          <t>รสเผ็ดหอม​, 30 ซอง 600g</t>
        </is>
      </c>
      <c r="G986" s="6" t="n">
        <v>1</v>
      </c>
      <c r="H986" s="6" t="n">
        <v>167</v>
      </c>
      <c r="I986" s="6" t="n">
        <v>0</v>
      </c>
      <c r="J986" s="6" t="n">
        <v>29</v>
      </c>
      <c r="K986" s="6">
        <f>H986+I986</f>
        <v/>
      </c>
      <c r="L986" s="5">
        <f>K986/4.7</f>
        <v/>
      </c>
      <c r="M986" s="6" t="n">
        <v>20.1</v>
      </c>
      <c r="N986" s="6" t="n">
        <v>1</v>
      </c>
      <c r="O986" s="6">
        <f>(K986*0.1229+1.05)/4.7</f>
        <v/>
      </c>
      <c r="P986" s="6">
        <f>K986*0.0749/4.7</f>
        <v/>
      </c>
      <c r="Q986" s="5">
        <f>M986+N986+O986+P986</f>
        <v/>
      </c>
      <c r="R986" s="5">
        <f>L986-Q986</f>
        <v/>
      </c>
      <c r="S986" s="6">
        <f>R986*4.7</f>
        <v/>
      </c>
      <c r="T986" s="7">
        <f>IF(L986&gt;0,R986/L986,0)</f>
        <v/>
      </c>
      <c r="U986" s="3" t="inlineStr">
        <is>
          <t>01/05/2026 12:12:22</t>
        </is>
      </c>
    </row>
    <row r="987">
      <c r="A987" s="3" t="inlineStr">
        <is>
          <t>583794970641925915</t>
        </is>
      </c>
      <c r="B987" s="3" t="inlineStr">
        <is>
          <t>已完成</t>
        </is>
      </c>
      <c r="C987" s="3" t="inlineStr">
        <is>
          <t>B1</t>
        </is>
      </c>
      <c r="D987" s="3" t="inlineStr">
        <is>
          <t>魔芋笋1大袋</t>
        </is>
      </c>
      <c r="E9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7" s="3" t="inlineStr">
        <is>
          <t>รสเปรี้ยวเผ็ด​, 10 ซอง 200g</t>
        </is>
      </c>
      <c r="G987" s="6" t="n">
        <v>1</v>
      </c>
      <c r="H987" s="6" t="n">
        <v>68</v>
      </c>
      <c r="I987" s="6" t="n">
        <v>1</v>
      </c>
      <c r="J987" s="6" t="n">
        <v>35</v>
      </c>
      <c r="K987" s="6">
        <f>H987+I987</f>
        <v/>
      </c>
      <c r="L987" s="5">
        <f>K987/4.7</f>
        <v/>
      </c>
      <c r="M987" s="6" t="n">
        <v>6.699999999999999</v>
      </c>
      <c r="N987" s="6" t="n">
        <v>1</v>
      </c>
      <c r="O987" s="6">
        <f>(K987*0.1229+1.05)/4.7</f>
        <v/>
      </c>
      <c r="P987" s="6">
        <f>K987*0.0749/4.7</f>
        <v/>
      </c>
      <c r="Q987" s="5">
        <f>M987+N987+O987+P987</f>
        <v/>
      </c>
      <c r="R987" s="5">
        <f>L987-Q987</f>
        <v/>
      </c>
      <c r="S987" s="6">
        <f>R987*4.7</f>
        <v/>
      </c>
      <c r="T987" s="7">
        <f>IF(L987&gt;0,R987/L987,0)</f>
        <v/>
      </c>
      <c r="U987" s="3" t="inlineStr">
        <is>
          <t>01/05/2026 11:33:05</t>
        </is>
      </c>
    </row>
    <row r="988">
      <c r="A988" s="3" t="inlineStr">
        <is>
          <t>583794201007326528</t>
        </is>
      </c>
      <c r="B988" s="3" t="inlineStr">
        <is>
          <t>已完成</t>
        </is>
      </c>
      <c r="C988" s="3" t="inlineStr">
        <is>
          <t>C2</t>
        </is>
      </c>
      <c r="D988" s="3" t="inlineStr">
        <is>
          <t>魔芋笋2大袋</t>
        </is>
      </c>
      <c r="E9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8" s="3" t="inlineStr">
        <is>
          <t>รสเผ็ดหอม​, 20 ซอง 400g</t>
        </is>
      </c>
      <c r="G988" s="6" t="n">
        <v>1</v>
      </c>
      <c r="H988" s="6" t="n">
        <v>60</v>
      </c>
      <c r="I988" s="6" t="n">
        <v>60</v>
      </c>
      <c r="J988" s="6" t="n">
        <v>38</v>
      </c>
      <c r="K988" s="6">
        <f>H988+I988</f>
        <v/>
      </c>
      <c r="L988" s="5">
        <f>K988/4.7</f>
        <v/>
      </c>
      <c r="M988" s="6" t="n">
        <v>13.4</v>
      </c>
      <c r="N988" s="6" t="n">
        <v>1</v>
      </c>
      <c r="O988" s="6">
        <f>(K988*0.1229+1.05)/4.7</f>
        <v/>
      </c>
      <c r="P988" s="6">
        <f>K988*0.0749/4.7</f>
        <v/>
      </c>
      <c r="Q988" s="5">
        <f>M988+N988+O988+P988</f>
        <v/>
      </c>
      <c r="R988" s="5">
        <f>L988-Q988</f>
        <v/>
      </c>
      <c r="S988" s="6">
        <f>R988*4.7</f>
        <v/>
      </c>
      <c r="T988" s="7">
        <f>IF(L988&gt;0,R988/L988,0)</f>
        <v/>
      </c>
      <c r="U988" s="3" t="inlineStr">
        <is>
          <t>01/05/2026 10:49:19</t>
        </is>
      </c>
    </row>
    <row r="989">
      <c r="A989" s="3" t="inlineStr">
        <is>
          <t>583793774953465708</t>
        </is>
      </c>
      <c r="B989" s="3" t="inlineStr">
        <is>
          <t>已完成</t>
        </is>
      </c>
      <c r="C989" s="3" t="inlineStr">
        <is>
          <t>CK</t>
        </is>
      </c>
      <c r="D989" s="3" t="inlineStr">
        <is>
          <t>黑松露黑麦苏打饼干</t>
        </is>
      </c>
      <c r="E98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89" s="3" t="inlineStr">
        <is>
          <t>ค่าเริ่มต้น</t>
        </is>
      </c>
      <c r="G989" s="6" t="n">
        <v>1</v>
      </c>
      <c r="H989" s="6" t="n">
        <v>106.25</v>
      </c>
      <c r="I989" s="6" t="n">
        <v>18.75</v>
      </c>
      <c r="J989" s="6" t="n">
        <v>35</v>
      </c>
      <c r="K989" s="6">
        <f>H989+I989</f>
        <v/>
      </c>
      <c r="L989" s="5">
        <f>K989/4.7</f>
        <v/>
      </c>
      <c r="M989" s="6" t="n">
        <v>10.72665050209467</v>
      </c>
      <c r="N989" s="6" t="n">
        <v>1</v>
      </c>
      <c r="O989" s="6">
        <f>(K989*0.1229+1.05)/4.7</f>
        <v/>
      </c>
      <c r="P989" s="6">
        <f>K989*0.0749/4.7</f>
        <v/>
      </c>
      <c r="Q989" s="5">
        <f>M989+N989+O989+P989</f>
        <v/>
      </c>
      <c r="R989" s="5">
        <f>L989-Q989</f>
        <v/>
      </c>
      <c r="S989" s="6">
        <f>R989*4.7</f>
        <v/>
      </c>
      <c r="T989" s="7">
        <f>IF(L989&gt;0,R989/L989,0)</f>
        <v/>
      </c>
      <c r="U989" s="3" t="inlineStr">
        <is>
          <t>01/05/2026 10:28:48</t>
        </is>
      </c>
    </row>
    <row r="990">
      <c r="A990" s="3" t="inlineStr">
        <is>
          <t>583788894628972390</t>
        </is>
      </c>
      <c r="B990" s="3" t="inlineStr">
        <is>
          <t>已完成</t>
        </is>
      </c>
      <c r="C990" s="3" t="inlineStr">
        <is>
          <t>B5s</t>
        </is>
      </c>
      <c r="D990" s="3" t="inlineStr">
        <is>
          <t>酸辣味5小袋</t>
        </is>
      </c>
      <c r="E9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0" s="3" t="inlineStr">
        <is>
          <t>รสเปรี้ยวเผ็ด​, 5 ซอง 100g</t>
        </is>
      </c>
      <c r="G990" s="6" t="n">
        <v>1</v>
      </c>
      <c r="H990" s="6" t="n">
        <v>166.98</v>
      </c>
      <c r="I990" s="6" t="n">
        <v>2.74</v>
      </c>
      <c r="J990" s="6" t="n">
        <v>38</v>
      </c>
      <c r="K990" s="6">
        <f>H990+I990</f>
        <v/>
      </c>
      <c r="L990" s="5">
        <f>K990/4.7</f>
        <v/>
      </c>
      <c r="M990" s="6" t="n">
        <v>3.35</v>
      </c>
      <c r="N990" s="6" t="n">
        <v>1</v>
      </c>
      <c r="O990" s="6">
        <f>(K990*0.1229+1.05)/4.7</f>
        <v/>
      </c>
      <c r="P990" s="6">
        <f>K990*0.0749/4.7</f>
        <v/>
      </c>
      <c r="Q990" s="5">
        <f>M990+N990+O990+P990</f>
        <v/>
      </c>
      <c r="R990" s="5">
        <f>L990-Q990</f>
        <v/>
      </c>
      <c r="S990" s="6">
        <f>R990*4.7</f>
        <v/>
      </c>
      <c r="T990" s="7">
        <f>IF(L990&gt;0,R990/L990,0)</f>
        <v/>
      </c>
      <c r="U990" s="3" t="inlineStr">
        <is>
          <t>01/05/2026 03:59:32</t>
        </is>
      </c>
    </row>
    <row r="991">
      <c r="A991" s="3" t="inlineStr">
        <is>
          <t>583788894628972390</t>
        </is>
      </c>
      <c r="B991" s="3" t="inlineStr">
        <is>
          <t>已完成</t>
        </is>
      </c>
      <c r="C991" s="3" t="inlineStr">
        <is>
          <t>C2</t>
        </is>
      </c>
      <c r="D991" s="3" t="inlineStr">
        <is>
          <t>魔芋笋2大袋</t>
        </is>
      </c>
      <c r="E9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1" s="3" t="inlineStr">
        <is>
          <t>รสเผ็ดหอม​, 20 ซอง 400g</t>
        </is>
      </c>
      <c r="G991" s="6" t="n">
        <v>1</v>
      </c>
      <c r="H991" s="6" t="n">
        <v>166.98</v>
      </c>
      <c r="I991" s="6" t="n">
        <v>7.28</v>
      </c>
      <c r="J991" s="6" t="n">
        <v>38</v>
      </c>
      <c r="K991" s="6">
        <f>H991+I991</f>
        <v/>
      </c>
      <c r="L991" s="5">
        <f>K991/4.7</f>
        <v/>
      </c>
      <c r="M991" s="6" t="n">
        <v>13.4</v>
      </c>
      <c r="N991" s="6" t="n">
        <v>1</v>
      </c>
      <c r="O991" s="6">
        <f>(K991*0.1229+1.05)/4.7</f>
        <v/>
      </c>
      <c r="P991" s="6">
        <f>K991*0.0749/4.7</f>
        <v/>
      </c>
      <c r="Q991" s="5">
        <f>M991+N991+O991+P991</f>
        <v/>
      </c>
      <c r="R991" s="5">
        <f>L991-Q991</f>
        <v/>
      </c>
      <c r="S991" s="6">
        <f>R991*4.7</f>
        <v/>
      </c>
      <c r="T991" s="7">
        <f>IF(L991&gt;0,R991/L991,0)</f>
        <v/>
      </c>
      <c r="U991" s="3" t="inlineStr">
        <is>
          <t>01/05/2026 03:59:32</t>
        </is>
      </c>
    </row>
    <row r="992">
      <c r="A992" s="3" t="inlineStr">
        <is>
          <t>583788714047080044</t>
        </is>
      </c>
      <c r="B992" s="3" t="inlineStr">
        <is>
          <t>已取消</t>
        </is>
      </c>
      <c r="C992" s="3" t="inlineStr">
        <is>
          <t>C2</t>
        </is>
      </c>
      <c r="D992" s="3" t="inlineStr">
        <is>
          <t>魔芋笋2大袋</t>
        </is>
      </c>
      <c r="E9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2" s="3" t="inlineStr">
        <is>
          <t>รสเผ็ดหอม​, 20 ซอง 400g</t>
        </is>
      </c>
      <c r="G992" s="6" t="n">
        <v>1</v>
      </c>
      <c r="H992" s="6" t="n">
        <v>120</v>
      </c>
      <c r="I992" s="6" t="n">
        <v>0</v>
      </c>
      <c r="J992" s="6" t="n">
        <v>35</v>
      </c>
      <c r="K992" s="6">
        <f>H992+I992</f>
        <v/>
      </c>
      <c r="L992" s="5">
        <f>K992/4.7</f>
        <v/>
      </c>
      <c r="M992" s="6" t="n">
        <v>13.4</v>
      </c>
      <c r="N992" s="6" t="n">
        <v>1</v>
      </c>
      <c r="O992" s="6">
        <f>(K992*0.1229+1.05)/4.7</f>
        <v/>
      </c>
      <c r="P992" s="6">
        <f>K992*0.0749/4.7</f>
        <v/>
      </c>
      <c r="Q992" s="5">
        <f>M992+N992+O992+P992</f>
        <v/>
      </c>
      <c r="R992" s="5">
        <f>L992-Q992</f>
        <v/>
      </c>
      <c r="S992" s="6">
        <f>R992*4.7</f>
        <v/>
      </c>
      <c r="T992" s="7">
        <f>IF(L992&gt;0,R992/L992,0)</f>
        <v/>
      </c>
      <c r="U992" s="3" t="inlineStr">
        <is>
          <t>01/05/2026 03:44:29</t>
        </is>
      </c>
    </row>
    <row r="993">
      <c r="A993" s="3" t="inlineStr">
        <is>
          <t>583788162345043301</t>
        </is>
      </c>
      <c r="B993" s="3" t="inlineStr">
        <is>
          <t>已完成</t>
        </is>
      </c>
      <c r="C993" s="3" t="inlineStr">
        <is>
          <t>C1</t>
        </is>
      </c>
      <c r="D993" s="3" t="inlineStr">
        <is>
          <t>魔芋笋1大袋</t>
        </is>
      </c>
      <c r="E9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3" s="3" t="inlineStr">
        <is>
          <t>รสเผ็ดหอม​, 10 ซอง 200g</t>
        </is>
      </c>
      <c r="G993" s="6" t="n">
        <v>1</v>
      </c>
      <c r="H993" s="6" t="n">
        <v>189</v>
      </c>
      <c r="I993" s="6" t="n">
        <v>0</v>
      </c>
      <c r="J993" s="6" t="n">
        <v>48</v>
      </c>
      <c r="K993" s="6">
        <f>H993+I993</f>
        <v/>
      </c>
      <c r="L993" s="5">
        <f>K993/4.7</f>
        <v/>
      </c>
      <c r="M993" s="6" t="n">
        <v>6.699999999999999</v>
      </c>
      <c r="N993" s="6" t="n">
        <v>1</v>
      </c>
      <c r="O993" s="6">
        <f>(K993*0.1229+1.05)/4.7</f>
        <v/>
      </c>
      <c r="P993" s="6">
        <f>K993*0.0749/4.7</f>
        <v/>
      </c>
      <c r="Q993" s="5">
        <f>M993+N993+O993+P993</f>
        <v/>
      </c>
      <c r="R993" s="5">
        <f>L993-Q993</f>
        <v/>
      </c>
      <c r="S993" s="6">
        <f>R993*4.7</f>
        <v/>
      </c>
      <c r="T993" s="7">
        <f>IF(L993&gt;0,R993/L993,0)</f>
        <v/>
      </c>
      <c r="U993" s="3" t="inlineStr">
        <is>
          <t>01/05/2026 02:35:35</t>
        </is>
      </c>
    </row>
    <row r="994">
      <c r="A994" s="3" t="inlineStr">
        <is>
          <t>583788162345043301</t>
        </is>
      </c>
      <c r="B994" s="3" t="inlineStr">
        <is>
          <t>已完成</t>
        </is>
      </c>
      <c r="C994" s="3" t="inlineStr">
        <is>
          <t>B2</t>
        </is>
      </c>
      <c r="D994" s="3" t="inlineStr">
        <is>
          <t>魔芋笋2大袋</t>
        </is>
      </c>
      <c r="E9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4" s="3" t="inlineStr">
        <is>
          <t>รสเปรี้ยวเผ็ด​, 20 ซอง 400g</t>
        </is>
      </c>
      <c r="G994" s="6" t="n">
        <v>1</v>
      </c>
      <c r="H994" s="6" t="n">
        <v>189</v>
      </c>
      <c r="I994" s="6" t="n">
        <v>0</v>
      </c>
      <c r="J994" s="6" t="n">
        <v>48</v>
      </c>
      <c r="K994" s="6">
        <f>H994+I994</f>
        <v/>
      </c>
      <c r="L994" s="5">
        <f>K994/4.7</f>
        <v/>
      </c>
      <c r="M994" s="6" t="n">
        <v>13.4</v>
      </c>
      <c r="N994" s="6" t="n">
        <v>1</v>
      </c>
      <c r="O994" s="6">
        <f>(K994*0.1229+1.05)/4.7</f>
        <v/>
      </c>
      <c r="P994" s="6">
        <f>K994*0.0749/4.7</f>
        <v/>
      </c>
      <c r="Q994" s="5">
        <f>M994+N994+O994+P994</f>
        <v/>
      </c>
      <c r="R994" s="5">
        <f>L994-Q994</f>
        <v/>
      </c>
      <c r="S994" s="6">
        <f>R994*4.7</f>
        <v/>
      </c>
      <c r="T994" s="7">
        <f>IF(L994&gt;0,R994/L994,0)</f>
        <v/>
      </c>
      <c r="U994" s="3" t="inlineStr">
        <is>
          <t>01/05/2026 02:35:35</t>
        </is>
      </c>
    </row>
    <row r="995">
      <c r="A995" s="3" t="inlineStr">
        <is>
          <t>583787250459444987</t>
        </is>
      </c>
      <c r="B995" s="3" t="inlineStr">
        <is>
          <t>已完成</t>
        </is>
      </c>
      <c r="C995" s="3" t="inlineStr">
        <is>
          <t>C1</t>
        </is>
      </c>
      <c r="D995" s="3" t="inlineStr">
        <is>
          <t>魔芋笋1大袋</t>
        </is>
      </c>
      <c r="E9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5" s="3" t="inlineStr">
        <is>
          <t>รสเผ็ดหอม​, 10 ซอง 200g</t>
        </is>
      </c>
      <c r="G995" s="6" t="n">
        <v>1</v>
      </c>
      <c r="H995" s="6" t="n">
        <v>148</v>
      </c>
      <c r="I995" s="6" t="n">
        <v>0</v>
      </c>
      <c r="J995" s="6" t="n">
        <v>38</v>
      </c>
      <c r="K995" s="6">
        <f>H995+I995</f>
        <v/>
      </c>
      <c r="L995" s="5">
        <f>K995/4.7</f>
        <v/>
      </c>
      <c r="M995" s="6" t="n">
        <v>6.699999999999999</v>
      </c>
      <c r="N995" s="6" t="n">
        <v>1</v>
      </c>
      <c r="O995" s="6">
        <f>(K995*0.1229+1.05)/4.7</f>
        <v/>
      </c>
      <c r="P995" s="6">
        <f>K995*0.0749/4.7</f>
        <v/>
      </c>
      <c r="Q995" s="5">
        <f>M995+N995+O995+P995</f>
        <v/>
      </c>
      <c r="R995" s="5">
        <f>L995-Q995</f>
        <v/>
      </c>
      <c r="S995" s="6">
        <f>R995*4.7</f>
        <v/>
      </c>
      <c r="T995" s="7">
        <f>IF(L995&gt;0,R995/L995,0)</f>
        <v/>
      </c>
      <c r="U995" s="3" t="inlineStr">
        <is>
          <t>01/05/2026 00:56:19</t>
        </is>
      </c>
    </row>
    <row r="996">
      <c r="A996" s="3" t="inlineStr">
        <is>
          <t>583787250459444987</t>
        </is>
      </c>
      <c r="B996" s="3" t="inlineStr">
        <is>
          <t>已完成</t>
        </is>
      </c>
      <c r="C996" s="3" t="inlineStr">
        <is>
          <t>B1</t>
        </is>
      </c>
      <c r="D996" s="3" t="inlineStr">
        <is>
          <t>魔芋笋1大袋</t>
        </is>
      </c>
      <c r="E9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6" s="3" t="inlineStr">
        <is>
          <t>รสเปรี้ยวเผ็ด​, 10 ซอง 200g</t>
        </is>
      </c>
      <c r="G996" s="6" t="n">
        <v>1</v>
      </c>
      <c r="H996" s="6" t="n">
        <v>148</v>
      </c>
      <c r="I996" s="6" t="n">
        <v>0</v>
      </c>
      <c r="J996" s="6" t="n">
        <v>38</v>
      </c>
      <c r="K996" s="6">
        <f>H996+I996</f>
        <v/>
      </c>
      <c r="L996" s="5">
        <f>K996/4.7</f>
        <v/>
      </c>
      <c r="M996" s="6" t="n">
        <v>6.699999999999999</v>
      </c>
      <c r="N996" s="6" t="n">
        <v>1</v>
      </c>
      <c r="O996" s="6">
        <f>(K996*0.1229+1.05)/4.7</f>
        <v/>
      </c>
      <c r="P996" s="6">
        <f>K996*0.0749/4.7</f>
        <v/>
      </c>
      <c r="Q996" s="5">
        <f>M996+N996+O996+P996</f>
        <v/>
      </c>
      <c r="R996" s="5">
        <f>L996-Q996</f>
        <v/>
      </c>
      <c r="S996" s="6">
        <f>R996*4.7</f>
        <v/>
      </c>
      <c r="T996" s="7">
        <f>IF(L996&gt;0,R996/L996,0)</f>
        <v/>
      </c>
      <c r="U996" s="3" t="inlineStr">
        <is>
          <t>01/05/2026 00:56:19</t>
        </is>
      </c>
    </row>
    <row r="997">
      <c r="A997" s="3" t="inlineStr">
        <is>
          <t>583787101547889740</t>
        </is>
      </c>
      <c r="B997" s="3" t="inlineStr">
        <is>
          <t>已完成</t>
        </is>
      </c>
      <c r="C997" s="3" t="inlineStr">
        <is>
          <t>C3</t>
        </is>
      </c>
      <c r="D997" s="3" t="inlineStr">
        <is>
          <t>魔芋笋3大袋</t>
        </is>
      </c>
      <c r="E997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997" s="3" t="inlineStr">
        <is>
          <t>รสเผ็ดหอม​, 3pcs</t>
        </is>
      </c>
      <c r="G997" s="6" t="n">
        <v>2</v>
      </c>
      <c r="H997" s="6" t="n">
        <v>295.31</v>
      </c>
      <c r="I997" s="6" t="n">
        <v>74.29000000000001</v>
      </c>
      <c r="J997" s="6" t="n">
        <v>48</v>
      </c>
      <c r="K997" s="6">
        <f>H997+I997</f>
        <v/>
      </c>
      <c r="L997" s="5">
        <f>K997/4.7</f>
        <v/>
      </c>
      <c r="M997" s="6" t="n">
        <v>40.2</v>
      </c>
      <c r="N997" s="6" t="n">
        <v>1</v>
      </c>
      <c r="O997" s="6">
        <f>(K997*0.1229+1.05)/4.7</f>
        <v/>
      </c>
      <c r="P997" s="6">
        <f>K997*0.0749/4.7</f>
        <v/>
      </c>
      <c r="Q997" s="5">
        <f>M997+N997+O997+P997</f>
        <v/>
      </c>
      <c r="R997" s="5">
        <f>L997-Q997</f>
        <v/>
      </c>
      <c r="S997" s="6">
        <f>R997*4.7</f>
        <v/>
      </c>
      <c r="T997" s="7">
        <f>IF(L997&gt;0,R997/L997,0)</f>
        <v/>
      </c>
      <c r="U997" s="3" t="inlineStr">
        <is>
          <t>01/05/2026 00:35:33</t>
        </is>
      </c>
    </row>
    <row r="998">
      <c r="A998" s="9" t="inlineStr">
        <is>
          <t>汇总</t>
        </is>
      </c>
      <c r="B998" s="9" t="inlineStr"/>
      <c r="C998" s="9">
        <f>SUM(G2:G997)</f>
        <v/>
      </c>
      <c r="D998" s="9" t="inlineStr"/>
      <c r="E998" s="9" t="inlineStr"/>
      <c r="F998" s="9" t="inlineStr"/>
      <c r="G998" s="5">
        <f>SUM(G2:G997)</f>
        <v/>
      </c>
      <c r="H998" s="5">
        <f>SUM(H2:H997)</f>
        <v/>
      </c>
      <c r="I998" s="5">
        <f>SUM(I2:I997)</f>
        <v/>
      </c>
      <c r="J998" s="5">
        <f>SUM(J2:J997)</f>
        <v/>
      </c>
      <c r="K998" s="5">
        <f>SUM(K2:K997)</f>
        <v/>
      </c>
      <c r="L998" s="5">
        <f>SUM(L2:L997)</f>
        <v/>
      </c>
      <c r="M998" s="5">
        <f>SUM(M2:M997)</f>
        <v/>
      </c>
      <c r="N998" s="5">
        <f>SUM(N2:N997)</f>
        <v/>
      </c>
      <c r="O998" s="5">
        <f>SUM(O2:O997)</f>
        <v/>
      </c>
      <c r="P998" s="5">
        <f>SUM(P2:P997)</f>
        <v/>
      </c>
      <c r="Q998" s="5">
        <f>SUM(Q2:Q997)</f>
        <v/>
      </c>
      <c r="R998" s="5">
        <f>SUM(R2:R997)</f>
        <v/>
      </c>
      <c r="S998" s="5">
        <f>SUM(S2:S997)</f>
        <v/>
      </c>
      <c r="T998" s="7">
        <f>IF(L998&gt;0,R998/L998,0)</f>
        <v/>
      </c>
      <c r="U998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6" customHeight="1">
      <c r="A1" s="2" t="inlineStr">
        <is>
          <t>订单ID</t>
        </is>
      </c>
      <c r="B1" s="2" t="inlineStr">
        <is>
          <t>订单状态</t>
        </is>
      </c>
      <c r="C1" s="2" t="inlineStr">
        <is>
          <t>商家SKU</t>
        </is>
      </c>
      <c r="D1" s="2" t="inlineStr">
        <is>
          <t>产品名称
(中文)</t>
        </is>
      </c>
      <c r="E1" s="2" t="inlineStr">
        <is>
          <t>产品名称
(泰语)</t>
        </is>
      </c>
      <c r="F1" s="2" t="inlineStr">
        <is>
          <t>规格变体</t>
        </is>
      </c>
      <c r="G1" s="2" t="inlineStr">
        <is>
          <t>数量
(件)</t>
        </is>
      </c>
      <c r="H1" s="2" t="inlineStr">
        <is>
          <t>产品成本
(CNY)</t>
        </is>
      </c>
      <c r="I1" s="2" t="inlineStr">
        <is>
          <t>包装成本
(CNY)</t>
        </is>
      </c>
      <c r="J1" s="2" t="inlineStr">
        <is>
          <t>订单总成本
(CNY)</t>
        </is>
      </c>
      <c r="K1" s="2" t="inlineStr">
        <is>
          <t>利润
(CNY)</t>
        </is>
      </c>
      <c r="L1" s="2" t="inlineStr">
        <is>
          <t>利润
(泰铢)</t>
        </is>
      </c>
      <c r="M1" s="2" t="inlineStr">
        <is>
          <t>下单时间</t>
        </is>
      </c>
    </row>
    <row r="2">
      <c r="A2" s="3" t="inlineStr">
        <is>
          <t>584267195646182881</t>
        </is>
      </c>
      <c r="B2" s="3" t="inlineStr">
        <is>
          <t>已发货</t>
        </is>
      </c>
      <c r="C2" s="3" t="inlineStr">
        <is>
          <t>C1</t>
        </is>
      </c>
      <c r="D2" s="3" t="inlineStr">
        <is>
          <t>魔芋笋1大袋</t>
        </is>
      </c>
      <c r="E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" s="3" t="inlineStr">
        <is>
          <t>รสเผ็ดหอม​, 10 ซอง 200g</t>
        </is>
      </c>
      <c r="G2" s="6" t="n">
        <v>1</v>
      </c>
      <c r="H2" s="6" t="n">
        <v>6.699999999999999</v>
      </c>
      <c r="I2" s="6" t="n">
        <v>1</v>
      </c>
      <c r="J2" s="5" t="n">
        <v>14.7</v>
      </c>
      <c r="K2" s="5" t="n">
        <v>-14.7</v>
      </c>
      <c r="L2" s="5" t="n">
        <v>-69.09</v>
      </c>
      <c r="M2" s="3" t="inlineStr">
        <is>
          <t>30/05/2026 10:37:13</t>
        </is>
      </c>
    </row>
    <row r="3">
      <c r="A3" s="3" t="inlineStr">
        <is>
          <t>584266986795140935</t>
        </is>
      </c>
      <c r="B3" s="3" t="inlineStr">
        <is>
          <t>已发货</t>
        </is>
      </c>
      <c r="C3" s="3" t="inlineStr">
        <is>
          <t>C1</t>
        </is>
      </c>
      <c r="D3" s="3" t="inlineStr">
        <is>
          <t>魔芋笋1大袋</t>
        </is>
      </c>
      <c r="E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" s="3" t="inlineStr">
        <is>
          <t>รสเผ็ดหอม​, 10 ซอง 200g</t>
        </is>
      </c>
      <c r="G3" s="6" t="n">
        <v>1</v>
      </c>
      <c r="H3" s="6" t="n">
        <v>6.699999999999999</v>
      </c>
      <c r="I3" s="6" t="n">
        <v>1</v>
      </c>
      <c r="J3" s="5" t="n">
        <v>14.7</v>
      </c>
      <c r="K3" s="5" t="n">
        <v>-14.7</v>
      </c>
      <c r="L3" s="5" t="n">
        <v>-69.09</v>
      </c>
      <c r="M3" s="3" t="inlineStr">
        <is>
          <t>30/05/2026 10:34:13</t>
        </is>
      </c>
    </row>
    <row r="4">
      <c r="A4" s="3" t="inlineStr">
        <is>
          <t>584266987750917395</t>
        </is>
      </c>
      <c r="B4" s="3" t="inlineStr">
        <is>
          <t>已发货</t>
        </is>
      </c>
      <c r="C4" s="3" t="inlineStr">
        <is>
          <t>C1</t>
        </is>
      </c>
      <c r="D4" s="3" t="inlineStr">
        <is>
          <t>魔芋笋1大袋</t>
        </is>
      </c>
      <c r="E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" s="3" t="inlineStr">
        <is>
          <t>รสเผ็ดหอม​, 10 ซอง 200g</t>
        </is>
      </c>
      <c r="G4" s="6" t="n">
        <v>1</v>
      </c>
      <c r="H4" s="6" t="n">
        <v>6.699999999999999</v>
      </c>
      <c r="I4" s="6" t="n">
        <v>1</v>
      </c>
      <c r="J4" s="5" t="n">
        <v>14.7</v>
      </c>
      <c r="K4" s="5" t="n">
        <v>-14.7</v>
      </c>
      <c r="L4" s="5" t="n">
        <v>-69.09</v>
      </c>
      <c r="M4" s="3" t="inlineStr">
        <is>
          <t>30/05/2026 10:33:14</t>
        </is>
      </c>
    </row>
    <row r="5">
      <c r="A5" s="3" t="inlineStr">
        <is>
          <t>584266987660150080</t>
        </is>
      </c>
      <c r="B5" s="3" t="inlineStr">
        <is>
          <t>已发货</t>
        </is>
      </c>
      <c r="C5" s="3" t="inlineStr">
        <is>
          <t>C1</t>
        </is>
      </c>
      <c r="D5" s="3" t="inlineStr">
        <is>
          <t>魔芋笋1大袋</t>
        </is>
      </c>
      <c r="E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" s="3" t="inlineStr">
        <is>
          <t>รสเผ็ดหอม​, 10 ซอง 200g</t>
        </is>
      </c>
      <c r="G5" s="6" t="n">
        <v>1</v>
      </c>
      <c r="H5" s="6" t="n">
        <v>6.699999999999999</v>
      </c>
      <c r="I5" s="6" t="n">
        <v>1</v>
      </c>
      <c r="J5" s="5" t="n">
        <v>14.7</v>
      </c>
      <c r="K5" s="5" t="n">
        <v>-14.7</v>
      </c>
      <c r="L5" s="5" t="n">
        <v>-69.09</v>
      </c>
      <c r="M5" s="3" t="inlineStr">
        <is>
          <t>30/05/2026 10:30:16</t>
        </is>
      </c>
    </row>
    <row r="6">
      <c r="A6" s="3" t="inlineStr">
        <is>
          <t>584266986665248682</t>
        </is>
      </c>
      <c r="B6" s="3" t="inlineStr">
        <is>
          <t>已发货</t>
        </is>
      </c>
      <c r="C6" s="3" t="inlineStr">
        <is>
          <t>C1</t>
        </is>
      </c>
      <c r="D6" s="3" t="inlineStr">
        <is>
          <t>魔芋笋1大袋</t>
        </is>
      </c>
      <c r="E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" s="3" t="inlineStr">
        <is>
          <t>รสเผ็ดหอม​, 10 ซอง 200g</t>
        </is>
      </c>
      <c r="G6" s="6" t="n">
        <v>1</v>
      </c>
      <c r="H6" s="6" t="n">
        <v>6.699999999999999</v>
      </c>
      <c r="I6" s="6" t="n">
        <v>1</v>
      </c>
      <c r="J6" s="5" t="n">
        <v>14.7</v>
      </c>
      <c r="K6" s="5" t="n">
        <v>-14.7</v>
      </c>
      <c r="L6" s="5" t="n">
        <v>-69.09</v>
      </c>
      <c r="M6" s="3" t="inlineStr">
        <is>
          <t>30/05/2026 10:28:18</t>
        </is>
      </c>
    </row>
    <row r="7">
      <c r="A7" s="3" t="inlineStr">
        <is>
          <t>584266987440801014</t>
        </is>
      </c>
      <c r="B7" s="3" t="inlineStr">
        <is>
          <t>已发货</t>
        </is>
      </c>
      <c r="C7" s="3" t="inlineStr">
        <is>
          <t>CK</t>
        </is>
      </c>
      <c r="D7" s="3" t="inlineStr">
        <is>
          <t>黑松露黑麦苏打饼干</t>
        </is>
      </c>
      <c r="E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" s="3" t="inlineStr">
        <is>
          <t>ค่าเริ่มต้น</t>
        </is>
      </c>
      <c r="G7" s="6" t="n">
        <v>1</v>
      </c>
      <c r="H7" s="6" t="n">
        <v>10.72665050209467</v>
      </c>
      <c r="I7" s="6" t="n">
        <v>1</v>
      </c>
      <c r="J7" s="5" t="n">
        <v>18.72665050209466</v>
      </c>
      <c r="K7" s="5" t="n">
        <v>-18.72665050209466</v>
      </c>
      <c r="L7" s="5" t="n">
        <v>-88.01525735984492</v>
      </c>
      <c r="M7" s="3" t="inlineStr">
        <is>
          <t>30/05/2026 10:25:13</t>
        </is>
      </c>
    </row>
    <row r="8">
      <c r="A8" s="3" t="inlineStr">
        <is>
          <t>584266711927261175</t>
        </is>
      </c>
      <c r="B8" s="3" t="inlineStr">
        <is>
          <t>已发货</t>
        </is>
      </c>
      <c r="C8" s="3" t="inlineStr">
        <is>
          <t>C1</t>
        </is>
      </c>
      <c r="D8" s="3" t="inlineStr">
        <is>
          <t>魔芋笋1大袋</t>
        </is>
      </c>
      <c r="E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" s="3" t="inlineStr">
        <is>
          <t>รสเผ็ดหอม​, 10 ซอง 200g</t>
        </is>
      </c>
      <c r="G8" s="6" t="n">
        <v>1</v>
      </c>
      <c r="H8" s="6" t="n">
        <v>6.699999999999999</v>
      </c>
      <c r="I8" s="6" t="n">
        <v>1</v>
      </c>
      <c r="J8" s="5" t="n">
        <v>14.7</v>
      </c>
      <c r="K8" s="5" t="n">
        <v>-14.7</v>
      </c>
      <c r="L8" s="5" t="n">
        <v>-69.09</v>
      </c>
      <c r="M8" s="3" t="inlineStr">
        <is>
          <t>30/05/2026 10:18:13</t>
        </is>
      </c>
    </row>
    <row r="9">
      <c r="A9" s="3" t="inlineStr">
        <is>
          <t>584266592210225108</t>
        </is>
      </c>
      <c r="B9" s="3" t="inlineStr">
        <is>
          <t>已发货</t>
        </is>
      </c>
      <c r="C9" s="3" t="inlineStr">
        <is>
          <t>C1</t>
        </is>
      </c>
      <c r="D9" s="3" t="inlineStr">
        <is>
          <t>魔芋笋1大袋</t>
        </is>
      </c>
      <c r="E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" s="3" t="inlineStr">
        <is>
          <t>รสเผ็ดหอม​, 10 ซอง 200g</t>
        </is>
      </c>
      <c r="G9" s="6" t="n">
        <v>1</v>
      </c>
      <c r="H9" s="6" t="n">
        <v>6.699999999999999</v>
      </c>
      <c r="I9" s="6" t="n">
        <v>1</v>
      </c>
      <c r="J9" s="5" t="n">
        <v>14.7</v>
      </c>
      <c r="K9" s="5" t="n">
        <v>-14.7</v>
      </c>
      <c r="L9" s="5" t="n">
        <v>-69.09</v>
      </c>
      <c r="M9" s="3" t="inlineStr">
        <is>
          <t>30/05/2026 10:07:15</t>
        </is>
      </c>
    </row>
    <row r="10">
      <c r="A10" s="3" t="inlineStr">
        <is>
          <t>584266711324592084</t>
        </is>
      </c>
      <c r="B10" s="3" t="inlineStr">
        <is>
          <t>已发货</t>
        </is>
      </c>
      <c r="C10" s="3" t="inlineStr">
        <is>
          <t>C1</t>
        </is>
      </c>
      <c r="D10" s="3" t="inlineStr">
        <is>
          <t>魔芋笋1大袋</t>
        </is>
      </c>
      <c r="E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" s="3" t="inlineStr">
        <is>
          <t>รสเผ็ดหอม​, 10 ซอง 200g</t>
        </is>
      </c>
      <c r="G10" s="6" t="n">
        <v>1</v>
      </c>
      <c r="H10" s="6" t="n">
        <v>6.699999999999999</v>
      </c>
      <c r="I10" s="6" t="n">
        <v>1</v>
      </c>
      <c r="J10" s="5" t="n">
        <v>14.7</v>
      </c>
      <c r="K10" s="5" t="n">
        <v>-14.7</v>
      </c>
      <c r="L10" s="5" t="n">
        <v>-69.09</v>
      </c>
      <c r="M10" s="3" t="inlineStr">
        <is>
          <t>30/05/2026 10:03:15</t>
        </is>
      </c>
    </row>
    <row r="11">
      <c r="A11" s="3" t="inlineStr">
        <is>
          <t>584266446494926435</t>
        </is>
      </c>
      <c r="B11" s="3" t="inlineStr">
        <is>
          <t>已发货</t>
        </is>
      </c>
      <c r="C11" s="3" t="inlineStr">
        <is>
          <t>CK</t>
        </is>
      </c>
      <c r="D11" s="3" t="inlineStr">
        <is>
          <t>黑松露黑麦苏打饼干</t>
        </is>
      </c>
      <c r="E1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1" s="3" t="inlineStr">
        <is>
          <t>ค่าเริ่มต้น</t>
        </is>
      </c>
      <c r="G11" s="6" t="n">
        <v>1</v>
      </c>
      <c r="H11" s="6" t="n">
        <v>10.72665050209467</v>
      </c>
      <c r="I11" s="6" t="n">
        <v>1</v>
      </c>
      <c r="J11" s="5" t="n">
        <v>18.72665050209466</v>
      </c>
      <c r="K11" s="5" t="n">
        <v>-18.72665050209466</v>
      </c>
      <c r="L11" s="5" t="n">
        <v>-88.01525735984492</v>
      </c>
      <c r="M11" s="3" t="inlineStr">
        <is>
          <t>30/05/2026 10:01:17</t>
        </is>
      </c>
    </row>
    <row r="12">
      <c r="A12" s="3" t="inlineStr">
        <is>
          <t>584266446385939703</t>
        </is>
      </c>
      <c r="B12" s="3" t="inlineStr">
        <is>
          <t>已发货</t>
        </is>
      </c>
      <c r="C12" s="3" t="inlineStr">
        <is>
          <t>C1</t>
        </is>
      </c>
      <c r="D12" s="3" t="inlineStr">
        <is>
          <t>魔芋笋1大袋</t>
        </is>
      </c>
      <c r="E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" s="3" t="inlineStr">
        <is>
          <t>รสเผ็ดหอม​, 10 ซอง 200g</t>
        </is>
      </c>
      <c r="G12" s="6" t="n">
        <v>1</v>
      </c>
      <c r="H12" s="6" t="n">
        <v>6.699999999999999</v>
      </c>
      <c r="I12" s="6" t="n">
        <v>1</v>
      </c>
      <c r="J12" s="5" t="n">
        <v>14.7</v>
      </c>
      <c r="K12" s="5" t="n">
        <v>-14.7</v>
      </c>
      <c r="L12" s="5" t="n">
        <v>-69.09</v>
      </c>
      <c r="M12" s="3" t="inlineStr">
        <is>
          <t>30/05/2026 09:58:16</t>
        </is>
      </c>
    </row>
    <row r="13">
      <c r="A13" s="3" t="inlineStr">
        <is>
          <t>584265789636970234</t>
        </is>
      </c>
      <c r="B13" s="3" t="inlineStr">
        <is>
          <t>已发货</t>
        </is>
      </c>
      <c r="C13" s="3" t="inlineStr">
        <is>
          <t>ER-B</t>
        </is>
      </c>
      <c r="D13" s="3" t="inlineStr">
        <is>
          <t>广州酒家黄油鸡蛋卷480g</t>
        </is>
      </c>
      <c r="E13" s="3" t="inlineStr">
        <is>
          <t>Egg Roll 2สูตร ทองม้วนไข่กล่องเหล็กพรีเมี่ยม!! GuangZhou Restaurant 454g/480g กล่องล่ะ 24 แท่ง</t>
        </is>
      </c>
      <c r="F13" s="3" t="inlineStr">
        <is>
          <t>Butter สูตรเนยสด พรีเมี่ยม</t>
        </is>
      </c>
      <c r="G13" s="6" t="n">
        <v>1</v>
      </c>
      <c r="H13" s="6" t="n">
        <v>45.49882436351998</v>
      </c>
      <c r="I13" s="6" t="n">
        <v>2</v>
      </c>
      <c r="J13" s="5" t="n">
        <v>54.49882436351998</v>
      </c>
      <c r="K13" s="5" t="n">
        <v>-54.49882436351998</v>
      </c>
      <c r="L13" s="5" t="n">
        <v>-256.1444745085439</v>
      </c>
      <c r="M13" s="3" t="inlineStr">
        <is>
          <t>30/05/2026 09:22:16</t>
        </is>
      </c>
    </row>
    <row r="14">
      <c r="A14" s="3" t="inlineStr">
        <is>
          <t>584256933566055695</t>
        </is>
      </c>
      <c r="B14" s="3" t="inlineStr">
        <is>
          <t>已发货</t>
        </is>
      </c>
      <c r="C14" s="3" t="inlineStr">
        <is>
          <t>CK</t>
        </is>
      </c>
      <c r="D14" s="3" t="inlineStr">
        <is>
          <t>黑松露黑麦苏打饼干</t>
        </is>
      </c>
      <c r="E1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4" s="3" t="inlineStr">
        <is>
          <t>ค่าเริ่มต้น</t>
        </is>
      </c>
      <c r="G14" s="6" t="n">
        <v>1</v>
      </c>
      <c r="H14" s="6" t="n">
        <v>10.72665050209467</v>
      </c>
      <c r="I14" s="6" t="n">
        <v>1</v>
      </c>
      <c r="J14" s="5" t="n">
        <v>18.72665050209466</v>
      </c>
      <c r="K14" s="5" t="n">
        <v>-18.72665050209466</v>
      </c>
      <c r="L14" s="5" t="n">
        <v>-88.01525735984492</v>
      </c>
      <c r="M14" s="3" t="inlineStr">
        <is>
          <t>29/05/2026 17:40:14</t>
        </is>
      </c>
    </row>
    <row r="15">
      <c r="A15" s="3" t="inlineStr">
        <is>
          <t>584256341245855473</t>
        </is>
      </c>
      <c r="B15" s="3" t="inlineStr">
        <is>
          <t>已发货</t>
        </is>
      </c>
      <c r="C15" s="3" t="inlineStr">
        <is>
          <t>C1</t>
        </is>
      </c>
      <c r="D15" s="3" t="inlineStr">
        <is>
          <t>魔芋笋1大袋</t>
        </is>
      </c>
      <c r="E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" s="3" t="inlineStr">
        <is>
          <t>รสเผ็ดหอม​, 10 ซอง 200g</t>
        </is>
      </c>
      <c r="G15" s="6" t="n">
        <v>1</v>
      </c>
      <c r="H15" s="6" t="n">
        <v>6.699999999999999</v>
      </c>
      <c r="I15" s="6" t="n">
        <v>1</v>
      </c>
      <c r="J15" s="5" t="n">
        <v>14.7</v>
      </c>
      <c r="K15" s="5" t="n">
        <v>-14.7</v>
      </c>
      <c r="L15" s="5" t="n">
        <v>-69.09</v>
      </c>
      <c r="M15" s="3" t="inlineStr">
        <is>
          <t>29/05/2026 16:51:22</t>
        </is>
      </c>
    </row>
    <row r="16">
      <c r="A16" s="3" t="inlineStr">
        <is>
          <t>584251651043722546</t>
        </is>
      </c>
      <c r="B16" s="3" t="inlineStr">
        <is>
          <t>已发货</t>
        </is>
      </c>
      <c r="C16" s="3" t="inlineStr">
        <is>
          <t>C1</t>
        </is>
      </c>
      <c r="D16" s="3" t="inlineStr">
        <is>
          <t>魔芋笋1大袋</t>
        </is>
      </c>
      <c r="E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" s="3" t="inlineStr">
        <is>
          <t>รสเผ็ดหอม​, 10 ซอง 200g</t>
        </is>
      </c>
      <c r="G16" s="6" t="n">
        <v>1</v>
      </c>
      <c r="H16" s="6" t="n">
        <v>6.699999999999999</v>
      </c>
      <c r="I16" s="6" t="n">
        <v>1</v>
      </c>
      <c r="J16" s="5" t="n">
        <v>14.7</v>
      </c>
      <c r="K16" s="5" t="n">
        <v>-14.7</v>
      </c>
      <c r="L16" s="5" t="n">
        <v>-69.09</v>
      </c>
      <c r="M16" s="3" t="inlineStr">
        <is>
          <t>29/05/2026 11:15:12</t>
        </is>
      </c>
    </row>
    <row r="17">
      <c r="A17" s="3" t="inlineStr">
        <is>
          <t>584251834183550499</t>
        </is>
      </c>
      <c r="B17" s="3" t="inlineStr">
        <is>
          <t>已发货</t>
        </is>
      </c>
      <c r="C17" s="3" t="inlineStr">
        <is>
          <t>C1</t>
        </is>
      </c>
      <c r="D17" s="3" t="inlineStr">
        <is>
          <t>魔芋笋1大袋</t>
        </is>
      </c>
      <c r="E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" s="3" t="inlineStr">
        <is>
          <t>รสเผ็ดหอม​, 10 ซอง 200g</t>
        </is>
      </c>
      <c r="G17" s="6" t="n">
        <v>1</v>
      </c>
      <c r="H17" s="6" t="n">
        <v>6.699999999999999</v>
      </c>
      <c r="I17" s="6" t="n">
        <v>1</v>
      </c>
      <c r="J17" s="5" t="n">
        <v>14.7</v>
      </c>
      <c r="K17" s="5" t="n">
        <v>-14.7</v>
      </c>
      <c r="L17" s="5" t="n">
        <v>-69.09</v>
      </c>
      <c r="M17" s="3" t="inlineStr">
        <is>
          <t>29/05/2026 11:09:20</t>
        </is>
      </c>
    </row>
    <row r="18">
      <c r="A18" s="3" t="inlineStr">
        <is>
          <t>584251834018793128</t>
        </is>
      </c>
      <c r="B18" s="3" t="inlineStr">
        <is>
          <t>已发货</t>
        </is>
      </c>
      <c r="C18" s="3" t="inlineStr">
        <is>
          <t>C1</t>
        </is>
      </c>
      <c r="D18" s="3" t="inlineStr">
        <is>
          <t>魔芋笋1大袋</t>
        </is>
      </c>
      <c r="E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" s="3" t="inlineStr">
        <is>
          <t>รสเผ็ดหอม​, 10 ซอง 200g</t>
        </is>
      </c>
      <c r="G18" s="6" t="n">
        <v>1</v>
      </c>
      <c r="H18" s="6" t="n">
        <v>6.699999999999999</v>
      </c>
      <c r="I18" s="6" t="n">
        <v>1</v>
      </c>
      <c r="J18" s="5" t="n">
        <v>14.7</v>
      </c>
      <c r="K18" s="5" t="n">
        <v>-14.7</v>
      </c>
      <c r="L18" s="5" t="n">
        <v>-69.09</v>
      </c>
      <c r="M18" s="3" t="inlineStr">
        <is>
          <t>29/05/2026 11:06:14</t>
        </is>
      </c>
    </row>
    <row r="19">
      <c r="A19" s="3" t="inlineStr">
        <is>
          <t>584251473774872024</t>
        </is>
      </c>
      <c r="B19" s="3" t="inlineStr">
        <is>
          <t>已发货</t>
        </is>
      </c>
      <c r="C19" s="3" t="inlineStr">
        <is>
          <t>C1</t>
        </is>
      </c>
      <c r="D19" s="3" t="inlineStr">
        <is>
          <t>魔芋笋1大袋</t>
        </is>
      </c>
      <c r="E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" s="3" t="inlineStr">
        <is>
          <t>รสเผ็ดหอม​, 10 ซอง 200g</t>
        </is>
      </c>
      <c r="G19" s="6" t="n">
        <v>1</v>
      </c>
      <c r="H19" s="6" t="n">
        <v>6.699999999999999</v>
      </c>
      <c r="I19" s="6" t="n">
        <v>1</v>
      </c>
      <c r="J19" s="5" t="n">
        <v>14.7</v>
      </c>
      <c r="K19" s="5" t="n">
        <v>-14.7</v>
      </c>
      <c r="L19" s="5" t="n">
        <v>-69.09</v>
      </c>
      <c r="M19" s="3" t="inlineStr">
        <is>
          <t>29/05/2026 10:44:25</t>
        </is>
      </c>
    </row>
    <row r="20">
      <c r="A20" s="3" t="inlineStr">
        <is>
          <t>584251309473498297</t>
        </is>
      </c>
      <c r="B20" s="3" t="inlineStr">
        <is>
          <t>已发货</t>
        </is>
      </c>
      <c r="C20" s="3" t="inlineStr">
        <is>
          <t>C1</t>
        </is>
      </c>
      <c r="D20" s="3" t="inlineStr">
        <is>
          <t>魔芋笋1大袋</t>
        </is>
      </c>
      <c r="E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" s="3" t="inlineStr">
        <is>
          <t>รสเผ็ดหอม​, 10 ซอง 200g</t>
        </is>
      </c>
      <c r="G20" s="6" t="n">
        <v>1</v>
      </c>
      <c r="H20" s="6" t="n">
        <v>6.699999999999999</v>
      </c>
      <c r="I20" s="6" t="n">
        <v>1</v>
      </c>
      <c r="J20" s="5" t="n">
        <v>14.7</v>
      </c>
      <c r="K20" s="5" t="n">
        <v>-14.7</v>
      </c>
      <c r="L20" s="5" t="n">
        <v>-69.09</v>
      </c>
      <c r="M20" s="3" t="inlineStr">
        <is>
          <t>29/05/2026 10:35:23</t>
        </is>
      </c>
    </row>
    <row r="21">
      <c r="A21" s="3" t="inlineStr">
        <is>
          <t>584251309419496562</t>
        </is>
      </c>
      <c r="B21" s="3" t="inlineStr">
        <is>
          <t>已发货</t>
        </is>
      </c>
      <c r="C21" s="3" t="inlineStr">
        <is>
          <t>C1</t>
        </is>
      </c>
      <c r="D21" s="3" t="inlineStr">
        <is>
          <t>魔芋笋1大袋</t>
        </is>
      </c>
      <c r="E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" s="3" t="inlineStr">
        <is>
          <t>รสเผ็ดหอม​, 10 ซอง 200g</t>
        </is>
      </c>
      <c r="G21" s="6" t="n">
        <v>1</v>
      </c>
      <c r="H21" s="6" t="n">
        <v>6.699999999999999</v>
      </c>
      <c r="I21" s="6" t="n">
        <v>1</v>
      </c>
      <c r="J21" s="5" t="n">
        <v>14.7</v>
      </c>
      <c r="K21" s="5" t="n">
        <v>-14.7</v>
      </c>
      <c r="L21" s="5" t="n">
        <v>-69.09</v>
      </c>
      <c r="M21" s="3" t="inlineStr">
        <is>
          <t>29/05/2026 10:34:21</t>
        </is>
      </c>
    </row>
    <row r="22">
      <c r="A22" s="3" t="inlineStr">
        <is>
          <t>584250872517527067</t>
        </is>
      </c>
      <c r="B22" s="3" t="inlineStr">
        <is>
          <t>已取消</t>
        </is>
      </c>
      <c r="C22" s="3" t="inlineStr">
        <is>
          <t>C1</t>
        </is>
      </c>
      <c r="D22" s="3" t="inlineStr">
        <is>
          <t>魔芋笋1大袋</t>
        </is>
      </c>
      <c r="E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" s="3" t="inlineStr">
        <is>
          <t>รสเผ็ดหอม​, 10 ซอง 200g</t>
        </is>
      </c>
      <c r="G22" s="6" t="n">
        <v>1</v>
      </c>
      <c r="H22" s="6" t="n">
        <v>6.699999999999999</v>
      </c>
      <c r="I22" s="6" t="n">
        <v>1</v>
      </c>
      <c r="J22" s="5" t="n">
        <v>14.7</v>
      </c>
      <c r="K22" s="5" t="n">
        <v>-14.7</v>
      </c>
      <c r="L22" s="5" t="n">
        <v>-69.09</v>
      </c>
      <c r="M22" s="3" t="inlineStr">
        <is>
          <t>29/05/2026 10:18:23</t>
        </is>
      </c>
    </row>
    <row r="23">
      <c r="A23" s="3" t="inlineStr">
        <is>
          <t>584250872040293882</t>
        </is>
      </c>
      <c r="B23" s="3" t="inlineStr">
        <is>
          <t>已取消</t>
        </is>
      </c>
      <c r="C23" s="3" t="inlineStr">
        <is>
          <t>C1</t>
        </is>
      </c>
      <c r="D23" s="3" t="inlineStr">
        <is>
          <t>魔芋笋1大袋</t>
        </is>
      </c>
      <c r="E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" s="3" t="inlineStr">
        <is>
          <t>รสเผ็ดหอม​, 10 ซอง 200g</t>
        </is>
      </c>
      <c r="G23" s="6" t="n">
        <v>1</v>
      </c>
      <c r="H23" s="6" t="n">
        <v>6.699999999999999</v>
      </c>
      <c r="I23" s="6" t="n">
        <v>1</v>
      </c>
      <c r="J23" s="5" t="n">
        <v>14.7</v>
      </c>
      <c r="K23" s="5" t="n">
        <v>-14.7</v>
      </c>
      <c r="L23" s="5" t="n">
        <v>-69.09</v>
      </c>
      <c r="M23" s="3" t="inlineStr">
        <is>
          <t>29/05/2026 10:05:24</t>
        </is>
      </c>
    </row>
    <row r="24">
      <c r="A24" s="3" t="inlineStr">
        <is>
          <t>584240561989584086</t>
        </is>
      </c>
      <c r="B24" s="3" t="inlineStr">
        <is>
          <t>已发货</t>
        </is>
      </c>
      <c r="C24" s="3" t="inlineStr">
        <is>
          <t>C1</t>
        </is>
      </c>
      <c r="D24" s="3" t="inlineStr">
        <is>
          <t>魔芋笋1大袋</t>
        </is>
      </c>
      <c r="E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" s="3" t="inlineStr">
        <is>
          <t>รสเผ็ดหอม​, 10 ซอง 200g</t>
        </is>
      </c>
      <c r="G24" s="6" t="n">
        <v>1</v>
      </c>
      <c r="H24" s="6" t="n">
        <v>6.699999999999999</v>
      </c>
      <c r="I24" s="6" t="n">
        <v>1</v>
      </c>
      <c r="J24" s="5" t="n">
        <v>14.7</v>
      </c>
      <c r="K24" s="5" t="n">
        <v>-14.7</v>
      </c>
      <c r="L24" s="5" t="n">
        <v>-69.09</v>
      </c>
      <c r="M24" s="3" t="inlineStr">
        <is>
          <t>28/05/2026 16:45:13</t>
        </is>
      </c>
    </row>
    <row r="25">
      <c r="A25" s="3" t="inlineStr">
        <is>
          <t>584240584478721341</t>
        </is>
      </c>
      <c r="B25" s="3" t="inlineStr">
        <is>
          <t>已发货</t>
        </is>
      </c>
      <c r="C25" s="3" t="inlineStr">
        <is>
          <t>C1</t>
        </is>
      </c>
      <c r="D25" s="3" t="inlineStr">
        <is>
          <t>魔芋笋1大袋</t>
        </is>
      </c>
      <c r="E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" s="3" t="inlineStr">
        <is>
          <t>รสเผ็ดหอม​, 10 ซอง 200g</t>
        </is>
      </c>
      <c r="G25" s="6" t="n">
        <v>1</v>
      </c>
      <c r="H25" s="6" t="n">
        <v>6.699999999999999</v>
      </c>
      <c r="I25" s="6" t="n">
        <v>1</v>
      </c>
      <c r="J25" s="5" t="n">
        <v>14.7</v>
      </c>
      <c r="K25" s="5" t="n">
        <v>-14.7</v>
      </c>
      <c r="L25" s="5" t="n">
        <v>-69.09</v>
      </c>
      <c r="M25" s="3" t="inlineStr">
        <is>
          <t>28/05/2026 16:44:12</t>
        </is>
      </c>
    </row>
    <row r="26">
      <c r="A26" s="3" t="inlineStr">
        <is>
          <t>584240584474986020</t>
        </is>
      </c>
      <c r="B26" s="3" t="inlineStr">
        <is>
          <t>已发货</t>
        </is>
      </c>
      <c r="C26" s="3" t="inlineStr">
        <is>
          <t>C1</t>
        </is>
      </c>
      <c r="D26" s="3" t="inlineStr">
        <is>
          <t>魔芋笋1大袋</t>
        </is>
      </c>
      <c r="E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" s="3" t="inlineStr">
        <is>
          <t>รสเผ็ดหอม​, 10 ซอง 200g</t>
        </is>
      </c>
      <c r="G26" s="6" t="n">
        <v>1</v>
      </c>
      <c r="H26" s="6" t="n">
        <v>6.699999999999999</v>
      </c>
      <c r="I26" s="6" t="n">
        <v>1</v>
      </c>
      <c r="J26" s="5" t="n">
        <v>14.7</v>
      </c>
      <c r="K26" s="5" t="n">
        <v>-14.7</v>
      </c>
      <c r="L26" s="5" t="n">
        <v>-69.09</v>
      </c>
      <c r="M26" s="3" t="inlineStr">
        <is>
          <t>28/05/2026 16:43:23</t>
        </is>
      </c>
    </row>
    <row r="27">
      <c r="A27" s="3" t="inlineStr">
        <is>
          <t>584240561921230427</t>
        </is>
      </c>
      <c r="B27" s="3" t="inlineStr">
        <is>
          <t>已发货</t>
        </is>
      </c>
      <c r="C27" s="3" t="inlineStr">
        <is>
          <t>C1</t>
        </is>
      </c>
      <c r="D27" s="3" t="inlineStr">
        <is>
          <t>魔芋笋1大袋</t>
        </is>
      </c>
      <c r="E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" s="3" t="inlineStr">
        <is>
          <t>รสเผ็ดหอม​, 10 ซอง 200g</t>
        </is>
      </c>
      <c r="G27" s="6" t="n">
        <v>1</v>
      </c>
      <c r="H27" s="6" t="n">
        <v>6.699999999999999</v>
      </c>
      <c r="I27" s="6" t="n">
        <v>1</v>
      </c>
      <c r="J27" s="5" t="n">
        <v>14.7</v>
      </c>
      <c r="K27" s="5" t="n">
        <v>-14.7</v>
      </c>
      <c r="L27" s="5" t="n">
        <v>-69.09</v>
      </c>
      <c r="M27" s="3" t="inlineStr">
        <is>
          <t>28/05/2026 16:42:23</t>
        </is>
      </c>
    </row>
    <row r="28">
      <c r="A28" s="3" t="inlineStr">
        <is>
          <t>584240561897964849</t>
        </is>
      </c>
      <c r="B28" s="3" t="inlineStr">
        <is>
          <t>已发货</t>
        </is>
      </c>
      <c r="C28" s="3" t="inlineStr">
        <is>
          <t>CK</t>
        </is>
      </c>
      <c r="D28" s="3" t="inlineStr">
        <is>
          <t>黑松露黑麦苏打饼干</t>
        </is>
      </c>
      <c r="E2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8" s="3" t="inlineStr">
        <is>
          <t>ค่าเริ่มต้น</t>
        </is>
      </c>
      <c r="G28" s="6" t="n">
        <v>1</v>
      </c>
      <c r="H28" s="6" t="n">
        <v>10.72665050209467</v>
      </c>
      <c r="I28" s="6" t="n">
        <v>1</v>
      </c>
      <c r="J28" s="5" t="n">
        <v>18.72665050209466</v>
      </c>
      <c r="K28" s="5" t="n">
        <v>-18.72665050209466</v>
      </c>
      <c r="L28" s="5" t="n">
        <v>-88.01525735984492</v>
      </c>
      <c r="M28" s="3" t="inlineStr">
        <is>
          <t>28/05/2026 16:42:14</t>
        </is>
      </c>
    </row>
    <row r="29">
      <c r="A29" s="3" t="inlineStr">
        <is>
          <t>584240584313701964</t>
        </is>
      </c>
      <c r="B29" s="3" t="inlineStr">
        <is>
          <t>已发货</t>
        </is>
      </c>
      <c r="C29" s="3" t="inlineStr">
        <is>
          <t>C1</t>
        </is>
      </c>
      <c r="D29" s="3" t="inlineStr">
        <is>
          <t>魔芋笋1大袋</t>
        </is>
      </c>
      <c r="E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" s="3" t="inlineStr">
        <is>
          <t>รสเผ็ดหอม​, 10 ซอง 200g</t>
        </is>
      </c>
      <c r="G29" s="6" t="n">
        <v>1</v>
      </c>
      <c r="H29" s="6" t="n">
        <v>6.699999999999999</v>
      </c>
      <c r="I29" s="6" t="n">
        <v>1</v>
      </c>
      <c r="J29" s="5" t="n">
        <v>14.7</v>
      </c>
      <c r="K29" s="5" t="n">
        <v>-14.7</v>
      </c>
      <c r="L29" s="5" t="n">
        <v>-69.09</v>
      </c>
      <c r="M29" s="3" t="inlineStr">
        <is>
          <t>28/05/2026 16:40:16</t>
        </is>
      </c>
    </row>
    <row r="30">
      <c r="A30" s="3" t="inlineStr">
        <is>
          <t>584235551578620944</t>
        </is>
      </c>
      <c r="B30" s="3" t="inlineStr">
        <is>
          <t>已发货</t>
        </is>
      </c>
      <c r="C30" s="3" t="inlineStr">
        <is>
          <t>C1</t>
        </is>
      </c>
      <c r="D30" s="3" t="inlineStr">
        <is>
          <t>魔芋笋1大袋</t>
        </is>
      </c>
      <c r="E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" s="3" t="inlineStr">
        <is>
          <t>รสเผ็ดหอม​, 10 ซอง 200g</t>
        </is>
      </c>
      <c r="G30" s="6" t="n">
        <v>1</v>
      </c>
      <c r="H30" s="6" t="n">
        <v>6.699999999999999</v>
      </c>
      <c r="I30" s="6" t="n">
        <v>1</v>
      </c>
      <c r="J30" s="5" t="n">
        <v>14.7</v>
      </c>
      <c r="K30" s="5" t="n">
        <v>-14.7</v>
      </c>
      <c r="L30" s="5" t="n">
        <v>-69.09</v>
      </c>
      <c r="M30" s="3" t="inlineStr">
        <is>
          <t>28/05/2026 10:16:13</t>
        </is>
      </c>
    </row>
    <row r="31">
      <c r="A31" s="3" t="inlineStr">
        <is>
          <t>584235389472835546</t>
        </is>
      </c>
      <c r="B31" s="3" t="inlineStr">
        <is>
          <t>已发货</t>
        </is>
      </c>
      <c r="C31" s="3" t="inlineStr">
        <is>
          <t>C1</t>
        </is>
      </c>
      <c r="D31" s="3" t="inlineStr">
        <is>
          <t>魔芋笋1大袋</t>
        </is>
      </c>
      <c r="E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" s="3" t="inlineStr">
        <is>
          <t>รสเผ็ดหอม​, 10 ซอง 200g</t>
        </is>
      </c>
      <c r="G31" s="6" t="n">
        <v>1</v>
      </c>
      <c r="H31" s="6" t="n">
        <v>6.699999999999999</v>
      </c>
      <c r="I31" s="6" t="n">
        <v>1</v>
      </c>
      <c r="J31" s="5" t="n">
        <v>14.7</v>
      </c>
      <c r="K31" s="5" t="n">
        <v>-14.7</v>
      </c>
      <c r="L31" s="5" t="n">
        <v>-69.09</v>
      </c>
      <c r="M31" s="3" t="inlineStr">
        <is>
          <t>28/05/2026 10:12:14</t>
        </is>
      </c>
    </row>
    <row r="32">
      <c r="A32" s="3" t="inlineStr">
        <is>
          <t>584235258538656876</t>
        </is>
      </c>
      <c r="B32" s="3" t="inlineStr">
        <is>
          <t>已发货</t>
        </is>
      </c>
      <c r="C32" s="3" t="inlineStr">
        <is>
          <t>C1</t>
        </is>
      </c>
      <c r="D32" s="3" t="inlineStr">
        <is>
          <t>魔芋笋1大袋</t>
        </is>
      </c>
      <c r="E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" s="3" t="inlineStr">
        <is>
          <t>รสเผ็ดหอม​, 10 ซอง 200g</t>
        </is>
      </c>
      <c r="G32" s="6" t="n">
        <v>1</v>
      </c>
      <c r="H32" s="6" t="n">
        <v>6.699999999999999</v>
      </c>
      <c r="I32" s="6" t="n">
        <v>1</v>
      </c>
      <c r="J32" s="5" t="n">
        <v>14.7</v>
      </c>
      <c r="K32" s="5" t="n">
        <v>-14.7</v>
      </c>
      <c r="L32" s="5" t="n">
        <v>-69.09</v>
      </c>
      <c r="M32" s="3" t="inlineStr">
        <is>
          <t>28/05/2026 10:03:20</t>
        </is>
      </c>
    </row>
    <row r="33">
      <c r="A33" s="3" t="inlineStr">
        <is>
          <t>584235041020085970</t>
        </is>
      </c>
      <c r="B33" s="3" t="inlineStr">
        <is>
          <t>已发货</t>
        </is>
      </c>
      <c r="C33" s="3" t="inlineStr">
        <is>
          <t>C1</t>
        </is>
      </c>
      <c r="D33" s="3" t="inlineStr">
        <is>
          <t>魔芋笋1大袋</t>
        </is>
      </c>
      <c r="E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" s="3" t="inlineStr">
        <is>
          <t>รสเผ็ดหอม​, 10 ซอง 200g</t>
        </is>
      </c>
      <c r="G33" s="6" t="n">
        <v>1</v>
      </c>
      <c r="H33" s="6" t="n">
        <v>6.699999999999999</v>
      </c>
      <c r="I33" s="6" t="n">
        <v>1</v>
      </c>
      <c r="J33" s="5" t="n">
        <v>14.7</v>
      </c>
      <c r="K33" s="5" t="n">
        <v>-14.7</v>
      </c>
      <c r="L33" s="5" t="n">
        <v>-69.09</v>
      </c>
      <c r="M33" s="3" t="inlineStr">
        <is>
          <t>28/05/2026 10:00:27</t>
        </is>
      </c>
    </row>
    <row r="34">
      <c r="A34" s="3" t="inlineStr">
        <is>
          <t>584235258280183267</t>
        </is>
      </c>
      <c r="B34" s="3" t="inlineStr">
        <is>
          <t>已发货</t>
        </is>
      </c>
      <c r="C34" s="3" t="inlineStr">
        <is>
          <t>CK</t>
        </is>
      </c>
      <c r="D34" s="3" t="inlineStr">
        <is>
          <t>黑松露黑麦苏打饼干</t>
        </is>
      </c>
      <c r="E3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4" s="3" t="inlineStr">
        <is>
          <t>ค่าเริ่มต้น</t>
        </is>
      </c>
      <c r="G34" s="6" t="n">
        <v>1</v>
      </c>
      <c r="H34" s="6" t="n">
        <v>10.72665050209467</v>
      </c>
      <c r="I34" s="6" t="n">
        <v>1</v>
      </c>
      <c r="J34" s="5" t="n">
        <v>18.72665050209466</v>
      </c>
      <c r="K34" s="5" t="n">
        <v>-18.72665050209466</v>
      </c>
      <c r="L34" s="5" t="n">
        <v>-88.01525735984492</v>
      </c>
      <c r="M34" s="3" t="inlineStr">
        <is>
          <t>28/05/2026 09:59:22</t>
        </is>
      </c>
    </row>
    <row r="35">
      <c r="A35" s="3" t="inlineStr">
        <is>
          <t>584235040841500070</t>
        </is>
      </c>
      <c r="B35" s="3" t="inlineStr">
        <is>
          <t>已发货</t>
        </is>
      </c>
      <c r="C35" s="3" t="inlineStr">
        <is>
          <t>C1</t>
        </is>
      </c>
      <c r="D35" s="3" t="inlineStr">
        <is>
          <t>魔芋笋1大袋</t>
        </is>
      </c>
      <c r="E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" s="3" t="inlineStr">
        <is>
          <t>รสเผ็ดหอม​, 10 ซอง 200g</t>
        </is>
      </c>
      <c r="G35" s="6" t="n">
        <v>1</v>
      </c>
      <c r="H35" s="6" t="n">
        <v>6.699999999999999</v>
      </c>
      <c r="I35" s="6" t="n">
        <v>1</v>
      </c>
      <c r="J35" s="5" t="n">
        <v>14.7</v>
      </c>
      <c r="K35" s="5" t="n">
        <v>-14.7</v>
      </c>
      <c r="L35" s="5" t="n">
        <v>-69.09</v>
      </c>
      <c r="M35" s="3" t="inlineStr">
        <is>
          <t>28/05/2026 09:56:21</t>
        </is>
      </c>
    </row>
    <row r="36">
      <c r="A36" s="3" t="inlineStr">
        <is>
          <t>584235040758596828</t>
        </is>
      </c>
      <c r="B36" s="3" t="inlineStr">
        <is>
          <t>已发货</t>
        </is>
      </c>
      <c r="C36" s="3" t="inlineStr">
        <is>
          <t>C1</t>
        </is>
      </c>
      <c r="D36" s="3" t="inlineStr">
        <is>
          <t>魔芋笋1大袋</t>
        </is>
      </c>
      <c r="E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" s="3" t="inlineStr">
        <is>
          <t>รสเผ็ดหอม​, 10 ซอง 200g</t>
        </is>
      </c>
      <c r="G36" s="6" t="n">
        <v>1</v>
      </c>
      <c r="H36" s="6" t="n">
        <v>6.699999999999999</v>
      </c>
      <c r="I36" s="6" t="n">
        <v>1</v>
      </c>
      <c r="J36" s="5" t="n">
        <v>14.7</v>
      </c>
      <c r="K36" s="5" t="n">
        <v>-14.7</v>
      </c>
      <c r="L36" s="5" t="n">
        <v>-69.09</v>
      </c>
      <c r="M36" s="3" t="inlineStr">
        <is>
          <t>28/05/2026 09:54:14</t>
        </is>
      </c>
    </row>
    <row r="37">
      <c r="A37" s="3" t="inlineStr">
        <is>
          <t>584235040689653152</t>
        </is>
      </c>
      <c r="B37" s="3" t="inlineStr">
        <is>
          <t>已发货</t>
        </is>
      </c>
      <c r="C37" s="3" t="inlineStr">
        <is>
          <t>C1</t>
        </is>
      </c>
      <c r="D37" s="3" t="inlineStr">
        <is>
          <t>魔芋笋1大袋</t>
        </is>
      </c>
      <c r="E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" s="3" t="inlineStr">
        <is>
          <t>รสเผ็ดหอม​, 10 ซอง 200g</t>
        </is>
      </c>
      <c r="G37" s="6" t="n">
        <v>1</v>
      </c>
      <c r="H37" s="6" t="n">
        <v>6.699999999999999</v>
      </c>
      <c r="I37" s="6" t="n">
        <v>1</v>
      </c>
      <c r="J37" s="5" t="n">
        <v>14.7</v>
      </c>
      <c r="K37" s="5" t="n">
        <v>-14.7</v>
      </c>
      <c r="L37" s="5" t="n">
        <v>-69.09</v>
      </c>
      <c r="M37" s="3" t="inlineStr">
        <is>
          <t>28/05/2026 09:52:22</t>
        </is>
      </c>
    </row>
    <row r="38">
      <c r="A38" s="3" t="inlineStr">
        <is>
          <t>584235040381437030</t>
        </is>
      </c>
      <c r="B38" s="3" t="inlineStr">
        <is>
          <t>已发货</t>
        </is>
      </c>
      <c r="C38" s="3" t="inlineStr">
        <is>
          <t>C1</t>
        </is>
      </c>
      <c r="D38" s="3" t="inlineStr">
        <is>
          <t>魔芋笋1大袋</t>
        </is>
      </c>
      <c r="E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" s="3" t="inlineStr">
        <is>
          <t>รสเผ็ดหอม​, 10 ซอง 200g</t>
        </is>
      </c>
      <c r="G38" s="6" t="n">
        <v>1</v>
      </c>
      <c r="H38" s="6" t="n">
        <v>6.699999999999999</v>
      </c>
      <c r="I38" s="6" t="n">
        <v>1</v>
      </c>
      <c r="J38" s="5" t="n">
        <v>14.7</v>
      </c>
      <c r="K38" s="5" t="n">
        <v>-14.7</v>
      </c>
      <c r="L38" s="5" t="n">
        <v>-69.09</v>
      </c>
      <c r="M38" s="3" t="inlineStr">
        <is>
          <t>28/05/2026 09:43:26</t>
        </is>
      </c>
    </row>
    <row r="39">
      <c r="A39" s="3" t="inlineStr">
        <is>
          <t>584234940625684101</t>
        </is>
      </c>
      <c r="B39" s="3" t="inlineStr">
        <is>
          <t>已发货</t>
        </is>
      </c>
      <c r="C39" s="3" t="inlineStr">
        <is>
          <t>C1</t>
        </is>
      </c>
      <c r="D39" s="3" t="inlineStr">
        <is>
          <t>魔芋笋1大袋</t>
        </is>
      </c>
      <c r="E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" s="3" t="inlineStr">
        <is>
          <t>รสเผ็ดหอม​, 10 ซอง 200g</t>
        </is>
      </c>
      <c r="G39" s="6" t="n">
        <v>1</v>
      </c>
      <c r="H39" s="6" t="n">
        <v>6.699999999999999</v>
      </c>
      <c r="I39" s="6" t="n">
        <v>1</v>
      </c>
      <c r="J39" s="5" t="n">
        <v>14.7</v>
      </c>
      <c r="K39" s="5" t="n">
        <v>-14.7</v>
      </c>
      <c r="L39" s="5" t="n">
        <v>-69.09</v>
      </c>
      <c r="M39" s="3" t="inlineStr">
        <is>
          <t>28/05/2026 09:40:18</t>
        </is>
      </c>
    </row>
    <row r="40">
      <c r="A40" s="3" t="inlineStr">
        <is>
          <t>584234791868794220</t>
        </is>
      </c>
      <c r="B40" s="3" t="inlineStr">
        <is>
          <t>已发货</t>
        </is>
      </c>
      <c r="C40" s="3" t="inlineStr">
        <is>
          <t>C1</t>
        </is>
      </c>
      <c r="D40" s="3" t="inlineStr">
        <is>
          <t>魔芋笋1大袋</t>
        </is>
      </c>
      <c r="E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" s="3" t="inlineStr">
        <is>
          <t>รสเผ็ดหอม​, 10 ซอง 200g</t>
        </is>
      </c>
      <c r="G40" s="6" t="n">
        <v>1</v>
      </c>
      <c r="H40" s="6" t="n">
        <v>6.699999999999999</v>
      </c>
      <c r="I40" s="6" t="n">
        <v>1</v>
      </c>
      <c r="J40" s="5" t="n">
        <v>14.7</v>
      </c>
      <c r="K40" s="5" t="n">
        <v>-14.7</v>
      </c>
      <c r="L40" s="5" t="n">
        <v>-69.09</v>
      </c>
      <c r="M40" s="3" t="inlineStr">
        <is>
          <t>28/05/2026 09:39:30</t>
        </is>
      </c>
    </row>
    <row r="41">
      <c r="A41" s="3" t="inlineStr">
        <is>
          <t>584220224802817121</t>
        </is>
      </c>
      <c r="B41" s="3" t="inlineStr">
        <is>
          <t>已发货</t>
        </is>
      </c>
      <c r="C41" s="3" t="inlineStr">
        <is>
          <t>C1</t>
        </is>
      </c>
      <c r="D41" s="3" t="inlineStr">
        <is>
          <t>魔芋笋1大袋</t>
        </is>
      </c>
      <c r="E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" s="3" t="inlineStr">
        <is>
          <t>รสเผ็ดหอม​, 10 ซอง 200g</t>
        </is>
      </c>
      <c r="G41" s="6" t="n">
        <v>1</v>
      </c>
      <c r="H41" s="6" t="n">
        <v>6.699999999999999</v>
      </c>
      <c r="I41" s="6" t="n">
        <v>1</v>
      </c>
      <c r="J41" s="5" t="n">
        <v>14.7</v>
      </c>
      <c r="K41" s="5" t="n">
        <v>-14.7</v>
      </c>
      <c r="L41" s="5" t="n">
        <v>-69.09</v>
      </c>
      <c r="M41" s="3" t="inlineStr">
        <is>
          <t>27/05/2026 10:20:14</t>
        </is>
      </c>
    </row>
    <row r="42">
      <c r="A42" s="3" t="inlineStr">
        <is>
          <t>584220052924826779</t>
        </is>
      </c>
      <c r="B42" s="3" t="inlineStr">
        <is>
          <t>已发货</t>
        </is>
      </c>
      <c r="C42" s="3" t="inlineStr">
        <is>
          <t>C1</t>
        </is>
      </c>
      <c r="D42" s="3" t="inlineStr">
        <is>
          <t>魔芋笋1大袋</t>
        </is>
      </c>
      <c r="E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" s="3" t="inlineStr">
        <is>
          <t>รสเผ็ดหอม​, 10 ซอง 200g</t>
        </is>
      </c>
      <c r="G42" s="6" t="n">
        <v>1</v>
      </c>
      <c r="H42" s="6" t="n">
        <v>6.699999999999999</v>
      </c>
      <c r="I42" s="6" t="n">
        <v>1</v>
      </c>
      <c r="J42" s="5" t="n">
        <v>14.7</v>
      </c>
      <c r="K42" s="5" t="n">
        <v>-14.7</v>
      </c>
      <c r="L42" s="5" t="n">
        <v>-69.09</v>
      </c>
      <c r="M42" s="3" t="inlineStr">
        <is>
          <t>27/05/2026 10:16:21</t>
        </is>
      </c>
    </row>
    <row r="43">
      <c r="A43" s="3" t="inlineStr">
        <is>
          <t>584219913851995601</t>
        </is>
      </c>
      <c r="B43" s="3" t="inlineStr">
        <is>
          <t>已发货</t>
        </is>
      </c>
      <c r="C43" s="3" t="inlineStr">
        <is>
          <t>C1</t>
        </is>
      </c>
      <c r="D43" s="3" t="inlineStr">
        <is>
          <t>魔芋笋1大袋</t>
        </is>
      </c>
      <c r="E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" s="3" t="inlineStr">
        <is>
          <t>รสเผ็ดหอม​, 10 ซอง 200g</t>
        </is>
      </c>
      <c r="G43" s="6" t="n">
        <v>1</v>
      </c>
      <c r="H43" s="6" t="n">
        <v>6.699999999999999</v>
      </c>
      <c r="I43" s="6" t="n">
        <v>1</v>
      </c>
      <c r="J43" s="5" t="n">
        <v>14.7</v>
      </c>
      <c r="K43" s="5" t="n">
        <v>-14.7</v>
      </c>
      <c r="L43" s="5" t="n">
        <v>-69.09</v>
      </c>
      <c r="M43" s="3" t="inlineStr">
        <is>
          <t>27/05/2026 10:14:16</t>
        </is>
      </c>
    </row>
    <row r="44">
      <c r="A44" s="3" t="inlineStr">
        <is>
          <t>584219875986015790</t>
        </is>
      </c>
      <c r="B44" s="3" t="inlineStr">
        <is>
          <t>已发货</t>
        </is>
      </c>
      <c r="C44" s="3" t="inlineStr">
        <is>
          <t>C1</t>
        </is>
      </c>
      <c r="D44" s="3" t="inlineStr">
        <is>
          <t>魔芋笋1大袋</t>
        </is>
      </c>
      <c r="E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" s="3" t="inlineStr">
        <is>
          <t>รสเผ็ดหอม​, 10 ซอง 200g</t>
        </is>
      </c>
      <c r="G44" s="6" t="n">
        <v>1</v>
      </c>
      <c r="H44" s="6" t="n">
        <v>6.699999999999999</v>
      </c>
      <c r="I44" s="6" t="n">
        <v>1</v>
      </c>
      <c r="J44" s="5" t="n">
        <v>14.7</v>
      </c>
      <c r="K44" s="5" t="n">
        <v>-14.7</v>
      </c>
      <c r="L44" s="5" t="n">
        <v>-69.09</v>
      </c>
      <c r="M44" s="3" t="inlineStr">
        <is>
          <t>27/05/2026 10:05:11</t>
        </is>
      </c>
    </row>
    <row r="45">
      <c r="A45" s="3" t="inlineStr">
        <is>
          <t>584219875685730160</t>
        </is>
      </c>
      <c r="B45" s="3" t="inlineStr">
        <is>
          <t>已发货</t>
        </is>
      </c>
      <c r="C45" s="3" t="inlineStr">
        <is>
          <t>C1</t>
        </is>
      </c>
      <c r="D45" s="3" t="inlineStr">
        <is>
          <t>魔芋笋1大袋</t>
        </is>
      </c>
      <c r="E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" s="3" t="inlineStr">
        <is>
          <t>รสเผ็ดหอม​, 10 ซอง 200g</t>
        </is>
      </c>
      <c r="G45" s="6" t="n">
        <v>1</v>
      </c>
      <c r="H45" s="6" t="n">
        <v>6.699999999999999</v>
      </c>
      <c r="I45" s="6" t="n">
        <v>1</v>
      </c>
      <c r="J45" s="5" t="n">
        <v>14.7</v>
      </c>
      <c r="K45" s="5" t="n">
        <v>-14.7</v>
      </c>
      <c r="L45" s="5" t="n">
        <v>-69.09</v>
      </c>
      <c r="M45" s="3" t="inlineStr">
        <is>
          <t>27/05/2026 09:59:12</t>
        </is>
      </c>
    </row>
    <row r="46">
      <c r="A46" s="3" t="inlineStr">
        <is>
          <t>584219371702158354</t>
        </is>
      </c>
      <c r="B46" s="3" t="inlineStr">
        <is>
          <t>已发货</t>
        </is>
      </c>
      <c r="C46" s="3" t="inlineStr">
        <is>
          <t>CK</t>
        </is>
      </c>
      <c r="D46" s="3" t="inlineStr">
        <is>
          <t>黑松露黑麦苏打饼干</t>
        </is>
      </c>
      <c r="E4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6" s="3" t="inlineStr">
        <is>
          <t>ค่าเริ่มต้น</t>
        </is>
      </c>
      <c r="G46" s="6" t="n">
        <v>1</v>
      </c>
      <c r="H46" s="6" t="n">
        <v>10.72665050209467</v>
      </c>
      <c r="I46" s="6" t="n">
        <v>1</v>
      </c>
      <c r="J46" s="5" t="n">
        <v>18.72665050209466</v>
      </c>
      <c r="K46" s="5" t="n">
        <v>-18.72665050209466</v>
      </c>
      <c r="L46" s="5" t="n">
        <v>-88.01525735984492</v>
      </c>
      <c r="M46" s="3" t="inlineStr">
        <is>
          <t>27/05/2026 09:31:13</t>
        </is>
      </c>
    </row>
    <row r="47">
      <c r="A47" s="3" t="inlineStr">
        <is>
          <t>584209985349715257</t>
        </is>
      </c>
      <c r="B47" s="3" t="inlineStr">
        <is>
          <t>已发货</t>
        </is>
      </c>
      <c r="C47" s="3" t="inlineStr">
        <is>
          <t>CK</t>
        </is>
      </c>
      <c r="D47" s="3" t="inlineStr">
        <is>
          <t>黑松露黑麦苏打饼干</t>
        </is>
      </c>
      <c r="E4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7" s="3" t="inlineStr">
        <is>
          <t>ค่าเริ่มต้น</t>
        </is>
      </c>
      <c r="G47" s="6" t="n">
        <v>1</v>
      </c>
      <c r="H47" s="6" t="n">
        <v>10.72665050209467</v>
      </c>
      <c r="I47" s="6" t="n">
        <v>1</v>
      </c>
      <c r="J47" s="5" t="n">
        <v>18.72665050209466</v>
      </c>
      <c r="K47" s="5" t="n">
        <v>-18.72665050209466</v>
      </c>
      <c r="L47" s="5" t="n">
        <v>-88.01525735984492</v>
      </c>
      <c r="M47" s="3" t="inlineStr">
        <is>
          <t>26/05/2026 16:41:18</t>
        </is>
      </c>
    </row>
    <row r="48">
      <c r="A48" s="3" t="inlineStr">
        <is>
          <t>584209502494623120</t>
        </is>
      </c>
      <c r="B48" s="3" t="inlineStr">
        <is>
          <t>已发货</t>
        </is>
      </c>
      <c r="C48" s="3" t="inlineStr">
        <is>
          <t>C1</t>
        </is>
      </c>
      <c r="D48" s="3" t="inlineStr">
        <is>
          <t>魔芋笋1大袋</t>
        </is>
      </c>
      <c r="E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" s="3" t="inlineStr">
        <is>
          <t>รสเผ็ดหอม​, 10 ซอง 200g</t>
        </is>
      </c>
      <c r="G48" s="6" t="n">
        <v>1</v>
      </c>
      <c r="H48" s="6" t="n">
        <v>6.699999999999999</v>
      </c>
      <c r="I48" s="6" t="n">
        <v>1</v>
      </c>
      <c r="J48" s="5" t="n">
        <v>14.7</v>
      </c>
      <c r="K48" s="5" t="n">
        <v>-14.7</v>
      </c>
      <c r="L48" s="5" t="n">
        <v>-69.09</v>
      </c>
      <c r="M48" s="3" t="inlineStr">
        <is>
          <t>26/05/2026 16:09:14</t>
        </is>
      </c>
    </row>
    <row r="49">
      <c r="A49" s="3" t="inlineStr">
        <is>
          <t>584209536625181733</t>
        </is>
      </c>
      <c r="B49" s="3" t="inlineStr">
        <is>
          <t>已发货</t>
        </is>
      </c>
      <c r="C49" s="3" t="inlineStr">
        <is>
          <t>C1</t>
        </is>
      </c>
      <c r="D49" s="3" t="inlineStr">
        <is>
          <t>魔芋笋1大袋</t>
        </is>
      </c>
      <c r="E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" s="3" t="inlineStr">
        <is>
          <t>รสเผ็ดหอม​, 10 ซอง 200g</t>
        </is>
      </c>
      <c r="G49" s="6" t="n">
        <v>1</v>
      </c>
      <c r="H49" s="6" t="n">
        <v>6.699999999999999</v>
      </c>
      <c r="I49" s="6" t="n">
        <v>1</v>
      </c>
      <c r="J49" s="5" t="n">
        <v>14.7</v>
      </c>
      <c r="K49" s="5" t="n">
        <v>-14.7</v>
      </c>
      <c r="L49" s="5" t="n">
        <v>-69.09</v>
      </c>
      <c r="M49" s="3" t="inlineStr">
        <is>
          <t>26/05/2026 16:07:14</t>
        </is>
      </c>
    </row>
    <row r="50">
      <c r="A50" s="3" t="inlineStr">
        <is>
          <t>584209536565675157</t>
        </is>
      </c>
      <c r="B50" s="3" t="inlineStr">
        <is>
          <t>已发货</t>
        </is>
      </c>
      <c r="C50" s="3" t="inlineStr">
        <is>
          <t>C1</t>
        </is>
      </c>
      <c r="D50" s="3" t="inlineStr">
        <is>
          <t>魔芋笋1大袋</t>
        </is>
      </c>
      <c r="E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" s="3" t="inlineStr">
        <is>
          <t>รสเผ็ดหอม​, 10 ซอง 200g</t>
        </is>
      </c>
      <c r="G50" s="6" t="n">
        <v>1</v>
      </c>
      <c r="H50" s="6" t="n">
        <v>6.699999999999999</v>
      </c>
      <c r="I50" s="6" t="n">
        <v>1</v>
      </c>
      <c r="J50" s="5" t="n">
        <v>14.7</v>
      </c>
      <c r="K50" s="5" t="n">
        <v>-14.7</v>
      </c>
      <c r="L50" s="5" t="n">
        <v>-69.09</v>
      </c>
      <c r="M50" s="3" t="inlineStr">
        <is>
          <t>26/05/2026 16:06:12</t>
        </is>
      </c>
    </row>
    <row r="51">
      <c r="A51" s="3" t="inlineStr">
        <is>
          <t>584209386888463957</t>
        </is>
      </c>
      <c r="B51" s="3" t="inlineStr">
        <is>
          <t>已发货</t>
        </is>
      </c>
      <c r="C51" s="3" t="inlineStr">
        <is>
          <t>C1</t>
        </is>
      </c>
      <c r="D51" s="3" t="inlineStr">
        <is>
          <t>魔芋笋1大袋</t>
        </is>
      </c>
      <c r="E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" s="3" t="inlineStr">
        <is>
          <t>รสเผ็ดหอม​, 10 ซอง 200g</t>
        </is>
      </c>
      <c r="G51" s="6" t="n">
        <v>1</v>
      </c>
      <c r="H51" s="6" t="n">
        <v>6.699999999999999</v>
      </c>
      <c r="I51" s="6" t="n">
        <v>1</v>
      </c>
      <c r="J51" s="5" t="n">
        <v>14.7</v>
      </c>
      <c r="K51" s="5" t="n">
        <v>-14.7</v>
      </c>
      <c r="L51" s="5" t="n">
        <v>-69.09</v>
      </c>
      <c r="M51" s="3" t="inlineStr">
        <is>
          <t>26/05/2026 16:00:20</t>
        </is>
      </c>
    </row>
    <row r="52">
      <c r="A52" s="3" t="inlineStr">
        <is>
          <t>584209245241771109</t>
        </is>
      </c>
      <c r="B52" s="3" t="inlineStr">
        <is>
          <t>已发货</t>
        </is>
      </c>
      <c r="C52" s="3" t="inlineStr">
        <is>
          <t>C1</t>
        </is>
      </c>
      <c r="D52" s="3" t="inlineStr">
        <is>
          <t>魔芋笋1大袋</t>
        </is>
      </c>
      <c r="E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" s="3" t="inlineStr">
        <is>
          <t>รสเผ็ดหอม​, 10 ซอง 200g</t>
        </is>
      </c>
      <c r="G52" s="6" t="n">
        <v>1</v>
      </c>
      <c r="H52" s="6" t="n">
        <v>6.699999999999999</v>
      </c>
      <c r="I52" s="6" t="n">
        <v>1</v>
      </c>
      <c r="J52" s="5" t="n">
        <v>14.7</v>
      </c>
      <c r="K52" s="5" t="n">
        <v>-14.7</v>
      </c>
      <c r="L52" s="5" t="n">
        <v>-69.09</v>
      </c>
      <c r="M52" s="3" t="inlineStr">
        <is>
          <t>26/05/2026 15:46:23</t>
        </is>
      </c>
    </row>
    <row r="53">
      <c r="A53" s="3" t="inlineStr">
        <is>
          <t>584204903584793935</t>
        </is>
      </c>
      <c r="B53" s="3" t="inlineStr">
        <is>
          <t>已发货</t>
        </is>
      </c>
      <c r="C53" s="3" t="inlineStr">
        <is>
          <t>CK</t>
        </is>
      </c>
      <c r="D53" s="3" t="inlineStr">
        <is>
          <t>黑松露黑麦苏打饼干</t>
        </is>
      </c>
      <c r="E5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3" s="3" t="inlineStr">
        <is>
          <t>ค่าเริ่มต้น</t>
        </is>
      </c>
      <c r="G53" s="6" t="n">
        <v>1</v>
      </c>
      <c r="H53" s="6" t="n">
        <v>10.72665050209467</v>
      </c>
      <c r="I53" s="6" t="n">
        <v>1</v>
      </c>
      <c r="J53" s="5" t="n">
        <v>18.72665050209466</v>
      </c>
      <c r="K53" s="5" t="n">
        <v>-18.72665050209466</v>
      </c>
      <c r="L53" s="5" t="n">
        <v>-88.01525735984492</v>
      </c>
      <c r="M53" s="3" t="inlineStr">
        <is>
          <t>26/05/2026 10:40:14</t>
        </is>
      </c>
    </row>
    <row r="54">
      <c r="A54" s="3" t="inlineStr">
        <is>
          <t>584204731648869469</t>
        </is>
      </c>
      <c r="B54" s="3" t="inlineStr">
        <is>
          <t>已发货</t>
        </is>
      </c>
      <c r="C54" s="3" t="inlineStr">
        <is>
          <t>CK</t>
        </is>
      </c>
      <c r="D54" s="3" t="inlineStr">
        <is>
          <t>黑松露黑麦苏打饼干</t>
        </is>
      </c>
      <c r="E5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4" s="3" t="inlineStr">
        <is>
          <t>ค่าเริ่มต้น</t>
        </is>
      </c>
      <c r="G54" s="6" t="n">
        <v>1</v>
      </c>
      <c r="H54" s="6" t="n">
        <v>10.72665050209467</v>
      </c>
      <c r="I54" s="6" t="n">
        <v>1</v>
      </c>
      <c r="J54" s="5" t="n">
        <v>18.72665050209466</v>
      </c>
      <c r="K54" s="5" t="n">
        <v>-18.72665050209466</v>
      </c>
      <c r="L54" s="5" t="n">
        <v>-88.01525735984492</v>
      </c>
      <c r="M54" s="3" t="inlineStr">
        <is>
          <t>26/05/2026 10:17:20</t>
        </is>
      </c>
    </row>
    <row r="55">
      <c r="A55" s="3" t="inlineStr">
        <is>
          <t>584204478140614201</t>
        </is>
      </c>
      <c r="B55" s="3" t="inlineStr">
        <is>
          <t>已发货</t>
        </is>
      </c>
      <c r="C55" s="3" t="inlineStr">
        <is>
          <t>CK</t>
        </is>
      </c>
      <c r="D55" s="3" t="inlineStr">
        <is>
          <t>黑松露黑麦苏打饼干</t>
        </is>
      </c>
      <c r="E5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5" s="3" t="inlineStr">
        <is>
          <t>ค่าเริ่มต้น</t>
        </is>
      </c>
      <c r="G55" s="6" t="n">
        <v>1</v>
      </c>
      <c r="H55" s="6" t="n">
        <v>10.72665050209467</v>
      </c>
      <c r="I55" s="6" t="n">
        <v>1</v>
      </c>
      <c r="J55" s="5" t="n">
        <v>18.72665050209466</v>
      </c>
      <c r="K55" s="5" t="n">
        <v>-18.72665050209466</v>
      </c>
      <c r="L55" s="5" t="n">
        <v>-88.01525735984492</v>
      </c>
      <c r="M55" s="3" t="inlineStr">
        <is>
          <t>26/05/2026 10:07:14</t>
        </is>
      </c>
    </row>
    <row r="56">
      <c r="A56" s="3" t="inlineStr">
        <is>
          <t>584204464942319598</t>
        </is>
      </c>
      <c r="B56" s="3" t="inlineStr">
        <is>
          <t>已发货</t>
        </is>
      </c>
      <c r="C56" s="3" t="inlineStr">
        <is>
          <t>C1</t>
        </is>
      </c>
      <c r="D56" s="3" t="inlineStr">
        <is>
          <t>魔芋笋1大袋</t>
        </is>
      </c>
      <c r="E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" s="3" t="inlineStr">
        <is>
          <t>รสเผ็ดหอม​, 10 ซอง 200g</t>
        </is>
      </c>
      <c r="G56" s="6" t="n">
        <v>1</v>
      </c>
      <c r="H56" s="6" t="n">
        <v>6.699999999999999</v>
      </c>
      <c r="I56" s="6" t="n">
        <v>1</v>
      </c>
      <c r="J56" s="5" t="n">
        <v>14.7</v>
      </c>
      <c r="K56" s="5" t="n">
        <v>-14.7</v>
      </c>
      <c r="L56" s="5" t="n">
        <v>-69.09</v>
      </c>
      <c r="M56" s="3" t="inlineStr">
        <is>
          <t>26/05/2026 09:57:36</t>
        </is>
      </c>
    </row>
    <row r="57">
      <c r="A57" s="3" t="inlineStr">
        <is>
          <t>584204464720152128</t>
        </is>
      </c>
      <c r="B57" s="3" t="inlineStr">
        <is>
          <t>已发货</t>
        </is>
      </c>
      <c r="C57" s="3" t="inlineStr">
        <is>
          <t>C1</t>
        </is>
      </c>
      <c r="D57" s="3" t="inlineStr">
        <is>
          <t>魔芋笋1大袋</t>
        </is>
      </c>
      <c r="E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" s="3" t="inlineStr">
        <is>
          <t>รสเผ็ดหอม​, 10 ซอง 200g</t>
        </is>
      </c>
      <c r="G57" s="6" t="n">
        <v>1</v>
      </c>
      <c r="H57" s="6" t="n">
        <v>6.699999999999999</v>
      </c>
      <c r="I57" s="6" t="n">
        <v>1</v>
      </c>
      <c r="J57" s="5" t="n">
        <v>14.7</v>
      </c>
      <c r="K57" s="5" t="n">
        <v>-14.7</v>
      </c>
      <c r="L57" s="5" t="n">
        <v>-69.09</v>
      </c>
      <c r="M57" s="3" t="inlineStr">
        <is>
          <t>26/05/2026 09:54:26</t>
        </is>
      </c>
    </row>
    <row r="58">
      <c r="A58" s="3" t="inlineStr">
        <is>
          <t>584204304337110495</t>
        </is>
      </c>
      <c r="B58" s="3" t="inlineStr">
        <is>
          <t>已发货</t>
        </is>
      </c>
      <c r="C58" s="3" t="inlineStr">
        <is>
          <t>C1</t>
        </is>
      </c>
      <c r="D58" s="3" t="inlineStr">
        <is>
          <t>魔芋笋1大袋</t>
        </is>
      </c>
      <c r="E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" s="3" t="inlineStr">
        <is>
          <t>รสเผ็ดหอม​, 10 ซอง 200g</t>
        </is>
      </c>
      <c r="G58" s="6" t="n">
        <v>1</v>
      </c>
      <c r="H58" s="6" t="n">
        <v>6.699999999999999</v>
      </c>
      <c r="I58" s="6" t="n">
        <v>1</v>
      </c>
      <c r="J58" s="5" t="n">
        <v>14.7</v>
      </c>
      <c r="K58" s="5" t="n">
        <v>-14.7</v>
      </c>
      <c r="L58" s="5" t="n">
        <v>-69.09</v>
      </c>
      <c r="M58" s="3" t="inlineStr">
        <is>
          <t>26/05/2026 09:49:38</t>
        </is>
      </c>
    </row>
    <row r="59">
      <c r="A59" s="3" t="inlineStr">
        <is>
          <t>584204085171815443</t>
        </is>
      </c>
      <c r="B59" s="3" t="inlineStr">
        <is>
          <t>已发货</t>
        </is>
      </c>
      <c r="C59" s="3" t="inlineStr">
        <is>
          <t>C1</t>
        </is>
      </c>
      <c r="D59" s="3" t="inlineStr">
        <is>
          <t>魔芋笋1大袋</t>
        </is>
      </c>
      <c r="E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" s="3" t="inlineStr">
        <is>
          <t>รสเผ็ดหอม​, 10 ซอง 200g</t>
        </is>
      </c>
      <c r="G59" s="6" t="n">
        <v>1</v>
      </c>
      <c r="H59" s="6" t="n">
        <v>6.699999999999999</v>
      </c>
      <c r="I59" s="6" t="n">
        <v>1</v>
      </c>
      <c r="J59" s="5" t="n">
        <v>14.7</v>
      </c>
      <c r="K59" s="5" t="n">
        <v>-14.7</v>
      </c>
      <c r="L59" s="5" t="n">
        <v>-69.09</v>
      </c>
      <c r="M59" s="3" t="inlineStr">
        <is>
          <t>26/05/2026 09:29:11</t>
        </is>
      </c>
    </row>
    <row r="60">
      <c r="A60" s="3" t="inlineStr">
        <is>
          <t>584204095859098654</t>
        </is>
      </c>
      <c r="B60" s="3" t="inlineStr">
        <is>
          <t>已发货</t>
        </is>
      </c>
      <c r="C60" s="3" t="inlineStr">
        <is>
          <t>C1</t>
        </is>
      </c>
      <c r="D60" s="3" t="inlineStr">
        <is>
          <t>魔芋笋1大袋</t>
        </is>
      </c>
      <c r="E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" s="3" t="inlineStr">
        <is>
          <t>รสเผ็ดหอม​, 10 ซอง 200g</t>
        </is>
      </c>
      <c r="G60" s="6" t="n">
        <v>1</v>
      </c>
      <c r="H60" s="6" t="n">
        <v>6.699999999999999</v>
      </c>
      <c r="I60" s="6" t="n">
        <v>1</v>
      </c>
      <c r="J60" s="5" t="n">
        <v>14.7</v>
      </c>
      <c r="K60" s="5" t="n">
        <v>-14.7</v>
      </c>
      <c r="L60" s="5" t="n">
        <v>-69.09</v>
      </c>
      <c r="M60" s="3" t="inlineStr">
        <is>
          <t>26/05/2026 09:27:29</t>
        </is>
      </c>
    </row>
    <row r="61">
      <c r="A61" s="3" t="inlineStr">
        <is>
          <t>584204095598331047</t>
        </is>
      </c>
      <c r="B61" s="3" t="inlineStr">
        <is>
          <t>已发货</t>
        </is>
      </c>
      <c r="C61" s="3" t="inlineStr">
        <is>
          <t>C1</t>
        </is>
      </c>
      <c r="D61" s="3" t="inlineStr">
        <is>
          <t>魔芋笋1大袋</t>
        </is>
      </c>
      <c r="E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" s="3" t="inlineStr">
        <is>
          <t>รสเผ็ดหอม​, 10 ซอง 200g</t>
        </is>
      </c>
      <c r="G61" s="6" t="n">
        <v>1</v>
      </c>
      <c r="H61" s="6" t="n">
        <v>6.699999999999999</v>
      </c>
      <c r="I61" s="6" t="n">
        <v>1</v>
      </c>
      <c r="J61" s="5" t="n">
        <v>14.7</v>
      </c>
      <c r="K61" s="5" t="n">
        <v>-14.7</v>
      </c>
      <c r="L61" s="5" t="n">
        <v>-69.09</v>
      </c>
      <c r="M61" s="3" t="inlineStr">
        <is>
          <t>26/05/2026 09:23:24</t>
        </is>
      </c>
    </row>
    <row r="62">
      <c r="A62" s="3" t="inlineStr">
        <is>
          <t>584203968752617206</t>
        </is>
      </c>
      <c r="B62" s="3" t="inlineStr">
        <is>
          <t>已发货</t>
        </is>
      </c>
      <c r="C62" s="3" t="inlineStr">
        <is>
          <t>CK</t>
        </is>
      </c>
      <c r="D62" s="3" t="inlineStr">
        <is>
          <t>黑松露黑麦苏打饼干</t>
        </is>
      </c>
      <c r="E6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2" s="3" t="inlineStr">
        <is>
          <t>ค่าเริ่มต้น</t>
        </is>
      </c>
      <c r="G62" s="6" t="n">
        <v>1</v>
      </c>
      <c r="H62" s="6" t="n">
        <v>10.72665050209467</v>
      </c>
      <c r="I62" s="6" t="n">
        <v>1</v>
      </c>
      <c r="J62" s="5" t="n">
        <v>18.72665050209466</v>
      </c>
      <c r="K62" s="5" t="n">
        <v>-18.72665050209466</v>
      </c>
      <c r="L62" s="5" t="n">
        <v>-88.01525735984492</v>
      </c>
      <c r="M62" s="3" t="inlineStr">
        <is>
          <t>26/05/2026 09:17:26</t>
        </is>
      </c>
    </row>
    <row r="63">
      <c r="A63" s="3" t="inlineStr">
        <is>
          <t>584203893213070720</t>
        </is>
      </c>
      <c r="B63" s="3" t="inlineStr">
        <is>
          <t>已发货</t>
        </is>
      </c>
      <c r="C63" s="3" t="inlineStr">
        <is>
          <t>C1</t>
        </is>
      </c>
      <c r="D63" s="3" t="inlineStr">
        <is>
          <t>魔芋笋1大袋</t>
        </is>
      </c>
      <c r="E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" s="3" t="inlineStr">
        <is>
          <t>รสเผ็ดหอม​, 10 ซอง 200g</t>
        </is>
      </c>
      <c r="G63" s="6" t="n">
        <v>1</v>
      </c>
      <c r="H63" s="6" t="n">
        <v>6.699999999999999</v>
      </c>
      <c r="I63" s="6" t="n">
        <v>1</v>
      </c>
      <c r="J63" s="5" t="n">
        <v>14.7</v>
      </c>
      <c r="K63" s="5" t="n">
        <v>-14.7</v>
      </c>
      <c r="L63" s="5" t="n">
        <v>-69.09</v>
      </c>
      <c r="M63" s="3" t="inlineStr">
        <is>
          <t>26/05/2026 09:14:16</t>
        </is>
      </c>
    </row>
    <row r="64">
      <c r="A64" s="3" t="inlineStr">
        <is>
          <t>584193792955286760</t>
        </is>
      </c>
      <c r="B64" s="3" t="inlineStr">
        <is>
          <t>已发货</t>
        </is>
      </c>
      <c r="C64" s="3" t="inlineStr">
        <is>
          <t>C1</t>
        </is>
      </c>
      <c r="D64" s="3" t="inlineStr">
        <is>
          <t>魔芋笋1大袋</t>
        </is>
      </c>
      <c r="E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" s="3" t="inlineStr">
        <is>
          <t>รสเผ็ดหอม​, 10 ซอง 200g</t>
        </is>
      </c>
      <c r="G64" s="6" t="n">
        <v>1</v>
      </c>
      <c r="H64" s="6" t="n">
        <v>6.699999999999999</v>
      </c>
      <c r="I64" s="6" t="n">
        <v>1</v>
      </c>
      <c r="J64" s="5" t="n">
        <v>14.7</v>
      </c>
      <c r="K64" s="5" t="n">
        <v>-14.7</v>
      </c>
      <c r="L64" s="5" t="n">
        <v>-69.09</v>
      </c>
      <c r="M64" s="3" t="inlineStr">
        <is>
          <t>25/05/2026 16:25:16</t>
        </is>
      </c>
    </row>
    <row r="65">
      <c r="A65" s="3" t="inlineStr">
        <is>
          <t>584193503605393331</t>
        </is>
      </c>
      <c r="B65" s="3" t="inlineStr">
        <is>
          <t>已发货</t>
        </is>
      </c>
      <c r="C65" s="3" t="inlineStr">
        <is>
          <t>C1</t>
        </is>
      </c>
      <c r="D65" s="3" t="inlineStr">
        <is>
          <t>魔芋笋1大袋</t>
        </is>
      </c>
      <c r="E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" s="3" t="inlineStr">
        <is>
          <t>รสเผ็ดหอม​, 10 ซอง 200g</t>
        </is>
      </c>
      <c r="G65" s="6" t="n">
        <v>1</v>
      </c>
      <c r="H65" s="6" t="n">
        <v>6.699999999999999</v>
      </c>
      <c r="I65" s="6" t="n">
        <v>1</v>
      </c>
      <c r="J65" s="5" t="n">
        <v>14.7</v>
      </c>
      <c r="K65" s="5" t="n">
        <v>-14.7</v>
      </c>
      <c r="L65" s="5" t="n">
        <v>-69.09</v>
      </c>
      <c r="M65" s="3" t="inlineStr">
        <is>
          <t>25/05/2026 16:06:25</t>
        </is>
      </c>
    </row>
    <row r="66">
      <c r="A66" s="3" t="inlineStr">
        <is>
          <t>584193362718393846</t>
        </is>
      </c>
      <c r="B66" s="3" t="inlineStr">
        <is>
          <t>已发货</t>
        </is>
      </c>
      <c r="C66" s="3" t="inlineStr">
        <is>
          <t>C1</t>
        </is>
      </c>
      <c r="D66" s="3" t="inlineStr">
        <is>
          <t>魔芋笋1大袋</t>
        </is>
      </c>
      <c r="E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" s="3" t="inlineStr">
        <is>
          <t>รสเผ็ดหอม​, 10 ซอง 200g</t>
        </is>
      </c>
      <c r="G66" s="6" t="n">
        <v>1</v>
      </c>
      <c r="H66" s="6" t="n">
        <v>6.699999999999999</v>
      </c>
      <c r="I66" s="6" t="n">
        <v>1</v>
      </c>
      <c r="J66" s="5" t="n">
        <v>14.7</v>
      </c>
      <c r="K66" s="5" t="n">
        <v>-14.7</v>
      </c>
      <c r="L66" s="5" t="n">
        <v>-69.09</v>
      </c>
      <c r="M66" s="3" t="inlineStr">
        <is>
          <t>25/05/2026 16:02:16</t>
        </is>
      </c>
    </row>
    <row r="67">
      <c r="A67" s="3" t="inlineStr">
        <is>
          <t>584193503337022997</t>
        </is>
      </c>
      <c r="B67" s="3" t="inlineStr">
        <is>
          <t>已发货</t>
        </is>
      </c>
      <c r="C67" s="3" t="inlineStr">
        <is>
          <t>C1</t>
        </is>
      </c>
      <c r="D67" s="3" t="inlineStr">
        <is>
          <t>魔芋笋1大袋</t>
        </is>
      </c>
      <c r="E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" s="3" t="inlineStr">
        <is>
          <t>รสเผ็ดหอม​, 10 ซอง 200g</t>
        </is>
      </c>
      <c r="G67" s="6" t="n">
        <v>1</v>
      </c>
      <c r="H67" s="6" t="n">
        <v>6.699999999999999</v>
      </c>
      <c r="I67" s="6" t="n">
        <v>1</v>
      </c>
      <c r="J67" s="5" t="n">
        <v>14.7</v>
      </c>
      <c r="K67" s="5" t="n">
        <v>-14.7</v>
      </c>
      <c r="L67" s="5" t="n">
        <v>-69.09</v>
      </c>
      <c r="M67" s="3" t="inlineStr">
        <is>
          <t>25/05/2026 16:01:27</t>
        </is>
      </c>
    </row>
    <row r="68">
      <c r="A68" s="3" t="inlineStr">
        <is>
          <t>584191758972913525</t>
        </is>
      </c>
      <c r="B68" s="3" t="inlineStr">
        <is>
          <t>已发货</t>
        </is>
      </c>
      <c r="C68" s="3" t="inlineStr">
        <is>
          <t>CK</t>
        </is>
      </c>
      <c r="D68" s="3" t="inlineStr">
        <is>
          <t>黑松露黑麦苏打饼干</t>
        </is>
      </c>
      <c r="E6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8" s="3" t="inlineStr">
        <is>
          <t>ค่าเริ่มต้น</t>
        </is>
      </c>
      <c r="G68" s="6" t="n">
        <v>1</v>
      </c>
      <c r="H68" s="6" t="n">
        <v>10.72665050209467</v>
      </c>
      <c r="I68" s="6" t="n">
        <v>1</v>
      </c>
      <c r="J68" s="5" t="n">
        <v>18.72665050209466</v>
      </c>
      <c r="K68" s="5" t="n">
        <v>-18.72665050209466</v>
      </c>
      <c r="L68" s="5" t="n">
        <v>-88.01525735984492</v>
      </c>
      <c r="M68" s="3" t="inlineStr">
        <is>
          <t>25/05/2026 13:54:24</t>
        </is>
      </c>
    </row>
    <row r="69">
      <c r="A69" s="3" t="inlineStr">
        <is>
          <t>584189157781112477</t>
        </is>
      </c>
      <c r="B69" s="3" t="inlineStr">
        <is>
          <t>已发货</t>
        </is>
      </c>
      <c r="C69" s="3" t="inlineStr">
        <is>
          <t>CK</t>
        </is>
      </c>
      <c r="D69" s="3" t="inlineStr">
        <is>
          <t>黑松露黑麦苏打饼干</t>
        </is>
      </c>
      <c r="E6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9" s="3" t="inlineStr">
        <is>
          <t>ค่าเริ่มต้น</t>
        </is>
      </c>
      <c r="G69" s="6" t="n">
        <v>1</v>
      </c>
      <c r="H69" s="6" t="n">
        <v>10.72665050209467</v>
      </c>
      <c r="I69" s="6" t="n">
        <v>1</v>
      </c>
      <c r="J69" s="5" t="n">
        <v>18.72665050209466</v>
      </c>
      <c r="K69" s="5" t="n">
        <v>-18.72665050209466</v>
      </c>
      <c r="L69" s="5" t="n">
        <v>-88.01525735984492</v>
      </c>
      <c r="M69" s="3" t="inlineStr">
        <is>
          <t>25/05/2026 10:49:18</t>
        </is>
      </c>
    </row>
    <row r="70">
      <c r="A70" s="3" t="inlineStr">
        <is>
          <t>584189044638320106</t>
        </is>
      </c>
      <c r="B70" s="3" t="inlineStr">
        <is>
          <t>已发货</t>
        </is>
      </c>
      <c r="C70" s="3" t="inlineStr">
        <is>
          <t>CK</t>
        </is>
      </c>
      <c r="D70" s="3" t="inlineStr">
        <is>
          <t>黑松露黑麦苏打饼干</t>
        </is>
      </c>
      <c r="E7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0" s="3" t="inlineStr">
        <is>
          <t>ค่าเริ่มต้น</t>
        </is>
      </c>
      <c r="G70" s="6" t="n">
        <v>1</v>
      </c>
      <c r="H70" s="6" t="n">
        <v>10.72665050209467</v>
      </c>
      <c r="I70" s="6" t="n">
        <v>1</v>
      </c>
      <c r="J70" s="5" t="n">
        <v>18.72665050209466</v>
      </c>
      <c r="K70" s="5" t="n">
        <v>-18.72665050209466</v>
      </c>
      <c r="L70" s="5" t="n">
        <v>-88.01525735984492</v>
      </c>
      <c r="M70" s="3" t="inlineStr">
        <is>
          <t>25/05/2026 10:35:15</t>
        </is>
      </c>
    </row>
    <row r="71">
      <c r="A71" s="3" t="inlineStr">
        <is>
          <t>584188882459984999</t>
        </is>
      </c>
      <c r="B71" s="3" t="inlineStr">
        <is>
          <t>已发货</t>
        </is>
      </c>
      <c r="C71" s="3" t="inlineStr">
        <is>
          <t>C1</t>
        </is>
      </c>
      <c r="D71" s="3" t="inlineStr">
        <is>
          <t>魔芋笋1大袋</t>
        </is>
      </c>
      <c r="E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" s="3" t="inlineStr">
        <is>
          <t>รสเผ็ดหอม​, 10 ซอง 200g</t>
        </is>
      </c>
      <c r="G71" s="6" t="n">
        <v>1</v>
      </c>
      <c r="H71" s="6" t="n">
        <v>6.699999999999999</v>
      </c>
      <c r="I71" s="6" t="n">
        <v>1</v>
      </c>
      <c r="J71" s="5" t="n">
        <v>14.7</v>
      </c>
      <c r="K71" s="5" t="n">
        <v>-14.7</v>
      </c>
      <c r="L71" s="5" t="n">
        <v>-69.09</v>
      </c>
      <c r="M71" s="3" t="inlineStr">
        <is>
          <t>25/05/2026 10:30:32</t>
        </is>
      </c>
    </row>
    <row r="72">
      <c r="A72" s="3" t="inlineStr">
        <is>
          <t>584188747611145514</t>
        </is>
      </c>
      <c r="B72" s="3" t="inlineStr">
        <is>
          <t>已发货</t>
        </is>
      </c>
      <c r="C72" s="3" t="inlineStr">
        <is>
          <t>C1</t>
        </is>
      </c>
      <c r="D72" s="3" t="inlineStr">
        <is>
          <t>魔芋笋1大袋</t>
        </is>
      </c>
      <c r="E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" s="3" t="inlineStr">
        <is>
          <t>รสเผ็ดหอม​, 10 ซอง 200g</t>
        </is>
      </c>
      <c r="G72" s="6" t="n">
        <v>1</v>
      </c>
      <c r="H72" s="6" t="n">
        <v>6.699999999999999</v>
      </c>
      <c r="I72" s="6" t="n">
        <v>1</v>
      </c>
      <c r="J72" s="5" t="n">
        <v>14.7</v>
      </c>
      <c r="K72" s="5" t="n">
        <v>-14.7</v>
      </c>
      <c r="L72" s="5" t="n">
        <v>-69.09</v>
      </c>
      <c r="M72" s="3" t="inlineStr">
        <is>
          <t>25/05/2026 10:23:18</t>
        </is>
      </c>
    </row>
    <row r="73">
      <c r="A73" s="3" t="inlineStr">
        <is>
          <t>584188747576149070</t>
        </is>
      </c>
      <c r="B73" s="3" t="inlineStr">
        <is>
          <t>已发货</t>
        </is>
      </c>
      <c r="C73" s="3" t="inlineStr">
        <is>
          <t>C1</t>
        </is>
      </c>
      <c r="D73" s="3" t="inlineStr">
        <is>
          <t>魔芋笋1大袋</t>
        </is>
      </c>
      <c r="E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" s="3" t="inlineStr">
        <is>
          <t>รสเผ็ดหอม​, 10 ซอง 200g</t>
        </is>
      </c>
      <c r="G73" s="6" t="n">
        <v>1</v>
      </c>
      <c r="H73" s="6" t="n">
        <v>6.699999999999999</v>
      </c>
      <c r="I73" s="6" t="n">
        <v>1</v>
      </c>
      <c r="J73" s="5" t="n">
        <v>14.7</v>
      </c>
      <c r="K73" s="5" t="n">
        <v>-14.7</v>
      </c>
      <c r="L73" s="5" t="n">
        <v>-69.09</v>
      </c>
      <c r="M73" s="3" t="inlineStr">
        <is>
          <t>25/05/2026 10:22:20</t>
        </is>
      </c>
    </row>
    <row r="74">
      <c r="A74" s="3" t="inlineStr">
        <is>
          <t>584188831191958840</t>
        </is>
      </c>
      <c r="B74" s="3" t="inlineStr">
        <is>
          <t>已发货</t>
        </is>
      </c>
      <c r="C74" s="3" t="inlineStr">
        <is>
          <t>C1</t>
        </is>
      </c>
      <c r="D74" s="3" t="inlineStr">
        <is>
          <t>魔芋笋1大袋</t>
        </is>
      </c>
      <c r="E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" s="3" t="inlineStr">
        <is>
          <t>รสเผ็ดหอม​, 10 ซอง 200g</t>
        </is>
      </c>
      <c r="G74" s="6" t="n">
        <v>1</v>
      </c>
      <c r="H74" s="6" t="n">
        <v>6.699999999999999</v>
      </c>
      <c r="I74" s="6" t="n">
        <v>1</v>
      </c>
      <c r="J74" s="5" t="n">
        <v>14.7</v>
      </c>
      <c r="K74" s="5" t="n">
        <v>-14.7</v>
      </c>
      <c r="L74" s="5" t="n">
        <v>-69.09</v>
      </c>
      <c r="M74" s="3" t="inlineStr">
        <is>
          <t>25/05/2026 10:21:35</t>
        </is>
      </c>
    </row>
    <row r="75">
      <c r="A75" s="3" t="inlineStr">
        <is>
          <t>584188719754937666</t>
        </is>
      </c>
      <c r="B75" s="3" t="inlineStr">
        <is>
          <t>已发货</t>
        </is>
      </c>
      <c r="C75" s="3" t="inlineStr">
        <is>
          <t>C1</t>
        </is>
      </c>
      <c r="D75" s="3" t="inlineStr">
        <is>
          <t>魔芋笋1大袋</t>
        </is>
      </c>
      <c r="E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" s="3" t="inlineStr">
        <is>
          <t>รสเผ็ดหอม​, 10 ซอง 200g</t>
        </is>
      </c>
      <c r="G75" s="6" t="n">
        <v>1</v>
      </c>
      <c r="H75" s="6" t="n">
        <v>6.699999999999999</v>
      </c>
      <c r="I75" s="6" t="n">
        <v>1</v>
      </c>
      <c r="J75" s="5" t="n">
        <v>14.7</v>
      </c>
      <c r="K75" s="5" t="n">
        <v>-14.7</v>
      </c>
      <c r="L75" s="5" t="n">
        <v>-69.09</v>
      </c>
      <c r="M75" s="3" t="inlineStr">
        <is>
          <t>25/05/2026 10:13:29</t>
        </is>
      </c>
    </row>
    <row r="76">
      <c r="A76" s="3" t="inlineStr">
        <is>
          <t>584188587744265612</t>
        </is>
      </c>
      <c r="B76" s="3" t="inlineStr">
        <is>
          <t>已发货</t>
        </is>
      </c>
      <c r="C76" s="3" t="inlineStr">
        <is>
          <t>C1</t>
        </is>
      </c>
      <c r="D76" s="3" t="inlineStr">
        <is>
          <t>魔芋笋1大袋</t>
        </is>
      </c>
      <c r="E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" s="3" t="inlineStr">
        <is>
          <t>รสเผ็ดหอม​, 10 ซอง 200g</t>
        </is>
      </c>
      <c r="G76" s="6" t="n">
        <v>1</v>
      </c>
      <c r="H76" s="6" t="n">
        <v>6.699999999999999</v>
      </c>
      <c r="I76" s="6" t="n">
        <v>1</v>
      </c>
      <c r="J76" s="5" t="n">
        <v>14.7</v>
      </c>
      <c r="K76" s="5" t="n">
        <v>-14.7</v>
      </c>
      <c r="L76" s="5" t="n">
        <v>-69.09</v>
      </c>
      <c r="M76" s="3" t="inlineStr">
        <is>
          <t>25/05/2026 10:10:33</t>
        </is>
      </c>
    </row>
    <row r="77">
      <c r="A77" s="3" t="inlineStr">
        <is>
          <t>584188585937831299</t>
        </is>
      </c>
      <c r="B77" s="3" t="inlineStr">
        <is>
          <t>已发货</t>
        </is>
      </c>
      <c r="C77" s="3" t="inlineStr">
        <is>
          <t>CK</t>
        </is>
      </c>
      <c r="D77" s="3" t="inlineStr">
        <is>
          <t>黑松露黑麦苏打饼干</t>
        </is>
      </c>
      <c r="E7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7" s="3" t="inlineStr">
        <is>
          <t>ค่าเริ่มต้น</t>
        </is>
      </c>
      <c r="G77" s="6" t="n">
        <v>1</v>
      </c>
      <c r="H77" s="6" t="n">
        <v>10.72665050209467</v>
      </c>
      <c r="I77" s="6" t="n">
        <v>1</v>
      </c>
      <c r="J77" s="5" t="n">
        <v>18.72665050209466</v>
      </c>
      <c r="K77" s="5" t="n">
        <v>-18.72665050209466</v>
      </c>
      <c r="L77" s="5" t="n">
        <v>-88.01525735984492</v>
      </c>
      <c r="M77" s="3" t="inlineStr">
        <is>
          <t>25/05/2026 10:05:22</t>
        </is>
      </c>
    </row>
    <row r="78">
      <c r="A78" s="3" t="inlineStr">
        <is>
          <t>584188308582729546</t>
        </is>
      </c>
      <c r="B78" s="3" t="inlineStr">
        <is>
          <t>已发货</t>
        </is>
      </c>
      <c r="C78" s="3" t="inlineStr">
        <is>
          <t>C1</t>
        </is>
      </c>
      <c r="D78" s="3" t="inlineStr">
        <is>
          <t>魔芋笋1大袋</t>
        </is>
      </c>
      <c r="E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" s="3" t="inlineStr">
        <is>
          <t>รสเผ็ดหอม​, 10 ซอง 200g</t>
        </is>
      </c>
      <c r="G78" s="6" t="n">
        <v>1</v>
      </c>
      <c r="H78" s="6" t="n">
        <v>6.699999999999999</v>
      </c>
      <c r="I78" s="6" t="n">
        <v>1</v>
      </c>
      <c r="J78" s="5" t="n">
        <v>14.7</v>
      </c>
      <c r="K78" s="5" t="n">
        <v>-14.7</v>
      </c>
      <c r="L78" s="5" t="n">
        <v>-69.09</v>
      </c>
      <c r="M78" s="3" t="inlineStr">
        <is>
          <t>25/05/2026 09:52:39</t>
        </is>
      </c>
    </row>
    <row r="79">
      <c r="A79" s="3" t="inlineStr">
        <is>
          <t>584188401421354569</t>
        </is>
      </c>
      <c r="B79" s="3" t="inlineStr">
        <is>
          <t>已发货</t>
        </is>
      </c>
      <c r="C79" s="3" t="inlineStr">
        <is>
          <t>C1</t>
        </is>
      </c>
      <c r="D79" s="3" t="inlineStr">
        <is>
          <t>魔芋笋1大袋</t>
        </is>
      </c>
      <c r="E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" s="3" t="inlineStr">
        <is>
          <t>รสเผ็ดหอม​, 10 ซอง 200g</t>
        </is>
      </c>
      <c r="G79" s="6" t="n">
        <v>1</v>
      </c>
      <c r="H79" s="6" t="n">
        <v>6.699999999999999</v>
      </c>
      <c r="I79" s="6" t="n">
        <v>1</v>
      </c>
      <c r="J79" s="5" t="n">
        <v>14.7</v>
      </c>
      <c r="K79" s="5" t="n">
        <v>-14.7</v>
      </c>
      <c r="L79" s="5" t="n">
        <v>-69.09</v>
      </c>
      <c r="M79" s="3" t="inlineStr">
        <is>
          <t>25/05/2026 09:52:29</t>
        </is>
      </c>
    </row>
    <row r="80">
      <c r="A80" s="3" t="inlineStr">
        <is>
          <t>584188194557363635</t>
        </is>
      </c>
      <c r="B80" s="3" t="inlineStr">
        <is>
          <t>已发货</t>
        </is>
      </c>
      <c r="C80" s="3" t="inlineStr">
        <is>
          <t>C1</t>
        </is>
      </c>
      <c r="D80" s="3" t="inlineStr">
        <is>
          <t>魔芋笋1大袋</t>
        </is>
      </c>
      <c r="E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" s="3" t="inlineStr">
        <is>
          <t>รสเผ็ดหอม​, 10 ซอง 200g</t>
        </is>
      </c>
      <c r="G80" s="6" t="n">
        <v>1</v>
      </c>
      <c r="H80" s="6" t="n">
        <v>6.699999999999999</v>
      </c>
      <c r="I80" s="6" t="n">
        <v>1</v>
      </c>
      <c r="J80" s="5" t="n">
        <v>14.7</v>
      </c>
      <c r="K80" s="5" t="n">
        <v>-14.7</v>
      </c>
      <c r="L80" s="5" t="n">
        <v>-69.09</v>
      </c>
      <c r="M80" s="3" t="inlineStr">
        <is>
          <t>25/05/2026 09:39:29</t>
        </is>
      </c>
    </row>
    <row r="81">
      <c r="A81" s="3" t="inlineStr">
        <is>
          <t>584162655251498301</t>
        </is>
      </c>
      <c r="B81" s="3" t="inlineStr">
        <is>
          <t>已发货</t>
        </is>
      </c>
      <c r="C81" s="3" t="inlineStr">
        <is>
          <t>C1</t>
        </is>
      </c>
      <c r="D81" s="3" t="inlineStr">
        <is>
          <t>魔芋笋1大袋</t>
        </is>
      </c>
      <c r="E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" s="3" t="inlineStr">
        <is>
          <t>รสเผ็ดหอม​, 10 ซอง 200g</t>
        </is>
      </c>
      <c r="G81" s="6" t="n">
        <v>1</v>
      </c>
      <c r="H81" s="6" t="n">
        <v>6.699999999999999</v>
      </c>
      <c r="I81" s="6" t="n">
        <v>1</v>
      </c>
      <c r="J81" s="5" t="n">
        <v>14.7</v>
      </c>
      <c r="K81" s="5" t="n">
        <v>-14.7</v>
      </c>
      <c r="L81" s="5" t="n">
        <v>-69.09</v>
      </c>
      <c r="M81" s="3" t="inlineStr">
        <is>
          <t>23/05/2026 17:01:18</t>
        </is>
      </c>
    </row>
    <row r="82">
      <c r="A82" s="3" t="inlineStr">
        <is>
          <t>584162481202628161</t>
        </is>
      </c>
      <c r="B82" s="3" t="inlineStr">
        <is>
          <t>已发货</t>
        </is>
      </c>
      <c r="C82" s="3" t="inlineStr">
        <is>
          <t>C1</t>
        </is>
      </c>
      <c r="D82" s="3" t="inlineStr">
        <is>
          <t>魔芋笋1大袋</t>
        </is>
      </c>
      <c r="E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" s="3" t="inlineStr">
        <is>
          <t>รสเผ็ดหอม​, 10 ซอง 200g</t>
        </is>
      </c>
      <c r="G82" s="6" t="n">
        <v>1</v>
      </c>
      <c r="H82" s="6" t="n">
        <v>6.699999999999999</v>
      </c>
      <c r="I82" s="6" t="n">
        <v>1</v>
      </c>
      <c r="J82" s="5" t="n">
        <v>14.7</v>
      </c>
      <c r="K82" s="5" t="n">
        <v>-14.7</v>
      </c>
      <c r="L82" s="5" t="n">
        <v>-69.09</v>
      </c>
      <c r="M82" s="3" t="inlineStr">
        <is>
          <t>23/05/2026 16:57:18</t>
        </is>
      </c>
    </row>
    <row r="83">
      <c r="A83" s="3" t="inlineStr">
        <is>
          <t>584162456051288046</t>
        </is>
      </c>
      <c r="B83" s="3" t="inlineStr">
        <is>
          <t>已发货</t>
        </is>
      </c>
      <c r="C83" s="3" t="inlineStr">
        <is>
          <t>CK</t>
        </is>
      </c>
      <c r="D83" s="3" t="inlineStr">
        <is>
          <t>黑松露黑麦苏打饼干</t>
        </is>
      </c>
      <c r="E8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83" s="3" t="inlineStr">
        <is>
          <t>ค่าเริ่มต้น</t>
        </is>
      </c>
      <c r="G83" s="6" t="n">
        <v>1</v>
      </c>
      <c r="H83" s="6" t="n">
        <v>10.72665050209467</v>
      </c>
      <c r="I83" s="6" t="n">
        <v>1</v>
      </c>
      <c r="J83" s="5" t="n">
        <v>18.72665050209466</v>
      </c>
      <c r="K83" s="5" t="n">
        <v>-18.72665050209466</v>
      </c>
      <c r="L83" s="5" t="n">
        <v>-88.01525735984492</v>
      </c>
      <c r="M83" s="3" t="inlineStr">
        <is>
          <t>23/05/2026 16:48:12</t>
        </is>
      </c>
    </row>
    <row r="84">
      <c r="A84" s="3" t="inlineStr">
        <is>
          <t>584162282605741142</t>
        </is>
      </c>
      <c r="B84" s="3" t="inlineStr">
        <is>
          <t>已发货</t>
        </is>
      </c>
      <c r="C84" s="3" t="inlineStr">
        <is>
          <t>C1</t>
        </is>
      </c>
      <c r="D84" s="3" t="inlineStr">
        <is>
          <t>魔芋笋1大袋</t>
        </is>
      </c>
      <c r="E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" s="3" t="inlineStr">
        <is>
          <t>รสเผ็ดหอม​, 10 ซอง 200g</t>
        </is>
      </c>
      <c r="G84" s="6" t="n">
        <v>1</v>
      </c>
      <c r="H84" s="6" t="n">
        <v>6.699999999999999</v>
      </c>
      <c r="I84" s="6" t="n">
        <v>1</v>
      </c>
      <c r="J84" s="5" t="n">
        <v>14.7</v>
      </c>
      <c r="K84" s="5" t="n">
        <v>-14.7</v>
      </c>
      <c r="L84" s="5" t="n">
        <v>-69.09</v>
      </c>
      <c r="M84" s="3" t="inlineStr">
        <is>
          <t>23/05/2026 16:37:12</t>
        </is>
      </c>
    </row>
    <row r="85">
      <c r="A85" s="3" t="inlineStr">
        <is>
          <t>584162247685015266</t>
        </is>
      </c>
      <c r="B85" s="3" t="inlineStr">
        <is>
          <t>已发货</t>
        </is>
      </c>
      <c r="C85" s="3" t="inlineStr">
        <is>
          <t>C1</t>
        </is>
      </c>
      <c r="D85" s="3" t="inlineStr">
        <is>
          <t>魔芋笋1大袋</t>
        </is>
      </c>
      <c r="E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" s="3" t="inlineStr">
        <is>
          <t>รสเผ็ดหอม​, 10 ซอง 200g</t>
        </is>
      </c>
      <c r="G85" s="6" t="n">
        <v>1</v>
      </c>
      <c r="H85" s="6" t="n">
        <v>6.699999999999999</v>
      </c>
      <c r="I85" s="6" t="n">
        <v>1</v>
      </c>
      <c r="J85" s="5" t="n">
        <v>14.7</v>
      </c>
      <c r="K85" s="5" t="n">
        <v>-14.7</v>
      </c>
      <c r="L85" s="5" t="n">
        <v>-69.09</v>
      </c>
      <c r="M85" s="3" t="inlineStr">
        <is>
          <t>23/05/2026 16:34:12</t>
        </is>
      </c>
    </row>
    <row r="86">
      <c r="A86" s="3" t="inlineStr">
        <is>
          <t>584162106724549683</t>
        </is>
      </c>
      <c r="B86" s="3" t="inlineStr">
        <is>
          <t>已发货</t>
        </is>
      </c>
      <c r="C86" s="3" t="inlineStr">
        <is>
          <t>C1</t>
        </is>
      </c>
      <c r="D86" s="3" t="inlineStr">
        <is>
          <t>魔芋笋1大袋</t>
        </is>
      </c>
      <c r="E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" s="3" t="inlineStr">
        <is>
          <t>รสเผ็ดหอม​, 10 ซอง 200g</t>
        </is>
      </c>
      <c r="G86" s="6" t="n">
        <v>1</v>
      </c>
      <c r="H86" s="6" t="n">
        <v>6.699999999999999</v>
      </c>
      <c r="I86" s="6" t="n">
        <v>1</v>
      </c>
      <c r="J86" s="5" t="n">
        <v>14.7</v>
      </c>
      <c r="K86" s="5" t="n">
        <v>-14.7</v>
      </c>
      <c r="L86" s="5" t="n">
        <v>-69.09</v>
      </c>
      <c r="M86" s="3" t="inlineStr">
        <is>
          <t>23/05/2026 16:17:15</t>
        </is>
      </c>
    </row>
    <row r="87">
      <c r="A87" s="3" t="inlineStr">
        <is>
          <t>584161927580714791</t>
        </is>
      </c>
      <c r="B87" s="3" t="inlineStr">
        <is>
          <t>已发货</t>
        </is>
      </c>
      <c r="C87" s="3" t="inlineStr">
        <is>
          <t>C1</t>
        </is>
      </c>
      <c r="D87" s="3" t="inlineStr">
        <is>
          <t>魔芋笋1大袋</t>
        </is>
      </c>
      <c r="E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" s="3" t="inlineStr">
        <is>
          <t>รสเผ็ดหอม​, 10 ซอง 200g</t>
        </is>
      </c>
      <c r="G87" s="6" t="n">
        <v>1</v>
      </c>
      <c r="H87" s="6" t="n">
        <v>6.699999999999999</v>
      </c>
      <c r="I87" s="6" t="n">
        <v>1</v>
      </c>
      <c r="J87" s="5" t="n">
        <v>14.7</v>
      </c>
      <c r="K87" s="5" t="n">
        <v>-14.7</v>
      </c>
      <c r="L87" s="5" t="n">
        <v>-69.09</v>
      </c>
      <c r="M87" s="3" t="inlineStr">
        <is>
          <t>23/05/2026 16:12:13</t>
        </is>
      </c>
    </row>
    <row r="88">
      <c r="A88" s="3" t="inlineStr">
        <is>
          <t>584161265058940059</t>
        </is>
      </c>
      <c r="B88" s="3" t="inlineStr">
        <is>
          <t>已发货</t>
        </is>
      </c>
      <c r="C88" s="3" t="inlineStr">
        <is>
          <t>C1</t>
        </is>
      </c>
      <c r="D88" s="3" t="inlineStr">
        <is>
          <t>魔芋笋1大袋</t>
        </is>
      </c>
      <c r="E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" s="3" t="inlineStr">
        <is>
          <t>รสเผ็ดหอม​, 10 ซอง 200g</t>
        </is>
      </c>
      <c r="G88" s="6" t="n">
        <v>1</v>
      </c>
      <c r="H88" s="6" t="n">
        <v>6.699999999999999</v>
      </c>
      <c r="I88" s="6" t="n">
        <v>1</v>
      </c>
      <c r="J88" s="5" t="n">
        <v>14.7</v>
      </c>
      <c r="K88" s="5" t="n">
        <v>-14.7</v>
      </c>
      <c r="L88" s="5" t="n">
        <v>-69.09</v>
      </c>
      <c r="M88" s="3" t="inlineStr">
        <is>
          <t>23/05/2026 15:24:12</t>
        </is>
      </c>
    </row>
    <row r="89">
      <c r="A89" s="3" t="inlineStr">
        <is>
          <t>584157541175887589</t>
        </is>
      </c>
      <c r="B89" s="3" t="inlineStr">
        <is>
          <t>已完成</t>
        </is>
      </c>
      <c r="C89" s="3" t="inlineStr">
        <is>
          <t>C1</t>
        </is>
      </c>
      <c r="D89" s="3" t="inlineStr">
        <is>
          <t>魔芋笋1大袋</t>
        </is>
      </c>
      <c r="E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" s="3" t="inlineStr">
        <is>
          <t>รสเผ็ดหอม​, 10 ซอง 200g</t>
        </is>
      </c>
      <c r="G89" s="6" t="n">
        <v>1</v>
      </c>
      <c r="H89" s="6" t="n">
        <v>6.699999999999999</v>
      </c>
      <c r="I89" s="6" t="n">
        <v>1</v>
      </c>
      <c r="J89" s="5" t="n">
        <v>14.7</v>
      </c>
      <c r="K89" s="5" t="n">
        <v>-14.7</v>
      </c>
      <c r="L89" s="5" t="n">
        <v>-69.09</v>
      </c>
      <c r="M89" s="3" t="inlineStr">
        <is>
          <t>23/05/2026 11:01:17</t>
        </is>
      </c>
    </row>
    <row r="90">
      <c r="A90" s="3" t="inlineStr">
        <is>
          <t>584157540982883585</t>
        </is>
      </c>
      <c r="B90" s="3" t="inlineStr">
        <is>
          <t>已完成</t>
        </is>
      </c>
      <c r="C90" s="3" t="inlineStr">
        <is>
          <t>C1</t>
        </is>
      </c>
      <c r="D90" s="3" t="inlineStr">
        <is>
          <t>魔芋笋1大袋</t>
        </is>
      </c>
      <c r="E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" s="3" t="inlineStr">
        <is>
          <t>รสเผ็ดหอม​, 10 ซอง 200g</t>
        </is>
      </c>
      <c r="G90" s="6" t="n">
        <v>1</v>
      </c>
      <c r="H90" s="6" t="n">
        <v>6.699999999999999</v>
      </c>
      <c r="I90" s="6" t="n">
        <v>1</v>
      </c>
      <c r="J90" s="5" t="n">
        <v>14.7</v>
      </c>
      <c r="K90" s="5" t="n">
        <v>-14.7</v>
      </c>
      <c r="L90" s="5" t="n">
        <v>-69.09</v>
      </c>
      <c r="M90" s="3" t="inlineStr">
        <is>
          <t>23/05/2026 10:56:19</t>
        </is>
      </c>
    </row>
    <row r="91">
      <c r="A91" s="3" t="inlineStr">
        <is>
          <t>584157525310014709</t>
        </is>
      </c>
      <c r="B91" s="3" t="inlineStr">
        <is>
          <t>已完成</t>
        </is>
      </c>
      <c r="C91" s="3" t="inlineStr">
        <is>
          <t>C1</t>
        </is>
      </c>
      <c r="D91" s="3" t="inlineStr">
        <is>
          <t>魔芋笋1大袋</t>
        </is>
      </c>
      <c r="E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" s="3" t="inlineStr">
        <is>
          <t>รสเผ็ดหอม​, 10 ซอง 200g</t>
        </is>
      </c>
      <c r="G91" s="6" t="n">
        <v>1</v>
      </c>
      <c r="H91" s="6" t="n">
        <v>6.699999999999999</v>
      </c>
      <c r="I91" s="6" t="n">
        <v>1</v>
      </c>
      <c r="J91" s="5" t="n">
        <v>14.7</v>
      </c>
      <c r="K91" s="5" t="n">
        <v>-14.7</v>
      </c>
      <c r="L91" s="5" t="n">
        <v>-69.09</v>
      </c>
      <c r="M91" s="3" t="inlineStr">
        <is>
          <t>23/05/2026 10:52:18</t>
        </is>
      </c>
    </row>
    <row r="92">
      <c r="A92" s="3" t="inlineStr">
        <is>
          <t>584157525241661088</t>
        </is>
      </c>
      <c r="B92" s="3" t="inlineStr">
        <is>
          <t>已完成</t>
        </is>
      </c>
      <c r="C92" s="3" t="inlineStr">
        <is>
          <t>C1</t>
        </is>
      </c>
      <c r="D92" s="3" t="inlineStr">
        <is>
          <t>魔芋笋1大袋</t>
        </is>
      </c>
      <c r="E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" s="3" t="inlineStr">
        <is>
          <t>รสเผ็ดหอม​, 10 ซอง 200g</t>
        </is>
      </c>
      <c r="G92" s="6" t="n">
        <v>1</v>
      </c>
      <c r="H92" s="6" t="n">
        <v>6.699999999999999</v>
      </c>
      <c r="I92" s="6" t="n">
        <v>1</v>
      </c>
      <c r="J92" s="5" t="n">
        <v>14.7</v>
      </c>
      <c r="K92" s="5" t="n">
        <v>-14.7</v>
      </c>
      <c r="L92" s="5" t="n">
        <v>-69.09</v>
      </c>
      <c r="M92" s="3" t="inlineStr">
        <is>
          <t>23/05/2026 10:51:10</t>
        </is>
      </c>
    </row>
    <row r="93">
      <c r="A93" s="3" t="inlineStr">
        <is>
          <t>584157525074282121</t>
        </is>
      </c>
      <c r="B93" s="3" t="inlineStr">
        <is>
          <t>已发货</t>
        </is>
      </c>
      <c r="C93" s="3" t="inlineStr">
        <is>
          <t>C1</t>
        </is>
      </c>
      <c r="D93" s="3" t="inlineStr">
        <is>
          <t>魔芋笋1大袋</t>
        </is>
      </c>
      <c r="E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" s="3" t="inlineStr">
        <is>
          <t>รสเผ็ดหอม​, 10 ซอง 200g</t>
        </is>
      </c>
      <c r="G93" s="6" t="n">
        <v>1</v>
      </c>
      <c r="H93" s="6" t="n">
        <v>6.699999999999999</v>
      </c>
      <c r="I93" s="6" t="n">
        <v>1</v>
      </c>
      <c r="J93" s="5" t="n">
        <v>14.7</v>
      </c>
      <c r="K93" s="5" t="n">
        <v>-14.7</v>
      </c>
      <c r="L93" s="5" t="n">
        <v>-69.09</v>
      </c>
      <c r="M93" s="3" t="inlineStr">
        <is>
          <t>23/05/2026 10:48:16</t>
        </is>
      </c>
    </row>
    <row r="94">
      <c r="A94" s="3" t="inlineStr">
        <is>
          <t>584157131171464211</t>
        </is>
      </c>
      <c r="B94" s="3" t="inlineStr">
        <is>
          <t>已发货</t>
        </is>
      </c>
      <c r="C94" s="3" t="inlineStr">
        <is>
          <t>C1</t>
        </is>
      </c>
      <c r="D94" s="3" t="inlineStr">
        <is>
          <t>魔芋笋1大袋</t>
        </is>
      </c>
      <c r="E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" s="3" t="inlineStr">
        <is>
          <t>รสเผ็ดหอม​, 10 ซอง 200g</t>
        </is>
      </c>
      <c r="G94" s="6" t="n">
        <v>1</v>
      </c>
      <c r="H94" s="6" t="n">
        <v>6.699999999999999</v>
      </c>
      <c r="I94" s="6" t="n">
        <v>1</v>
      </c>
      <c r="J94" s="5" t="n">
        <v>14.7</v>
      </c>
      <c r="K94" s="5" t="n">
        <v>-14.7</v>
      </c>
      <c r="L94" s="5" t="n">
        <v>-69.09</v>
      </c>
      <c r="M94" s="3" t="inlineStr">
        <is>
          <t>23/05/2026 10:37:13</t>
        </is>
      </c>
    </row>
    <row r="95">
      <c r="A95" s="3" t="inlineStr">
        <is>
          <t>584157145376392854</t>
        </is>
      </c>
      <c r="B95" s="3" t="inlineStr">
        <is>
          <t>已发货</t>
        </is>
      </c>
      <c r="C95" s="3" t="inlineStr">
        <is>
          <t>C1</t>
        </is>
      </c>
      <c r="D95" s="3" t="inlineStr">
        <is>
          <t>魔芋笋1大袋</t>
        </is>
      </c>
      <c r="E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" s="3" t="inlineStr">
        <is>
          <t>รสเผ็ดหอม​, 10 ซอง 200g</t>
        </is>
      </c>
      <c r="G95" s="6" t="n">
        <v>1</v>
      </c>
      <c r="H95" s="6" t="n">
        <v>6.699999999999999</v>
      </c>
      <c r="I95" s="6" t="n">
        <v>1</v>
      </c>
      <c r="J95" s="5" t="n">
        <v>14.7</v>
      </c>
      <c r="K95" s="5" t="n">
        <v>-14.7</v>
      </c>
      <c r="L95" s="5" t="n">
        <v>-69.09</v>
      </c>
      <c r="M95" s="3" t="inlineStr">
        <is>
          <t>23/05/2026 10:31:19</t>
        </is>
      </c>
    </row>
    <row r="96">
      <c r="A96" s="3" t="inlineStr">
        <is>
          <t>584157130773595812</t>
        </is>
      </c>
      <c r="B96" s="3" t="inlineStr">
        <is>
          <t>已发货</t>
        </is>
      </c>
      <c r="C96" s="3" t="inlineStr">
        <is>
          <t>CK</t>
        </is>
      </c>
      <c r="D96" s="3" t="inlineStr">
        <is>
          <t>黑松露黑麦苏打饼干</t>
        </is>
      </c>
      <c r="E9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6" s="3" t="inlineStr">
        <is>
          <t>ค่าเริ่มต้น</t>
        </is>
      </c>
      <c r="G96" s="6" t="n">
        <v>1</v>
      </c>
      <c r="H96" s="6" t="n">
        <v>10.72665050209467</v>
      </c>
      <c r="I96" s="6" t="n">
        <v>1</v>
      </c>
      <c r="J96" s="5" t="n">
        <v>18.72665050209466</v>
      </c>
      <c r="K96" s="5" t="n">
        <v>-18.72665050209466</v>
      </c>
      <c r="L96" s="5" t="n">
        <v>-88.01525735984492</v>
      </c>
      <c r="M96" s="3" t="inlineStr">
        <is>
          <t>23/05/2026 10:28:10</t>
        </is>
      </c>
    </row>
    <row r="97">
      <c r="A97" s="3" t="inlineStr">
        <is>
          <t>584157144994842542</t>
        </is>
      </c>
      <c r="B97" s="3" t="inlineStr">
        <is>
          <t>已发货</t>
        </is>
      </c>
      <c r="C97" s="3" t="inlineStr">
        <is>
          <t>CK</t>
        </is>
      </c>
      <c r="D97" s="3" t="inlineStr">
        <is>
          <t>黑松露黑麦苏打饼干</t>
        </is>
      </c>
      <c r="E9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97" s="3" t="inlineStr">
        <is>
          <t>ค่าเริ่มต้น</t>
        </is>
      </c>
      <c r="G97" s="6" t="n">
        <v>1</v>
      </c>
      <c r="H97" s="6" t="n">
        <v>10.72665050209467</v>
      </c>
      <c r="I97" s="6" t="n">
        <v>1</v>
      </c>
      <c r="J97" s="5" t="n">
        <v>18.72665050209466</v>
      </c>
      <c r="K97" s="5" t="n">
        <v>-18.72665050209466</v>
      </c>
      <c r="L97" s="5" t="n">
        <v>-88.01525735984492</v>
      </c>
      <c r="M97" s="3" t="inlineStr">
        <is>
          <t>23/05/2026 10:24:14</t>
        </is>
      </c>
    </row>
    <row r="98">
      <c r="A98" s="3" t="inlineStr">
        <is>
          <t>584156984947147904</t>
        </is>
      </c>
      <c r="B98" s="3" t="inlineStr">
        <is>
          <t>已发货</t>
        </is>
      </c>
      <c r="C98" s="3" t="inlineStr">
        <is>
          <t>C1</t>
        </is>
      </c>
      <c r="D98" s="3" t="inlineStr">
        <is>
          <t>魔芋笋1大袋</t>
        </is>
      </c>
      <c r="E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" s="3" t="inlineStr">
        <is>
          <t>รสเผ็ดหอม​, 10 ซอง 200g</t>
        </is>
      </c>
      <c r="G98" s="6" t="n">
        <v>1</v>
      </c>
      <c r="H98" s="6" t="n">
        <v>6.699999999999999</v>
      </c>
      <c r="I98" s="6" t="n">
        <v>1</v>
      </c>
      <c r="J98" s="5" t="n">
        <v>14.7</v>
      </c>
      <c r="K98" s="5" t="n">
        <v>-14.7</v>
      </c>
      <c r="L98" s="5" t="n">
        <v>-69.09</v>
      </c>
      <c r="M98" s="3" t="inlineStr">
        <is>
          <t>23/05/2026 10:21:17</t>
        </is>
      </c>
    </row>
    <row r="99">
      <c r="A99" s="3" t="inlineStr">
        <is>
          <t>584156984594499449</t>
        </is>
      </c>
      <c r="B99" s="3" t="inlineStr">
        <is>
          <t>已发货</t>
        </is>
      </c>
      <c r="C99" s="3" t="inlineStr">
        <is>
          <t>C1</t>
        </is>
      </c>
      <c r="D99" s="3" t="inlineStr">
        <is>
          <t>魔芋笋1大袋</t>
        </is>
      </c>
      <c r="E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" s="3" t="inlineStr">
        <is>
          <t>รสเผ็ดหอม​, 10 ซอง 200g</t>
        </is>
      </c>
      <c r="G99" s="6" t="n">
        <v>1</v>
      </c>
      <c r="H99" s="6" t="n">
        <v>6.699999999999999</v>
      </c>
      <c r="I99" s="6" t="n">
        <v>1</v>
      </c>
      <c r="J99" s="5" t="n">
        <v>14.7</v>
      </c>
      <c r="K99" s="5" t="n">
        <v>-14.7</v>
      </c>
      <c r="L99" s="5" t="n">
        <v>-69.09</v>
      </c>
      <c r="M99" s="3" t="inlineStr">
        <is>
          <t>23/05/2026 10:14:13</t>
        </is>
      </c>
    </row>
    <row r="100">
      <c r="A100" s="3" t="inlineStr">
        <is>
          <t>584156905950708864</t>
        </is>
      </c>
      <c r="B100" s="3" t="inlineStr">
        <is>
          <t>已发货</t>
        </is>
      </c>
      <c r="C100" s="3" t="inlineStr">
        <is>
          <t>CK</t>
        </is>
      </c>
      <c r="D100" s="3" t="inlineStr">
        <is>
          <t>黑松露黑麦苏打饼干</t>
        </is>
      </c>
      <c r="E10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00" s="3" t="inlineStr">
        <is>
          <t>ค่าเริ่มต้น</t>
        </is>
      </c>
      <c r="G100" s="6" t="n">
        <v>1</v>
      </c>
      <c r="H100" s="6" t="n">
        <v>10.72665050209467</v>
      </c>
      <c r="I100" s="6" t="n">
        <v>1</v>
      </c>
      <c r="J100" s="5" t="n">
        <v>18.72665050209466</v>
      </c>
      <c r="K100" s="5" t="n">
        <v>-18.72665050209466</v>
      </c>
      <c r="L100" s="5" t="n">
        <v>-88.01525735984492</v>
      </c>
      <c r="M100" s="3" t="inlineStr">
        <is>
          <t>23/05/2026 10:11:18</t>
        </is>
      </c>
    </row>
    <row r="101">
      <c r="A101" s="3" t="inlineStr">
        <is>
          <t>584156729968854685</t>
        </is>
      </c>
      <c r="B101" s="3" t="inlineStr">
        <is>
          <t>已发货</t>
        </is>
      </c>
      <c r="C101" s="3" t="inlineStr">
        <is>
          <t>C1</t>
        </is>
      </c>
      <c r="D101" s="3" t="inlineStr">
        <is>
          <t>魔芋笋1大袋</t>
        </is>
      </c>
      <c r="E1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1" s="3" t="inlineStr">
        <is>
          <t>รสเผ็ดหอม​, 10 ซอง 200g</t>
        </is>
      </c>
      <c r="G101" s="6" t="n">
        <v>1</v>
      </c>
      <c r="H101" s="6" t="n">
        <v>6.699999999999999</v>
      </c>
      <c r="I101" s="6" t="n">
        <v>1</v>
      </c>
      <c r="J101" s="5" t="n">
        <v>14.7</v>
      </c>
      <c r="K101" s="5" t="n">
        <v>-14.7</v>
      </c>
      <c r="L101" s="5" t="n">
        <v>-69.09</v>
      </c>
      <c r="M101" s="3" t="inlineStr">
        <is>
          <t>23/05/2026 10:03:15</t>
        </is>
      </c>
    </row>
    <row r="102">
      <c r="A102" s="3" t="inlineStr">
        <is>
          <t>584156828526020490</t>
        </is>
      </c>
      <c r="B102" s="3" t="inlineStr">
        <is>
          <t>已发货</t>
        </is>
      </c>
      <c r="C102" s="3" t="inlineStr">
        <is>
          <t>CK</t>
        </is>
      </c>
      <c r="D102" s="3" t="inlineStr">
        <is>
          <t>黑松露黑麦苏打饼干</t>
        </is>
      </c>
      <c r="E10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02" s="3" t="inlineStr">
        <is>
          <t>ค่าเริ่มต้น</t>
        </is>
      </c>
      <c r="G102" s="6" t="n">
        <v>1</v>
      </c>
      <c r="H102" s="6" t="n">
        <v>10.72665050209467</v>
      </c>
      <c r="I102" s="6" t="n">
        <v>1</v>
      </c>
      <c r="J102" s="5" t="n">
        <v>18.72665050209466</v>
      </c>
      <c r="K102" s="5" t="n">
        <v>-18.72665050209466</v>
      </c>
      <c r="L102" s="5" t="n">
        <v>-88.01525735984492</v>
      </c>
      <c r="M102" s="3" t="inlineStr">
        <is>
          <t>23/05/2026 10:00:11</t>
        </is>
      </c>
    </row>
    <row r="103">
      <c r="A103" s="3" t="inlineStr">
        <is>
          <t>584156729673156214</t>
        </is>
      </c>
      <c r="B103" s="3" t="inlineStr">
        <is>
          <t>已发货</t>
        </is>
      </c>
      <c r="C103" s="3" t="inlineStr">
        <is>
          <t>C1</t>
        </is>
      </c>
      <c r="D103" s="3" t="inlineStr">
        <is>
          <t>魔芋笋1大袋</t>
        </is>
      </c>
      <c r="E1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3" s="3" t="inlineStr">
        <is>
          <t>รสเผ็ดหอม​, 10 ซอง 200g</t>
        </is>
      </c>
      <c r="G103" s="6" t="n">
        <v>1</v>
      </c>
      <c r="H103" s="6" t="n">
        <v>6.699999999999999</v>
      </c>
      <c r="I103" s="6" t="n">
        <v>1</v>
      </c>
      <c r="J103" s="5" t="n">
        <v>14.7</v>
      </c>
      <c r="K103" s="5" t="n">
        <v>-14.7</v>
      </c>
      <c r="L103" s="5" t="n">
        <v>-69.09</v>
      </c>
      <c r="M103" s="3" t="inlineStr">
        <is>
          <t>23/05/2026 09:57:12</t>
        </is>
      </c>
    </row>
    <row r="104">
      <c r="A104" s="3" t="inlineStr">
        <is>
          <t>584156680173946677</t>
        </is>
      </c>
      <c r="B104" s="3" t="inlineStr">
        <is>
          <t>已完成</t>
        </is>
      </c>
      <c r="C104" s="3" t="inlineStr">
        <is>
          <t>C1</t>
        </is>
      </c>
      <c r="D104" s="3" t="inlineStr">
        <is>
          <t>魔芋笋1大袋</t>
        </is>
      </c>
      <c r="E1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4" s="3" t="inlineStr">
        <is>
          <t>รสเผ็ดหอม​, 10 ซอง 200g</t>
        </is>
      </c>
      <c r="G104" s="6" t="n">
        <v>1</v>
      </c>
      <c r="H104" s="6" t="n">
        <v>6.699999999999999</v>
      </c>
      <c r="I104" s="6" t="n">
        <v>1</v>
      </c>
      <c r="J104" s="5" t="n">
        <v>14.7</v>
      </c>
      <c r="K104" s="5" t="n">
        <v>-14.7</v>
      </c>
      <c r="L104" s="5" t="n">
        <v>-69.09</v>
      </c>
      <c r="M104" s="3" t="inlineStr">
        <is>
          <t>23/05/2026 09:56:18</t>
        </is>
      </c>
    </row>
    <row r="105">
      <c r="A105" s="3" t="inlineStr">
        <is>
          <t>584156729559779021</t>
        </is>
      </c>
      <c r="B105" s="3" t="inlineStr">
        <is>
          <t>已发货</t>
        </is>
      </c>
      <c r="C105" s="3" t="inlineStr">
        <is>
          <t>C1</t>
        </is>
      </c>
      <c r="D105" s="3" t="inlineStr">
        <is>
          <t>魔芋笋1大袋</t>
        </is>
      </c>
      <c r="E1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5" s="3" t="inlineStr">
        <is>
          <t>รสเผ็ดหอม​, 10 ซอง 200g</t>
        </is>
      </c>
      <c r="G105" s="6" t="n">
        <v>1</v>
      </c>
      <c r="H105" s="6" t="n">
        <v>6.699999999999999</v>
      </c>
      <c r="I105" s="6" t="n">
        <v>1</v>
      </c>
      <c r="J105" s="5" t="n">
        <v>14.7</v>
      </c>
      <c r="K105" s="5" t="n">
        <v>-14.7</v>
      </c>
      <c r="L105" s="5" t="n">
        <v>-69.09</v>
      </c>
      <c r="M105" s="3" t="inlineStr">
        <is>
          <t>23/05/2026 09:54:29</t>
        </is>
      </c>
    </row>
    <row r="106">
      <c r="A106" s="3" t="inlineStr">
        <is>
          <t>584145985799357673</t>
        </is>
      </c>
      <c r="B106" s="3" t="inlineStr">
        <is>
          <t>已发货</t>
        </is>
      </c>
      <c r="C106" s="3" t="inlineStr">
        <is>
          <t>C1</t>
        </is>
      </c>
      <c r="D106" s="3" t="inlineStr">
        <is>
          <t>魔芋笋1大袋</t>
        </is>
      </c>
      <c r="E1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6" s="3" t="inlineStr">
        <is>
          <t>รสเผ็ดหอม​, 10 ซอง 200g</t>
        </is>
      </c>
      <c r="G106" s="6" t="n">
        <v>1</v>
      </c>
      <c r="H106" s="6" t="n">
        <v>6.699999999999999</v>
      </c>
      <c r="I106" s="6" t="n">
        <v>1</v>
      </c>
      <c r="J106" s="5" t="n">
        <v>14.7</v>
      </c>
      <c r="K106" s="5" t="n">
        <v>-14.7</v>
      </c>
      <c r="L106" s="5" t="n">
        <v>-69.09</v>
      </c>
      <c r="M106" s="3" t="inlineStr">
        <is>
          <t>22/05/2026 15:43:10</t>
        </is>
      </c>
    </row>
    <row r="107">
      <c r="A107" s="3" t="inlineStr">
        <is>
          <t>584145985616708625</t>
        </is>
      </c>
      <c r="B107" s="3" t="inlineStr">
        <is>
          <t>已发货</t>
        </is>
      </c>
      <c r="C107" s="3" t="inlineStr">
        <is>
          <t>C1</t>
        </is>
      </c>
      <c r="D107" s="3" t="inlineStr">
        <is>
          <t>魔芋笋1大袋</t>
        </is>
      </c>
      <c r="E1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7" s="3" t="inlineStr">
        <is>
          <t>รสเผ็ดหอม​, 10 ซอง 200g</t>
        </is>
      </c>
      <c r="G107" s="6" t="n">
        <v>1</v>
      </c>
      <c r="H107" s="6" t="n">
        <v>6.699999999999999</v>
      </c>
      <c r="I107" s="6" t="n">
        <v>1</v>
      </c>
      <c r="J107" s="5" t="n">
        <v>14.7</v>
      </c>
      <c r="K107" s="5" t="n">
        <v>-14.7</v>
      </c>
      <c r="L107" s="5" t="n">
        <v>-69.09</v>
      </c>
      <c r="M107" s="3" t="inlineStr">
        <is>
          <t>22/05/2026 15:38:15</t>
        </is>
      </c>
    </row>
    <row r="108">
      <c r="A108" s="3" t="inlineStr">
        <is>
          <t>584145971392907022</t>
        </is>
      </c>
      <c r="B108" s="3" t="inlineStr">
        <is>
          <t>已发货</t>
        </is>
      </c>
      <c r="C108" s="3" t="inlineStr">
        <is>
          <t>CK</t>
        </is>
      </c>
      <c r="D108" s="3" t="inlineStr">
        <is>
          <t>黑松露黑麦苏打饼干</t>
        </is>
      </c>
      <c r="E10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08" s="3" t="inlineStr">
        <is>
          <t>ค่าเริ่มต้น</t>
        </is>
      </c>
      <c r="G108" s="6" t="n">
        <v>1</v>
      </c>
      <c r="H108" s="6" t="n">
        <v>10.72665050209467</v>
      </c>
      <c r="I108" s="6" t="n">
        <v>1</v>
      </c>
      <c r="J108" s="5" t="n">
        <v>18.72665050209466</v>
      </c>
      <c r="K108" s="5" t="n">
        <v>-18.72665050209466</v>
      </c>
      <c r="L108" s="5" t="n">
        <v>-88.01525735984492</v>
      </c>
      <c r="M108" s="3" t="inlineStr">
        <is>
          <t>22/05/2026 15:36:15</t>
        </is>
      </c>
    </row>
    <row r="109">
      <c r="A109" s="3" t="inlineStr">
        <is>
          <t>584145529244059586</t>
        </is>
      </c>
      <c r="B109" s="3" t="inlineStr">
        <is>
          <t>已完成</t>
        </is>
      </c>
      <c r="C109" s="3" t="inlineStr">
        <is>
          <t>CK</t>
        </is>
      </c>
      <c r="D109" s="3" t="inlineStr">
        <is>
          <t>黑松露黑麦苏打饼干</t>
        </is>
      </c>
      <c r="E10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09" s="3" t="inlineStr">
        <is>
          <t>ค่าเริ่มต้น</t>
        </is>
      </c>
      <c r="G109" s="6" t="n">
        <v>1</v>
      </c>
      <c r="H109" s="6" t="n">
        <v>10.72665050209467</v>
      </c>
      <c r="I109" s="6" t="n">
        <v>1</v>
      </c>
      <c r="J109" s="5" t="n">
        <v>18.72665050209466</v>
      </c>
      <c r="K109" s="5" t="n">
        <v>-18.72665050209466</v>
      </c>
      <c r="L109" s="5" t="n">
        <v>-88.01525735984492</v>
      </c>
      <c r="M109" s="3" t="inlineStr">
        <is>
          <t>22/05/2026 15:04:10</t>
        </is>
      </c>
    </row>
    <row r="110">
      <c r="A110" s="3" t="inlineStr">
        <is>
          <t>584144896107185404</t>
        </is>
      </c>
      <c r="B110" s="3" t="inlineStr">
        <is>
          <t>已发货</t>
        </is>
      </c>
      <c r="C110" s="3" t="inlineStr">
        <is>
          <t>C1</t>
        </is>
      </c>
      <c r="D110" s="3" t="inlineStr">
        <is>
          <t>魔芋笋1大袋</t>
        </is>
      </c>
      <c r="E1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0" s="3" t="inlineStr">
        <is>
          <t>รสเผ็ดหอม​, 10 ซอง 200g</t>
        </is>
      </c>
      <c r="G110" s="6" t="n">
        <v>1</v>
      </c>
      <c r="H110" s="6" t="n">
        <v>6.699999999999999</v>
      </c>
      <c r="I110" s="6" t="n">
        <v>1</v>
      </c>
      <c r="J110" s="5" t="n">
        <v>14.7</v>
      </c>
      <c r="K110" s="5" t="n">
        <v>-14.7</v>
      </c>
      <c r="L110" s="5" t="n">
        <v>-69.09</v>
      </c>
      <c r="M110" s="3" t="inlineStr">
        <is>
          <t>22/05/2026 14:16:19</t>
        </is>
      </c>
    </row>
    <row r="111">
      <c r="A111" s="3" t="inlineStr">
        <is>
          <t>584142037449671773</t>
        </is>
      </c>
      <c r="B111" s="3" t="inlineStr">
        <is>
          <t>已完成</t>
        </is>
      </c>
      <c r="C111" s="3" t="inlineStr">
        <is>
          <t>C1</t>
        </is>
      </c>
      <c r="D111" s="3" t="inlineStr">
        <is>
          <t>魔芋笋1大袋</t>
        </is>
      </c>
      <c r="E1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1" s="3" t="inlineStr">
        <is>
          <t>รสเผ็ดหอม​, 10 ซอง 200g</t>
        </is>
      </c>
      <c r="G111" s="6" t="n">
        <v>1</v>
      </c>
      <c r="H111" s="6" t="n">
        <v>6.699999999999999</v>
      </c>
      <c r="I111" s="6" t="n">
        <v>1</v>
      </c>
      <c r="J111" s="5" t="n">
        <v>14.7</v>
      </c>
      <c r="K111" s="5" t="n">
        <v>-14.7</v>
      </c>
      <c r="L111" s="5" t="n">
        <v>-69.09</v>
      </c>
      <c r="M111" s="3" t="inlineStr">
        <is>
          <t>22/05/2026 11:00:19</t>
        </is>
      </c>
    </row>
    <row r="112">
      <c r="A112" s="3" t="inlineStr">
        <is>
          <t>584141583325103260</t>
        </is>
      </c>
      <c r="B112" s="3" t="inlineStr">
        <is>
          <t>已完成</t>
        </is>
      </c>
      <c r="C112" s="3" t="inlineStr">
        <is>
          <t>C1</t>
        </is>
      </c>
      <c r="D112" s="3" t="inlineStr">
        <is>
          <t>魔芋笋1大袋</t>
        </is>
      </c>
      <c r="E1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2" s="3" t="inlineStr">
        <is>
          <t>รสเผ็ดหอม​, 10 ซอง 200g</t>
        </is>
      </c>
      <c r="G112" s="6" t="n">
        <v>1</v>
      </c>
      <c r="H112" s="6" t="n">
        <v>6.699999999999999</v>
      </c>
      <c r="I112" s="6" t="n">
        <v>1</v>
      </c>
      <c r="J112" s="5" t="n">
        <v>14.7</v>
      </c>
      <c r="K112" s="5" t="n">
        <v>-14.7</v>
      </c>
      <c r="L112" s="5" t="n">
        <v>-69.09</v>
      </c>
      <c r="M112" s="3" t="inlineStr">
        <is>
          <t>22/05/2026 10:26:25</t>
        </is>
      </c>
    </row>
    <row r="113">
      <c r="A113" s="3" t="inlineStr">
        <is>
          <t>584141583228700290</t>
        </is>
      </c>
      <c r="B113" s="3" t="inlineStr">
        <is>
          <t>已完成</t>
        </is>
      </c>
      <c r="C113" s="3" t="inlineStr">
        <is>
          <t>C1</t>
        </is>
      </c>
      <c r="D113" s="3" t="inlineStr">
        <is>
          <t>魔芋笋1大袋</t>
        </is>
      </c>
      <c r="E1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3" s="3" t="inlineStr">
        <is>
          <t>รสเผ็ดหอม​, 10 ซอง 200g</t>
        </is>
      </c>
      <c r="G113" s="6" t="n">
        <v>1</v>
      </c>
      <c r="H113" s="6" t="n">
        <v>6.699999999999999</v>
      </c>
      <c r="I113" s="6" t="n">
        <v>1</v>
      </c>
      <c r="J113" s="5" t="n">
        <v>14.7</v>
      </c>
      <c r="K113" s="5" t="n">
        <v>-14.7</v>
      </c>
      <c r="L113" s="5" t="n">
        <v>-69.09</v>
      </c>
      <c r="M113" s="3" t="inlineStr">
        <is>
          <t>22/05/2026 10:24:28</t>
        </is>
      </c>
    </row>
    <row r="114">
      <c r="A114" s="3" t="inlineStr">
        <is>
          <t>584141583178040839</t>
        </is>
      </c>
      <c r="B114" s="3" t="inlineStr">
        <is>
          <t>已完成</t>
        </is>
      </c>
      <c r="C114" s="3" t="inlineStr">
        <is>
          <t>C1</t>
        </is>
      </c>
      <c r="D114" s="3" t="inlineStr">
        <is>
          <t>魔芋笋1大袋</t>
        </is>
      </c>
      <c r="E1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4" s="3" t="inlineStr">
        <is>
          <t>รสเผ็ดหอม​, 10 ซอง 200g</t>
        </is>
      </c>
      <c r="G114" s="6" t="n">
        <v>1</v>
      </c>
      <c r="H114" s="6" t="n">
        <v>6.699999999999999</v>
      </c>
      <c r="I114" s="6" t="n">
        <v>1</v>
      </c>
      <c r="J114" s="5" t="n">
        <v>14.7</v>
      </c>
      <c r="K114" s="5" t="n">
        <v>-14.7</v>
      </c>
      <c r="L114" s="5" t="n">
        <v>-69.09</v>
      </c>
      <c r="M114" s="3" t="inlineStr">
        <is>
          <t>22/05/2026 10:23:26</t>
        </is>
      </c>
    </row>
    <row r="115">
      <c r="A115" s="3" t="inlineStr">
        <is>
          <t>584141432980014116</t>
        </is>
      </c>
      <c r="B115" s="3" t="inlineStr">
        <is>
          <t>已发货</t>
        </is>
      </c>
      <c r="C115" s="3" t="inlineStr">
        <is>
          <t>C1</t>
        </is>
      </c>
      <c r="D115" s="3" t="inlineStr">
        <is>
          <t>魔芋笋1大袋</t>
        </is>
      </c>
      <c r="E1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5" s="3" t="inlineStr">
        <is>
          <t>รสเผ็ดหอม​, 10 ซอง 200g</t>
        </is>
      </c>
      <c r="G115" s="6" t="n">
        <v>1</v>
      </c>
      <c r="H115" s="6" t="n">
        <v>6.699999999999999</v>
      </c>
      <c r="I115" s="6" t="n">
        <v>1</v>
      </c>
      <c r="J115" s="5" t="n">
        <v>14.7</v>
      </c>
      <c r="K115" s="5" t="n">
        <v>-14.7</v>
      </c>
      <c r="L115" s="5" t="n">
        <v>-69.09</v>
      </c>
      <c r="M115" s="3" t="inlineStr">
        <is>
          <t>22/05/2026 10:17:29</t>
        </is>
      </c>
    </row>
    <row r="116">
      <c r="A116" s="3" t="inlineStr">
        <is>
          <t>584141238286124879</t>
        </is>
      </c>
      <c r="B116" s="3" t="inlineStr">
        <is>
          <t>已发货</t>
        </is>
      </c>
      <c r="C116" s="3" t="inlineStr">
        <is>
          <t>C1</t>
        </is>
      </c>
      <c r="D116" s="3" t="inlineStr">
        <is>
          <t>魔芋笋1大袋</t>
        </is>
      </c>
      <c r="E1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6" s="3" t="inlineStr">
        <is>
          <t>รสเผ็ดหอม​, 10 ซอง 200g</t>
        </is>
      </c>
      <c r="G116" s="6" t="n">
        <v>1</v>
      </c>
      <c r="H116" s="6" t="n">
        <v>6.699999999999999</v>
      </c>
      <c r="I116" s="6" t="n">
        <v>1</v>
      </c>
      <c r="J116" s="5" t="n">
        <v>14.7</v>
      </c>
      <c r="K116" s="5" t="n">
        <v>-14.7</v>
      </c>
      <c r="L116" s="5" t="n">
        <v>-69.09</v>
      </c>
      <c r="M116" s="3" t="inlineStr">
        <is>
          <t>22/05/2026 09:58:10</t>
        </is>
      </c>
    </row>
    <row r="117">
      <c r="A117" s="3" t="inlineStr">
        <is>
          <t>584140988283913906</t>
        </is>
      </c>
      <c r="B117" s="3" t="inlineStr">
        <is>
          <t>已完成</t>
        </is>
      </c>
      <c r="C117" s="3" t="inlineStr">
        <is>
          <t>CK</t>
        </is>
      </c>
      <c r="D117" s="3" t="inlineStr">
        <is>
          <t>黑松露黑麦苏打饼干</t>
        </is>
      </c>
      <c r="E11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17" s="3" t="inlineStr">
        <is>
          <t>ค่าเริ่มต้น</t>
        </is>
      </c>
      <c r="G117" s="6" t="n">
        <v>1</v>
      </c>
      <c r="H117" s="6" t="n">
        <v>10.72665050209467</v>
      </c>
      <c r="I117" s="6" t="n">
        <v>1</v>
      </c>
      <c r="J117" s="5" t="n">
        <v>18.72665050209466</v>
      </c>
      <c r="K117" s="5" t="n">
        <v>-18.72665050209466</v>
      </c>
      <c r="L117" s="5" t="n">
        <v>-88.01525735984492</v>
      </c>
      <c r="M117" s="3" t="inlineStr">
        <is>
          <t>22/05/2026 09:52:17</t>
        </is>
      </c>
    </row>
    <row r="118">
      <c r="A118" s="3" t="inlineStr">
        <is>
          <t>584141079083059180</t>
        </is>
      </c>
      <c r="B118" s="3" t="inlineStr">
        <is>
          <t>已完成</t>
        </is>
      </c>
      <c r="C118" s="3" t="inlineStr">
        <is>
          <t>C1</t>
        </is>
      </c>
      <c r="D118" s="3" t="inlineStr">
        <is>
          <t>魔芋笋1大袋</t>
        </is>
      </c>
      <c r="E1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8" s="3" t="inlineStr">
        <is>
          <t>รสเผ็ดหอม​, 10 ซอง 200g</t>
        </is>
      </c>
      <c r="G118" s="6" t="n">
        <v>1</v>
      </c>
      <c r="H118" s="6" t="n">
        <v>6.699999999999999</v>
      </c>
      <c r="I118" s="6" t="n">
        <v>1</v>
      </c>
      <c r="J118" s="5" t="n">
        <v>14.7</v>
      </c>
      <c r="K118" s="5" t="n">
        <v>-14.7</v>
      </c>
      <c r="L118" s="5" t="n">
        <v>-69.09</v>
      </c>
      <c r="M118" s="3" t="inlineStr">
        <is>
          <t>22/05/2026 09:47:13</t>
        </is>
      </c>
    </row>
    <row r="119">
      <c r="A119" s="3" t="inlineStr">
        <is>
          <t>584140757618558166</t>
        </is>
      </c>
      <c r="B119" s="3" t="inlineStr">
        <is>
          <t>已完成</t>
        </is>
      </c>
      <c r="C119" s="3" t="inlineStr">
        <is>
          <t>C1</t>
        </is>
      </c>
      <c r="D119" s="3" t="inlineStr">
        <is>
          <t>魔芋笋1大袋</t>
        </is>
      </c>
      <c r="E1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9" s="3" t="inlineStr">
        <is>
          <t>รสเผ็ดหอม​, 10 ซอง 200g</t>
        </is>
      </c>
      <c r="G119" s="6" t="n">
        <v>1</v>
      </c>
      <c r="H119" s="6" t="n">
        <v>6.699999999999999</v>
      </c>
      <c r="I119" s="6" t="n">
        <v>1</v>
      </c>
      <c r="J119" s="5" t="n">
        <v>14.7</v>
      </c>
      <c r="K119" s="5" t="n">
        <v>-14.7</v>
      </c>
      <c r="L119" s="5" t="n">
        <v>-69.09</v>
      </c>
      <c r="M119" s="3" t="inlineStr">
        <is>
          <t>22/05/2026 09:37:10</t>
        </is>
      </c>
    </row>
    <row r="120">
      <c r="A120" s="3" t="inlineStr">
        <is>
          <t>584140946691097619</t>
        </is>
      </c>
      <c r="B120" s="3" t="inlineStr">
        <is>
          <t>已完成</t>
        </is>
      </c>
      <c r="C120" s="3" t="inlineStr">
        <is>
          <t>C1</t>
        </is>
      </c>
      <c r="D120" s="3" t="inlineStr">
        <is>
          <t>魔芋笋1大袋</t>
        </is>
      </c>
      <c r="E1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0" s="3" t="inlineStr">
        <is>
          <t>รสเผ็ดหอม​, 10 ซอง 200g</t>
        </is>
      </c>
      <c r="G120" s="6" t="n">
        <v>1</v>
      </c>
      <c r="H120" s="6" t="n">
        <v>6.699999999999999</v>
      </c>
      <c r="I120" s="6" t="n">
        <v>1</v>
      </c>
      <c r="J120" s="5" t="n">
        <v>14.7</v>
      </c>
      <c r="K120" s="5" t="n">
        <v>-14.7</v>
      </c>
      <c r="L120" s="5" t="n">
        <v>-69.09</v>
      </c>
      <c r="M120" s="3" t="inlineStr">
        <is>
          <t>22/05/2026 09:36:15</t>
        </is>
      </c>
    </row>
    <row r="121">
      <c r="A121" s="3" t="inlineStr">
        <is>
          <t>584131996429420288</t>
        </is>
      </c>
      <c r="B121" s="3" t="inlineStr">
        <is>
          <t>已完成</t>
        </is>
      </c>
      <c r="C121" s="3" t="inlineStr">
        <is>
          <t>CK</t>
        </is>
      </c>
      <c r="D121" s="3" t="inlineStr">
        <is>
          <t>黑松露黑麦苏打饼干</t>
        </is>
      </c>
      <c r="E12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21" s="3" t="inlineStr">
        <is>
          <t>ค่าเริ่มต้น</t>
        </is>
      </c>
      <c r="G121" s="6" t="n">
        <v>1</v>
      </c>
      <c r="H121" s="6" t="n">
        <v>10.72665050209467</v>
      </c>
      <c r="I121" s="6" t="n">
        <v>1</v>
      </c>
      <c r="J121" s="5" t="n">
        <v>18.72665050209466</v>
      </c>
      <c r="K121" s="5" t="n">
        <v>-18.72665050209466</v>
      </c>
      <c r="L121" s="5" t="n">
        <v>-88.01525735984492</v>
      </c>
      <c r="M121" s="3" t="inlineStr">
        <is>
          <t>21/05/2026 17:45:14</t>
        </is>
      </c>
    </row>
    <row r="122">
      <c r="A122" s="3" t="inlineStr">
        <is>
          <t>584131752624817191</t>
        </is>
      </c>
      <c r="B122" s="3" t="inlineStr">
        <is>
          <t>已完成</t>
        </is>
      </c>
      <c r="C122" s="3" t="inlineStr">
        <is>
          <t>C1</t>
        </is>
      </c>
      <c r="D122" s="3" t="inlineStr">
        <is>
          <t>魔芋笋1大袋</t>
        </is>
      </c>
      <c r="E1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2" s="3" t="inlineStr">
        <is>
          <t>รสเผ็ดหอม​, 10 ซอง 200g</t>
        </is>
      </c>
      <c r="G122" s="6" t="n">
        <v>1</v>
      </c>
      <c r="H122" s="6" t="n">
        <v>6.699999999999999</v>
      </c>
      <c r="I122" s="6" t="n">
        <v>1</v>
      </c>
      <c r="J122" s="5" t="n">
        <v>14.7</v>
      </c>
      <c r="K122" s="5" t="n">
        <v>-14.7</v>
      </c>
      <c r="L122" s="5" t="n">
        <v>-69.09</v>
      </c>
      <c r="M122" s="3" t="inlineStr">
        <is>
          <t>21/05/2026 17:23:13</t>
        </is>
      </c>
    </row>
    <row r="123">
      <c r="A123" s="3" t="inlineStr">
        <is>
          <t>584129589544716204</t>
        </is>
      </c>
      <c r="B123" s="3" t="inlineStr">
        <is>
          <t>已完成</t>
        </is>
      </c>
      <c r="C123" s="3" t="inlineStr">
        <is>
          <t>C1</t>
        </is>
      </c>
      <c r="D123" s="3" t="inlineStr">
        <is>
          <t>魔芋笋1大袋</t>
        </is>
      </c>
      <c r="E1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3" s="3" t="inlineStr">
        <is>
          <t>รสเผ็ดหอม​, 10 ซอง 200g</t>
        </is>
      </c>
      <c r="G123" s="6" t="n">
        <v>1</v>
      </c>
      <c r="H123" s="6" t="n">
        <v>6.699999999999999</v>
      </c>
      <c r="I123" s="6" t="n">
        <v>1</v>
      </c>
      <c r="J123" s="5" t="n">
        <v>14.7</v>
      </c>
      <c r="K123" s="5" t="n">
        <v>-14.7</v>
      </c>
      <c r="L123" s="5" t="n">
        <v>-69.09</v>
      </c>
      <c r="M123" s="3" t="inlineStr">
        <is>
          <t>21/05/2026 14:29:23</t>
        </is>
      </c>
    </row>
    <row r="124">
      <c r="A124" s="3" t="inlineStr">
        <is>
          <t>584129511824000216</t>
        </is>
      </c>
      <c r="B124" s="3" t="inlineStr">
        <is>
          <t>已完成</t>
        </is>
      </c>
      <c r="C124" s="3" t="inlineStr">
        <is>
          <t>C1</t>
        </is>
      </c>
      <c r="D124" s="3" t="inlineStr">
        <is>
          <t>魔芋笋1大袋</t>
        </is>
      </c>
      <c r="E1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4" s="3" t="inlineStr">
        <is>
          <t>รสเผ็ดหอม​, 10 ซอง 200g</t>
        </is>
      </c>
      <c r="G124" s="6" t="n">
        <v>1</v>
      </c>
      <c r="H124" s="6" t="n">
        <v>6.699999999999999</v>
      </c>
      <c r="I124" s="6" t="n">
        <v>1</v>
      </c>
      <c r="J124" s="5" t="n">
        <v>14.7</v>
      </c>
      <c r="K124" s="5" t="n">
        <v>-14.7</v>
      </c>
      <c r="L124" s="5" t="n">
        <v>-69.09</v>
      </c>
      <c r="M124" s="3" t="inlineStr">
        <is>
          <t>21/05/2026 14:17:18</t>
        </is>
      </c>
    </row>
    <row r="125">
      <c r="A125" s="3" t="inlineStr">
        <is>
          <t>584129096845395727</t>
        </is>
      </c>
      <c r="B125" s="3" t="inlineStr">
        <is>
          <t>已完成</t>
        </is>
      </c>
      <c r="C125" s="3" t="inlineStr">
        <is>
          <t>C1</t>
        </is>
      </c>
      <c r="D125" s="3" t="inlineStr">
        <is>
          <t>魔芋笋1大袋</t>
        </is>
      </c>
      <c r="E1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5" s="3" t="inlineStr">
        <is>
          <t>รสเผ็ดหอม​, 10 ซอง 200g</t>
        </is>
      </c>
      <c r="G125" s="6" t="n">
        <v>1</v>
      </c>
      <c r="H125" s="6" t="n">
        <v>6.699999999999999</v>
      </c>
      <c r="I125" s="6" t="n">
        <v>1</v>
      </c>
      <c r="J125" s="5" t="n">
        <v>14.7</v>
      </c>
      <c r="K125" s="5" t="n">
        <v>-14.7</v>
      </c>
      <c r="L125" s="5" t="n">
        <v>-69.09</v>
      </c>
      <c r="M125" s="3" t="inlineStr">
        <is>
          <t>21/05/2026 13:54:20</t>
        </is>
      </c>
    </row>
    <row r="126">
      <c r="A126" s="3" t="inlineStr">
        <is>
          <t>584129096620147954</t>
        </is>
      </c>
      <c r="B126" s="3" t="inlineStr">
        <is>
          <t>已完成</t>
        </is>
      </c>
      <c r="C126" s="3" t="inlineStr">
        <is>
          <t>C1</t>
        </is>
      </c>
      <c r="D126" s="3" t="inlineStr">
        <is>
          <t>魔芋笋1大袋</t>
        </is>
      </c>
      <c r="E1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6" s="3" t="inlineStr">
        <is>
          <t>รสเผ็ดหอม​, 10 ซอง 200g</t>
        </is>
      </c>
      <c r="G126" s="6" t="n">
        <v>1</v>
      </c>
      <c r="H126" s="6" t="n">
        <v>6.699999999999999</v>
      </c>
      <c r="I126" s="6" t="n">
        <v>1</v>
      </c>
      <c r="J126" s="5" t="n">
        <v>14.7</v>
      </c>
      <c r="K126" s="5" t="n">
        <v>-14.7</v>
      </c>
      <c r="L126" s="5" t="n">
        <v>-69.09</v>
      </c>
      <c r="M126" s="3" t="inlineStr">
        <is>
          <t>21/05/2026 13:50:14</t>
        </is>
      </c>
    </row>
    <row r="127">
      <c r="A127" s="3" t="inlineStr">
        <is>
          <t>584129096201373273</t>
        </is>
      </c>
      <c r="B127" s="3" t="inlineStr">
        <is>
          <t>已完成</t>
        </is>
      </c>
      <c r="C127" s="3" t="inlineStr">
        <is>
          <t>CK</t>
        </is>
      </c>
      <c r="D127" s="3" t="inlineStr">
        <is>
          <t>黑松露黑麦苏打饼干</t>
        </is>
      </c>
      <c r="E12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27" s="3" t="inlineStr">
        <is>
          <t>ค่าเริ่มต้น</t>
        </is>
      </c>
      <c r="G127" s="6" t="n">
        <v>1</v>
      </c>
      <c r="H127" s="6" t="n">
        <v>10.72665050209467</v>
      </c>
      <c r="I127" s="6" t="n">
        <v>1</v>
      </c>
      <c r="J127" s="5" t="n">
        <v>18.72665050209466</v>
      </c>
      <c r="K127" s="5" t="n">
        <v>-18.72665050209466</v>
      </c>
      <c r="L127" s="5" t="n">
        <v>-88.01525735984492</v>
      </c>
      <c r="M127" s="3" t="inlineStr">
        <is>
          <t>21/05/2026 13:42:14</t>
        </is>
      </c>
    </row>
    <row r="128">
      <c r="A128" s="3" t="inlineStr">
        <is>
          <t>584128736708101153</t>
        </is>
      </c>
      <c r="B128" s="3" t="inlineStr">
        <is>
          <t>已完成</t>
        </is>
      </c>
      <c r="C128" s="3" t="inlineStr">
        <is>
          <t>CK</t>
        </is>
      </c>
      <c r="D128" s="3" t="inlineStr">
        <is>
          <t>黑松露黑麦苏打饼干</t>
        </is>
      </c>
      <c r="E12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28" s="3" t="inlineStr">
        <is>
          <t>ค่าเริ่มต้น</t>
        </is>
      </c>
      <c r="G128" s="6" t="n">
        <v>1</v>
      </c>
      <c r="H128" s="6" t="n">
        <v>10.72665050209467</v>
      </c>
      <c r="I128" s="6" t="n">
        <v>1</v>
      </c>
      <c r="J128" s="5" t="n">
        <v>18.72665050209466</v>
      </c>
      <c r="K128" s="5" t="n">
        <v>-18.72665050209466</v>
      </c>
      <c r="L128" s="5" t="n">
        <v>-88.01525735984492</v>
      </c>
      <c r="M128" s="3" t="inlineStr">
        <is>
          <t>21/05/2026 13:21:24</t>
        </is>
      </c>
    </row>
    <row r="129">
      <c r="A129" s="3" t="inlineStr">
        <is>
          <t>584128494456046754</t>
        </is>
      </c>
      <c r="B129" s="3" t="inlineStr">
        <is>
          <t>已完成</t>
        </is>
      </c>
      <c r="C129" s="3" t="inlineStr">
        <is>
          <t>C1</t>
        </is>
      </c>
      <c r="D129" s="3" t="inlineStr">
        <is>
          <t>魔芋笋1大袋</t>
        </is>
      </c>
      <c r="E1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9" s="3" t="inlineStr">
        <is>
          <t>รสเผ็ดหอม​, 10 ซอง 200g</t>
        </is>
      </c>
      <c r="G129" s="6" t="n">
        <v>1</v>
      </c>
      <c r="H129" s="6" t="n">
        <v>6.699999999999999</v>
      </c>
      <c r="I129" s="6" t="n">
        <v>1</v>
      </c>
      <c r="J129" s="5" t="n">
        <v>14.7</v>
      </c>
      <c r="K129" s="5" t="n">
        <v>-14.7</v>
      </c>
      <c r="L129" s="5" t="n">
        <v>-69.09</v>
      </c>
      <c r="M129" s="3" t="inlineStr">
        <is>
          <t>21/05/2026 13:19:23</t>
        </is>
      </c>
    </row>
    <row r="130">
      <c r="A130" s="3" t="inlineStr">
        <is>
          <t>584126535500268940</t>
        </is>
      </c>
      <c r="B130" s="3" t="inlineStr">
        <is>
          <t>已完成</t>
        </is>
      </c>
      <c r="C130" s="3" t="inlineStr">
        <is>
          <t>CK</t>
        </is>
      </c>
      <c r="D130" s="3" t="inlineStr">
        <is>
          <t>黑松露黑麦苏打饼干</t>
        </is>
      </c>
      <c r="E13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0" s="3" t="inlineStr">
        <is>
          <t>ค่าเริ่มต้น</t>
        </is>
      </c>
      <c r="G130" s="6" t="n">
        <v>1</v>
      </c>
      <c r="H130" s="6" t="n">
        <v>10.72665050209467</v>
      </c>
      <c r="I130" s="6" t="n">
        <v>1</v>
      </c>
      <c r="J130" s="5" t="n">
        <v>18.72665050209466</v>
      </c>
      <c r="K130" s="5" t="n">
        <v>-18.72665050209466</v>
      </c>
      <c r="L130" s="5" t="n">
        <v>-88.01525735984492</v>
      </c>
      <c r="M130" s="3" t="inlineStr">
        <is>
          <t>21/05/2026 10:47:14</t>
        </is>
      </c>
    </row>
    <row r="131">
      <c r="A131" s="3" t="inlineStr">
        <is>
          <t>584126535124485155</t>
        </is>
      </c>
      <c r="B131" s="3" t="inlineStr">
        <is>
          <t>已完成</t>
        </is>
      </c>
      <c r="C131" s="3" t="inlineStr">
        <is>
          <t>CK</t>
        </is>
      </c>
      <c r="D131" s="3" t="inlineStr">
        <is>
          <t>黑松露黑麦苏打饼干</t>
        </is>
      </c>
      <c r="E13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1" s="3" t="inlineStr">
        <is>
          <t>ค่าเริ่มต้น</t>
        </is>
      </c>
      <c r="G131" s="6" t="n">
        <v>1</v>
      </c>
      <c r="H131" s="6" t="n">
        <v>10.72665050209467</v>
      </c>
      <c r="I131" s="6" t="n">
        <v>1</v>
      </c>
      <c r="J131" s="5" t="n">
        <v>18.72665050209466</v>
      </c>
      <c r="K131" s="5" t="n">
        <v>-18.72665050209466</v>
      </c>
      <c r="L131" s="5" t="n">
        <v>-88.01525735984492</v>
      </c>
      <c r="M131" s="3" t="inlineStr">
        <is>
          <t>21/05/2026 10:40:10</t>
        </is>
      </c>
    </row>
    <row r="132">
      <c r="A132" s="3" t="inlineStr">
        <is>
          <t>584126373167793923</t>
        </is>
      </c>
      <c r="B132" s="3" t="inlineStr">
        <is>
          <t>已完成</t>
        </is>
      </c>
      <c r="C132" s="3" t="inlineStr">
        <is>
          <t>C1</t>
        </is>
      </c>
      <c r="D132" s="3" t="inlineStr">
        <is>
          <t>魔芋笋1大袋</t>
        </is>
      </c>
      <c r="E1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2" s="3" t="inlineStr">
        <is>
          <t>รสเผ็ดหอม​, 10 ซอง 200g</t>
        </is>
      </c>
      <c r="G132" s="6" t="n">
        <v>1</v>
      </c>
      <c r="H132" s="6" t="n">
        <v>6.699999999999999</v>
      </c>
      <c r="I132" s="6" t="n">
        <v>1</v>
      </c>
      <c r="J132" s="5" t="n">
        <v>14.7</v>
      </c>
      <c r="K132" s="5" t="n">
        <v>-14.7</v>
      </c>
      <c r="L132" s="5" t="n">
        <v>-69.09</v>
      </c>
      <c r="M132" s="3" t="inlineStr">
        <is>
          <t>21/05/2026 10:38:20</t>
        </is>
      </c>
    </row>
    <row r="133">
      <c r="A133" s="3" t="inlineStr">
        <is>
          <t>584126373036721251</t>
        </is>
      </c>
      <c r="B133" s="3" t="inlineStr">
        <is>
          <t>已完成</t>
        </is>
      </c>
      <c r="C133" s="3" t="inlineStr">
        <is>
          <t>C1</t>
        </is>
      </c>
      <c r="D133" s="3" t="inlineStr">
        <is>
          <t>魔芋笋1大袋</t>
        </is>
      </c>
      <c r="E1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3" s="3" t="inlineStr">
        <is>
          <t>รสเผ็ดหอม​, 10 ซอง 200g</t>
        </is>
      </c>
      <c r="G133" s="6" t="n">
        <v>1</v>
      </c>
      <c r="H133" s="6" t="n">
        <v>6.699999999999999</v>
      </c>
      <c r="I133" s="6" t="n">
        <v>1</v>
      </c>
      <c r="J133" s="5" t="n">
        <v>14.7</v>
      </c>
      <c r="K133" s="5" t="n">
        <v>-14.7</v>
      </c>
      <c r="L133" s="5" t="n">
        <v>-69.09</v>
      </c>
      <c r="M133" s="3" t="inlineStr">
        <is>
          <t>21/05/2026 10:35:29</t>
        </is>
      </c>
    </row>
    <row r="134">
      <c r="A134" s="3" t="inlineStr">
        <is>
          <t>584126184068318851</t>
        </is>
      </c>
      <c r="B134" s="3" t="inlineStr">
        <is>
          <t>已完成</t>
        </is>
      </c>
      <c r="C134" s="3" t="inlineStr">
        <is>
          <t>CK</t>
        </is>
      </c>
      <c r="D134" s="3" t="inlineStr">
        <is>
          <t>黑松露黑麦苏打饼干</t>
        </is>
      </c>
      <c r="E13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4" s="3" t="inlineStr">
        <is>
          <t>ค่าเริ่มต้น</t>
        </is>
      </c>
      <c r="G134" s="6" t="n">
        <v>1</v>
      </c>
      <c r="H134" s="6" t="n">
        <v>10.72665050209467</v>
      </c>
      <c r="I134" s="6" t="n">
        <v>1</v>
      </c>
      <c r="J134" s="5" t="n">
        <v>18.72665050209466</v>
      </c>
      <c r="K134" s="5" t="n">
        <v>-18.72665050209466</v>
      </c>
      <c r="L134" s="5" t="n">
        <v>-88.01525735984492</v>
      </c>
      <c r="M134" s="3" t="inlineStr">
        <is>
          <t>21/05/2026 10:22:27</t>
        </is>
      </c>
    </row>
    <row r="135">
      <c r="A135" s="3" t="inlineStr">
        <is>
          <t>584126197923219010</t>
        </is>
      </c>
      <c r="B135" s="3" t="inlineStr">
        <is>
          <t>已完成</t>
        </is>
      </c>
      <c r="C135" s="3" t="inlineStr">
        <is>
          <t>CK</t>
        </is>
      </c>
      <c r="D135" s="3" t="inlineStr">
        <is>
          <t>黑松露黑麦苏打饼干</t>
        </is>
      </c>
      <c r="E13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5" s="3" t="inlineStr">
        <is>
          <t>ค่าเริ่มต้น</t>
        </is>
      </c>
      <c r="G135" s="6" t="n">
        <v>1</v>
      </c>
      <c r="H135" s="6" t="n">
        <v>10.72665050209467</v>
      </c>
      <c r="I135" s="6" t="n">
        <v>1</v>
      </c>
      <c r="J135" s="5" t="n">
        <v>18.72665050209466</v>
      </c>
      <c r="K135" s="5" t="n">
        <v>-18.72665050209466</v>
      </c>
      <c r="L135" s="5" t="n">
        <v>-88.01525735984492</v>
      </c>
      <c r="M135" s="3" t="inlineStr">
        <is>
          <t>21/05/2026 10:21:14</t>
        </is>
      </c>
    </row>
    <row r="136">
      <c r="A136" s="3" t="inlineStr">
        <is>
          <t>584126183918699688</t>
        </is>
      </c>
      <c r="B136" s="3" t="inlineStr">
        <is>
          <t>已完成</t>
        </is>
      </c>
      <c r="C136" s="3" t="inlineStr">
        <is>
          <t>CK</t>
        </is>
      </c>
      <c r="D136" s="3" t="inlineStr">
        <is>
          <t>黑松露黑麦苏打饼干</t>
        </is>
      </c>
      <c r="E13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6" s="3" t="inlineStr">
        <is>
          <t>ค่าเริ่มต้น</t>
        </is>
      </c>
      <c r="G136" s="6" t="n">
        <v>1</v>
      </c>
      <c r="H136" s="6" t="n">
        <v>10.72665050209467</v>
      </c>
      <c r="I136" s="6" t="n">
        <v>1</v>
      </c>
      <c r="J136" s="5" t="n">
        <v>18.72665050209466</v>
      </c>
      <c r="K136" s="5" t="n">
        <v>-18.72665050209466</v>
      </c>
      <c r="L136" s="5" t="n">
        <v>-88.01525735984492</v>
      </c>
      <c r="M136" s="3" t="inlineStr">
        <is>
          <t>21/05/2026 10:19:16</t>
        </is>
      </c>
    </row>
    <row r="137">
      <c r="A137" s="3" t="inlineStr">
        <is>
          <t>584125947056457567</t>
        </is>
      </c>
      <c r="B137" s="3" t="inlineStr">
        <is>
          <t>已完成</t>
        </is>
      </c>
      <c r="C137" s="3" t="inlineStr">
        <is>
          <t>CK</t>
        </is>
      </c>
      <c r="D137" s="3" t="inlineStr">
        <is>
          <t>黑松露黑麦苏打饼干</t>
        </is>
      </c>
      <c r="E13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7" s="3" t="inlineStr">
        <is>
          <t>ค่าเริ่มต้น</t>
        </is>
      </c>
      <c r="G137" s="6" t="n">
        <v>1</v>
      </c>
      <c r="H137" s="6" t="n">
        <v>10.72665050209467</v>
      </c>
      <c r="I137" s="6" t="n">
        <v>1</v>
      </c>
      <c r="J137" s="5" t="n">
        <v>18.72665050209466</v>
      </c>
      <c r="K137" s="5" t="n">
        <v>-18.72665050209466</v>
      </c>
      <c r="L137" s="5" t="n">
        <v>-88.01525735984492</v>
      </c>
      <c r="M137" s="3" t="inlineStr">
        <is>
          <t>21/05/2026 10:11:26</t>
        </is>
      </c>
    </row>
    <row r="138">
      <c r="A138" s="3" t="inlineStr">
        <is>
          <t>584125946749355882</t>
        </is>
      </c>
      <c r="B138" s="3" t="inlineStr">
        <is>
          <t>已完成</t>
        </is>
      </c>
      <c r="C138" s="3" t="inlineStr">
        <is>
          <t>CK</t>
        </is>
      </c>
      <c r="D138" s="3" t="inlineStr">
        <is>
          <t>黑松露黑麦苏打饼干</t>
        </is>
      </c>
      <c r="E13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8" s="3" t="inlineStr">
        <is>
          <t>ค่าเริ่มต้น</t>
        </is>
      </c>
      <c r="G138" s="6" t="n">
        <v>1</v>
      </c>
      <c r="H138" s="6" t="n">
        <v>10.72665050209467</v>
      </c>
      <c r="I138" s="6" t="n">
        <v>1</v>
      </c>
      <c r="J138" s="5" t="n">
        <v>18.72665050209466</v>
      </c>
      <c r="K138" s="5" t="n">
        <v>-18.72665050209466</v>
      </c>
      <c r="L138" s="5" t="n">
        <v>-88.01525735984492</v>
      </c>
      <c r="M138" s="3" t="inlineStr">
        <is>
          <t>21/05/2026 10:03:28</t>
        </is>
      </c>
    </row>
    <row r="139">
      <c r="A139" s="3" t="inlineStr">
        <is>
          <t>584125724146959739</t>
        </is>
      </c>
      <c r="B139" s="3" t="inlineStr">
        <is>
          <t>已完成</t>
        </is>
      </c>
      <c r="C139" s="3" t="inlineStr">
        <is>
          <t>C1</t>
        </is>
      </c>
      <c r="D139" s="3" t="inlineStr">
        <is>
          <t>魔芋笋1大袋</t>
        </is>
      </c>
      <c r="E1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9" s="3" t="inlineStr">
        <is>
          <t>รสเผ็ดหอม​, 10 ซอง 200g</t>
        </is>
      </c>
      <c r="G139" s="6" t="n">
        <v>1</v>
      </c>
      <c r="H139" s="6" t="n">
        <v>6.699999999999999</v>
      </c>
      <c r="I139" s="6" t="n">
        <v>1</v>
      </c>
      <c r="J139" s="5" t="n">
        <v>14.7</v>
      </c>
      <c r="K139" s="5" t="n">
        <v>-14.7</v>
      </c>
      <c r="L139" s="5" t="n">
        <v>-69.09</v>
      </c>
      <c r="M139" s="3" t="inlineStr">
        <is>
          <t>21/05/2026 09:52:24</t>
        </is>
      </c>
    </row>
    <row r="140">
      <c r="A140" s="3" t="inlineStr">
        <is>
          <t>584125723736573375</t>
        </is>
      </c>
      <c r="B140" s="3" t="inlineStr">
        <is>
          <t>已完成</t>
        </is>
      </c>
      <c r="C140" s="3" t="inlineStr">
        <is>
          <t>CK</t>
        </is>
      </c>
      <c r="D140" s="3" t="inlineStr">
        <is>
          <t>黑松露黑麦苏打饼干</t>
        </is>
      </c>
      <c r="E14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40" s="3" t="inlineStr">
        <is>
          <t>ค่าเริ่มต้น</t>
        </is>
      </c>
      <c r="G140" s="6" t="n">
        <v>1</v>
      </c>
      <c r="H140" s="6" t="n">
        <v>10.72665050209467</v>
      </c>
      <c r="I140" s="6" t="n">
        <v>1</v>
      </c>
      <c r="J140" s="5" t="n">
        <v>18.72665050209466</v>
      </c>
      <c r="K140" s="5" t="n">
        <v>-18.72665050209466</v>
      </c>
      <c r="L140" s="5" t="n">
        <v>-88.01525735984492</v>
      </c>
      <c r="M140" s="3" t="inlineStr">
        <is>
          <t>21/05/2026 09:42:14</t>
        </is>
      </c>
    </row>
    <row r="141">
      <c r="A141" s="3" t="inlineStr">
        <is>
          <t>584125710170293433</t>
        </is>
      </c>
      <c r="B141" s="3" t="inlineStr">
        <is>
          <t>已完成</t>
        </is>
      </c>
      <c r="C141" s="3" t="inlineStr">
        <is>
          <t>CK</t>
        </is>
      </c>
      <c r="D141" s="3" t="inlineStr">
        <is>
          <t>黑松露黑麦苏打饼干</t>
        </is>
      </c>
      <c r="E14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41" s="3" t="inlineStr">
        <is>
          <t>ค่าเริ่มต้น</t>
        </is>
      </c>
      <c r="G141" s="6" t="n">
        <v>1</v>
      </c>
      <c r="H141" s="6" t="n">
        <v>10.72665050209467</v>
      </c>
      <c r="I141" s="6" t="n">
        <v>1</v>
      </c>
      <c r="J141" s="5" t="n">
        <v>18.72665050209466</v>
      </c>
      <c r="K141" s="5" t="n">
        <v>-18.72665050209466</v>
      </c>
      <c r="L141" s="5" t="n">
        <v>-88.01525735984492</v>
      </c>
      <c r="M141" s="3" t="inlineStr">
        <is>
          <t>21/05/2026 09:40:24</t>
        </is>
      </c>
    </row>
    <row r="142">
      <c r="A142" s="3" t="inlineStr">
        <is>
          <t>584125710118193080</t>
        </is>
      </c>
      <c r="B142" s="3" t="inlineStr">
        <is>
          <t>已完成</t>
        </is>
      </c>
      <c r="C142" s="3" t="inlineStr">
        <is>
          <t>CK</t>
        </is>
      </c>
      <c r="D142" s="3" t="inlineStr">
        <is>
          <t>黑松露黑麦苏打饼干</t>
        </is>
      </c>
      <c r="E14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42" s="3" t="inlineStr">
        <is>
          <t>ค่าเริ่มต้น</t>
        </is>
      </c>
      <c r="G142" s="6" t="n">
        <v>1</v>
      </c>
      <c r="H142" s="6" t="n">
        <v>10.72665050209467</v>
      </c>
      <c r="I142" s="6" t="n">
        <v>1</v>
      </c>
      <c r="J142" s="5" t="n">
        <v>18.72665050209466</v>
      </c>
      <c r="K142" s="5" t="n">
        <v>-18.72665050209466</v>
      </c>
      <c r="L142" s="5" t="n">
        <v>-88.01525735984492</v>
      </c>
      <c r="M142" s="3" t="inlineStr">
        <is>
          <t>21/05/2026 09:39:26</t>
        </is>
      </c>
    </row>
    <row r="143">
      <c r="A143" s="3" t="inlineStr">
        <is>
          <t>584125517724878453</t>
        </is>
      </c>
      <c r="B143" s="3" t="inlineStr">
        <is>
          <t>已完成</t>
        </is>
      </c>
      <c r="C143" s="3" t="inlineStr">
        <is>
          <t>C1</t>
        </is>
      </c>
      <c r="D143" s="3" t="inlineStr">
        <is>
          <t>魔芋笋1大袋</t>
        </is>
      </c>
      <c r="E1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3" s="3" t="inlineStr">
        <is>
          <t>รสเผ็ดหอม​, 10 ซอง 200g</t>
        </is>
      </c>
      <c r="G143" s="6" t="n">
        <v>1</v>
      </c>
      <c r="H143" s="6" t="n">
        <v>6.699999999999999</v>
      </c>
      <c r="I143" s="6" t="n">
        <v>1</v>
      </c>
      <c r="J143" s="5" t="n">
        <v>14.7</v>
      </c>
      <c r="K143" s="5" t="n">
        <v>-14.7</v>
      </c>
      <c r="L143" s="5" t="n">
        <v>-69.09</v>
      </c>
      <c r="M143" s="3" t="inlineStr">
        <is>
          <t>21/05/2026 09:36:17</t>
        </is>
      </c>
    </row>
    <row r="144">
      <c r="A144" s="3" t="inlineStr">
        <is>
          <t>584115670166833050</t>
        </is>
      </c>
      <c r="B144" s="3" t="inlineStr">
        <is>
          <t>已完成</t>
        </is>
      </c>
      <c r="C144" s="3" t="inlineStr">
        <is>
          <t>C1</t>
        </is>
      </c>
      <c r="D144" s="3" t="inlineStr">
        <is>
          <t>魔芋笋1大袋</t>
        </is>
      </c>
      <c r="E1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4" s="3" t="inlineStr">
        <is>
          <t>รสเผ็ดหอม​, 10 ซอง 200g</t>
        </is>
      </c>
      <c r="G144" s="6" t="n">
        <v>1</v>
      </c>
      <c r="H144" s="6" t="n">
        <v>6.699999999999999</v>
      </c>
      <c r="I144" s="6" t="n">
        <v>1</v>
      </c>
      <c r="J144" s="5" t="n">
        <v>14.7</v>
      </c>
      <c r="K144" s="5" t="n">
        <v>-14.7</v>
      </c>
      <c r="L144" s="5" t="n">
        <v>-69.09</v>
      </c>
      <c r="M144" s="3" t="inlineStr">
        <is>
          <t>20/05/2026 16:42:21</t>
        </is>
      </c>
    </row>
    <row r="145">
      <c r="A145" s="3" t="inlineStr">
        <is>
          <t>584114525991831253</t>
        </is>
      </c>
      <c r="B145" s="3" t="inlineStr">
        <is>
          <t>已完成</t>
        </is>
      </c>
      <c r="C145" s="3" t="inlineStr">
        <is>
          <t>C1</t>
        </is>
      </c>
      <c r="D145" s="3" t="inlineStr">
        <is>
          <t>魔芋笋1大袋</t>
        </is>
      </c>
      <c r="E1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5" s="3" t="inlineStr">
        <is>
          <t>รสเผ็ดหอม​, 10 ซอง 200g</t>
        </is>
      </c>
      <c r="G145" s="6" t="n">
        <v>1</v>
      </c>
      <c r="H145" s="6" t="n">
        <v>6.699999999999999</v>
      </c>
      <c r="I145" s="6" t="n">
        <v>1</v>
      </c>
      <c r="J145" s="5" t="n">
        <v>14.7</v>
      </c>
      <c r="K145" s="5" t="n">
        <v>-14.7</v>
      </c>
      <c r="L145" s="5" t="n">
        <v>-69.09</v>
      </c>
      <c r="M145" s="3" t="inlineStr">
        <is>
          <t>20/05/2026 15:09:27</t>
        </is>
      </c>
    </row>
    <row r="146">
      <c r="A146" s="3" t="inlineStr">
        <is>
          <t>584114464169559900</t>
        </is>
      </c>
      <c r="B146" s="3" t="inlineStr">
        <is>
          <t>已完成</t>
        </is>
      </c>
      <c r="C146" s="3" t="inlineStr">
        <is>
          <t>C1</t>
        </is>
      </c>
      <c r="D146" s="3" t="inlineStr">
        <is>
          <t>魔芋笋1大袋</t>
        </is>
      </c>
      <c r="E1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6" s="3" t="inlineStr">
        <is>
          <t>รสเผ็ดหอม​, 10 ซอง 200g</t>
        </is>
      </c>
      <c r="G146" s="6" t="n">
        <v>1</v>
      </c>
      <c r="H146" s="6" t="n">
        <v>6.699999999999999</v>
      </c>
      <c r="I146" s="6" t="n">
        <v>1</v>
      </c>
      <c r="J146" s="5" t="n">
        <v>14.7</v>
      </c>
      <c r="K146" s="5" t="n">
        <v>-14.7</v>
      </c>
      <c r="L146" s="5" t="n">
        <v>-69.09</v>
      </c>
      <c r="M146" s="3" t="inlineStr">
        <is>
          <t>20/05/2026 14:55:13</t>
        </is>
      </c>
    </row>
    <row r="147">
      <c r="A147" s="3" t="inlineStr">
        <is>
          <t>584114464020661989</t>
        </is>
      </c>
      <c r="B147" s="3" t="inlineStr">
        <is>
          <t>已完成</t>
        </is>
      </c>
      <c r="C147" s="3" t="inlineStr">
        <is>
          <t>C1</t>
        </is>
      </c>
      <c r="D147" s="3" t="inlineStr">
        <is>
          <t>魔芋笋1大袋</t>
        </is>
      </c>
      <c r="E1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7" s="3" t="inlineStr">
        <is>
          <t>รสเผ็ดหอม​, 10 ซอง 200g</t>
        </is>
      </c>
      <c r="G147" s="6" t="n">
        <v>1</v>
      </c>
      <c r="H147" s="6" t="n">
        <v>6.699999999999999</v>
      </c>
      <c r="I147" s="6" t="n">
        <v>1</v>
      </c>
      <c r="J147" s="5" t="n">
        <v>14.7</v>
      </c>
      <c r="K147" s="5" t="n">
        <v>-14.7</v>
      </c>
      <c r="L147" s="5" t="n">
        <v>-69.09</v>
      </c>
      <c r="M147" s="3" t="inlineStr">
        <is>
          <t>20/05/2026 14:51:28</t>
        </is>
      </c>
    </row>
    <row r="148">
      <c r="A148" s="3" t="inlineStr">
        <is>
          <t>584114276631610820</t>
        </is>
      </c>
      <c r="B148" s="3" t="inlineStr">
        <is>
          <t>已完成</t>
        </is>
      </c>
      <c r="C148" s="3" t="inlineStr">
        <is>
          <t>C1</t>
        </is>
      </c>
      <c r="D148" s="3" t="inlineStr">
        <is>
          <t>魔芋笋1大袋</t>
        </is>
      </c>
      <c r="E1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8" s="3" t="inlineStr">
        <is>
          <t>รสเผ็ดหอม​, 10 ซอง 200g</t>
        </is>
      </c>
      <c r="G148" s="6" t="n">
        <v>1</v>
      </c>
      <c r="H148" s="6" t="n">
        <v>6.699999999999999</v>
      </c>
      <c r="I148" s="6" t="n">
        <v>1</v>
      </c>
      <c r="J148" s="5" t="n">
        <v>14.7</v>
      </c>
      <c r="K148" s="5" t="n">
        <v>-14.7</v>
      </c>
      <c r="L148" s="5" t="n">
        <v>-69.09</v>
      </c>
      <c r="M148" s="3" t="inlineStr">
        <is>
          <t>20/05/2026 14:39:11</t>
        </is>
      </c>
    </row>
    <row r="149">
      <c r="A149" s="3" t="inlineStr">
        <is>
          <t>584113942239478924</t>
        </is>
      </c>
      <c r="B149" s="3" t="inlineStr">
        <is>
          <t>已完成</t>
        </is>
      </c>
      <c r="C149" s="3" t="inlineStr">
        <is>
          <t>C1</t>
        </is>
      </c>
      <c r="D149" s="3" t="inlineStr">
        <is>
          <t>魔芋笋1大袋</t>
        </is>
      </c>
      <c r="E1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9" s="3" t="inlineStr">
        <is>
          <t>รสเผ็ดหอม​, 10 ซอง 200g</t>
        </is>
      </c>
      <c r="G149" s="6" t="n">
        <v>1</v>
      </c>
      <c r="H149" s="6" t="n">
        <v>6.699999999999999</v>
      </c>
      <c r="I149" s="6" t="n">
        <v>1</v>
      </c>
      <c r="J149" s="5" t="n">
        <v>14.7</v>
      </c>
      <c r="K149" s="5" t="n">
        <v>-14.7</v>
      </c>
      <c r="L149" s="5" t="n">
        <v>-69.09</v>
      </c>
      <c r="M149" s="3" t="inlineStr">
        <is>
          <t>20/05/2026 14:21:10</t>
        </is>
      </c>
    </row>
    <row r="150">
      <c r="A150" s="3" t="inlineStr">
        <is>
          <t>584113772310529595</t>
        </is>
      </c>
      <c r="B150" s="3" t="inlineStr">
        <is>
          <t>已完成</t>
        </is>
      </c>
      <c r="C150" s="3" t="inlineStr">
        <is>
          <t>C1</t>
        </is>
      </c>
      <c r="D150" s="3" t="inlineStr">
        <is>
          <t>魔芋笋1大袋</t>
        </is>
      </c>
      <c r="E1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0" s="3" t="inlineStr">
        <is>
          <t>รสเผ็ดหอม​, 10 ซอง 200g</t>
        </is>
      </c>
      <c r="G150" s="6" t="n">
        <v>1</v>
      </c>
      <c r="H150" s="6" t="n">
        <v>6.699999999999999</v>
      </c>
      <c r="I150" s="6" t="n">
        <v>1</v>
      </c>
      <c r="J150" s="5" t="n">
        <v>14.7</v>
      </c>
      <c r="K150" s="5" t="n">
        <v>-14.7</v>
      </c>
      <c r="L150" s="5" t="n">
        <v>-69.09</v>
      </c>
      <c r="M150" s="3" t="inlineStr">
        <is>
          <t>20/05/2026 14:05:10</t>
        </is>
      </c>
    </row>
    <row r="151">
      <c r="A151" s="3" t="inlineStr">
        <is>
          <t>584113587411715903</t>
        </is>
      </c>
      <c r="B151" s="3" t="inlineStr">
        <is>
          <t>已完成</t>
        </is>
      </c>
      <c r="C151" s="3" t="inlineStr">
        <is>
          <t>C1</t>
        </is>
      </c>
      <c r="D151" s="3" t="inlineStr">
        <is>
          <t>魔芋笋1大袋</t>
        </is>
      </c>
      <c r="E1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1" s="3" t="inlineStr">
        <is>
          <t>รสเผ็ดหอม​, 10 ซอง 200g</t>
        </is>
      </c>
      <c r="G151" s="6" t="n">
        <v>1</v>
      </c>
      <c r="H151" s="6" t="n">
        <v>6.699999999999999</v>
      </c>
      <c r="I151" s="6" t="n">
        <v>1</v>
      </c>
      <c r="J151" s="5" t="n">
        <v>14.7</v>
      </c>
      <c r="K151" s="5" t="n">
        <v>-14.7</v>
      </c>
      <c r="L151" s="5" t="n">
        <v>-69.09</v>
      </c>
      <c r="M151" s="3" t="inlineStr">
        <is>
          <t>20/05/2026 13:49:28</t>
        </is>
      </c>
    </row>
    <row r="152">
      <c r="A152" s="3" t="inlineStr">
        <is>
          <t>584113021075424479</t>
        </is>
      </c>
      <c r="B152" s="3" t="inlineStr">
        <is>
          <t>已完成</t>
        </is>
      </c>
      <c r="C152" s="3" t="inlineStr">
        <is>
          <t>C1</t>
        </is>
      </c>
      <c r="D152" s="3" t="inlineStr">
        <is>
          <t>魔芋笋1大袋</t>
        </is>
      </c>
      <c r="E1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2" s="3" t="inlineStr">
        <is>
          <t>รสเผ็ดหอม​, 10 ซอง 200g</t>
        </is>
      </c>
      <c r="G152" s="6" t="n">
        <v>1</v>
      </c>
      <c r="H152" s="6" t="n">
        <v>6.699999999999999</v>
      </c>
      <c r="I152" s="6" t="n">
        <v>1</v>
      </c>
      <c r="J152" s="5" t="n">
        <v>14.7</v>
      </c>
      <c r="K152" s="5" t="n">
        <v>-14.7</v>
      </c>
      <c r="L152" s="5" t="n">
        <v>-69.09</v>
      </c>
      <c r="M152" s="3" t="inlineStr">
        <is>
          <t>20/05/2026 13:14:23</t>
        </is>
      </c>
    </row>
    <row r="153">
      <c r="A153" s="3" t="inlineStr">
        <is>
          <t>584111531641439949</t>
        </is>
      </c>
      <c r="B153" s="3" t="inlineStr">
        <is>
          <t>已完成</t>
        </is>
      </c>
      <c r="C153" s="3" t="inlineStr">
        <is>
          <t>C1</t>
        </is>
      </c>
      <c r="D153" s="3" t="inlineStr">
        <is>
          <t>魔芋笋1大袋</t>
        </is>
      </c>
      <c r="E1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3" s="3" t="inlineStr">
        <is>
          <t>รสเผ็ดหอม​, 10 ซอง 200g</t>
        </is>
      </c>
      <c r="G153" s="6" t="n">
        <v>1</v>
      </c>
      <c r="H153" s="6" t="n">
        <v>6.699999999999999</v>
      </c>
      <c r="I153" s="6" t="n">
        <v>1</v>
      </c>
      <c r="J153" s="5" t="n">
        <v>14.7</v>
      </c>
      <c r="K153" s="5" t="n">
        <v>-14.7</v>
      </c>
      <c r="L153" s="5" t="n">
        <v>-69.09</v>
      </c>
      <c r="M153" s="3" t="inlineStr">
        <is>
          <t>20/05/2026 11:31:14</t>
        </is>
      </c>
    </row>
    <row r="154">
      <c r="A154" s="3" t="inlineStr">
        <is>
          <t>584111531570988286</t>
        </is>
      </c>
      <c r="B154" s="3" t="inlineStr">
        <is>
          <t>已完成</t>
        </is>
      </c>
      <c r="C154" s="3" t="inlineStr">
        <is>
          <t>C1</t>
        </is>
      </c>
      <c r="D154" s="3" t="inlineStr">
        <is>
          <t>魔芋笋1大袋</t>
        </is>
      </c>
      <c r="E1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4" s="3" t="inlineStr">
        <is>
          <t>รสเผ็ดหอม​, 10 ซอง 200g</t>
        </is>
      </c>
      <c r="G154" s="6" t="n">
        <v>1</v>
      </c>
      <c r="H154" s="6" t="n">
        <v>6.699999999999999</v>
      </c>
      <c r="I154" s="6" t="n">
        <v>1</v>
      </c>
      <c r="J154" s="5" t="n">
        <v>14.7</v>
      </c>
      <c r="K154" s="5" t="n">
        <v>-14.7</v>
      </c>
      <c r="L154" s="5" t="n">
        <v>-69.09</v>
      </c>
      <c r="M154" s="3" t="inlineStr">
        <is>
          <t>20/05/2026 11:29:12</t>
        </is>
      </c>
    </row>
    <row r="155">
      <c r="A155" s="3" t="inlineStr">
        <is>
          <t>584111451891795501</t>
        </is>
      </c>
      <c r="B155" s="3" t="inlineStr">
        <is>
          <t>已完成</t>
        </is>
      </c>
      <c r="C155" s="3" t="inlineStr">
        <is>
          <t>C1</t>
        </is>
      </c>
      <c r="D155" s="3" t="inlineStr">
        <is>
          <t>魔芋笋1大袋</t>
        </is>
      </c>
      <c r="E1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5" s="3" t="inlineStr">
        <is>
          <t>รสเผ็ดหอม​, 10 ซอง 200g</t>
        </is>
      </c>
      <c r="G155" s="6" t="n">
        <v>1</v>
      </c>
      <c r="H155" s="6" t="n">
        <v>6.699999999999999</v>
      </c>
      <c r="I155" s="6" t="n">
        <v>1</v>
      </c>
      <c r="J155" s="5" t="n">
        <v>14.7</v>
      </c>
      <c r="K155" s="5" t="n">
        <v>-14.7</v>
      </c>
      <c r="L155" s="5" t="n">
        <v>-69.09</v>
      </c>
      <c r="M155" s="3" t="inlineStr">
        <is>
          <t>20/05/2026 11:22:15</t>
        </is>
      </c>
    </row>
    <row r="156">
      <c r="A156" s="3" t="inlineStr">
        <is>
          <t>584111531369334763</t>
        </is>
      </c>
      <c r="B156" s="3" t="inlineStr">
        <is>
          <t>已完成</t>
        </is>
      </c>
      <c r="C156" s="3" t="inlineStr">
        <is>
          <t>C1</t>
        </is>
      </c>
      <c r="D156" s="3" t="inlineStr">
        <is>
          <t>魔芋笋1大袋</t>
        </is>
      </c>
      <c r="E1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6" s="3" t="inlineStr">
        <is>
          <t>รสเผ็ดหอม​, 10 ซอง 200g</t>
        </is>
      </c>
      <c r="G156" s="6" t="n">
        <v>1</v>
      </c>
      <c r="H156" s="6" t="n">
        <v>6.699999999999999</v>
      </c>
      <c r="I156" s="6" t="n">
        <v>1</v>
      </c>
      <c r="J156" s="5" t="n">
        <v>14.7</v>
      </c>
      <c r="K156" s="5" t="n">
        <v>-14.7</v>
      </c>
      <c r="L156" s="5" t="n">
        <v>-69.09</v>
      </c>
      <c r="M156" s="3" t="inlineStr">
        <is>
          <t>20/05/2026 11:21:14</t>
        </is>
      </c>
    </row>
    <row r="157">
      <c r="A157" s="3" t="inlineStr">
        <is>
          <t>584100891464926506</t>
        </is>
      </c>
      <c r="B157" s="3" t="inlineStr">
        <is>
          <t>已完成</t>
        </is>
      </c>
      <c r="C157" s="3" t="inlineStr">
        <is>
          <t>CK</t>
        </is>
      </c>
      <c r="D157" s="3" t="inlineStr">
        <is>
          <t>黑松露黑麦苏打饼干</t>
        </is>
      </c>
      <c r="E15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57" s="3" t="inlineStr">
        <is>
          <t>ค่าเริ่มต้น</t>
        </is>
      </c>
      <c r="G157" s="6" t="n">
        <v>1</v>
      </c>
      <c r="H157" s="6" t="n">
        <v>10.72665050209467</v>
      </c>
      <c r="I157" s="6" t="n">
        <v>1</v>
      </c>
      <c r="J157" s="5" t="n">
        <v>18.72665050209466</v>
      </c>
      <c r="K157" s="5" t="n">
        <v>-18.72665050209466</v>
      </c>
      <c r="L157" s="5" t="n">
        <v>-88.01525735984492</v>
      </c>
      <c r="M157" s="3" t="inlineStr">
        <is>
          <t>19/05/2026 17:44:14</t>
        </is>
      </c>
    </row>
    <row r="158">
      <c r="A158" s="3" t="inlineStr">
        <is>
          <t>584100956770436652</t>
        </is>
      </c>
      <c r="B158" s="3" t="inlineStr">
        <is>
          <t>已完成</t>
        </is>
      </c>
      <c r="C158" s="3" t="inlineStr">
        <is>
          <t>C1</t>
        </is>
      </c>
      <c r="D158" s="3" t="inlineStr">
        <is>
          <t>魔芋笋1大袋</t>
        </is>
      </c>
      <c r="E1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8" s="3" t="inlineStr">
        <is>
          <t>รสเผ็ดหอม​, 10 ซอง 200g</t>
        </is>
      </c>
      <c r="G158" s="6" t="n">
        <v>1</v>
      </c>
      <c r="H158" s="6" t="n">
        <v>6.699999999999999</v>
      </c>
      <c r="I158" s="6" t="n">
        <v>1</v>
      </c>
      <c r="J158" s="5" t="n">
        <v>14.7</v>
      </c>
      <c r="K158" s="5" t="n">
        <v>-14.7</v>
      </c>
      <c r="L158" s="5" t="n">
        <v>-69.09</v>
      </c>
      <c r="M158" s="3" t="inlineStr">
        <is>
          <t>19/05/2026 17:34:14</t>
        </is>
      </c>
    </row>
    <row r="159">
      <c r="A159" s="3" t="inlineStr">
        <is>
          <t>584100280471029498</t>
        </is>
      </c>
      <c r="B159" s="3" t="inlineStr">
        <is>
          <t>已完成</t>
        </is>
      </c>
      <c r="C159" s="3" t="inlineStr">
        <is>
          <t>CK</t>
        </is>
      </c>
      <c r="D159" s="3" t="inlineStr">
        <is>
          <t>黑松露黑麦苏打饼干</t>
        </is>
      </c>
      <c r="E15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59" s="3" t="inlineStr">
        <is>
          <t>ค่าเริ่มต้น</t>
        </is>
      </c>
      <c r="G159" s="6" t="n">
        <v>1</v>
      </c>
      <c r="H159" s="6" t="n">
        <v>10.72665050209467</v>
      </c>
      <c r="I159" s="6" t="n">
        <v>1</v>
      </c>
      <c r="J159" s="5" t="n">
        <v>18.72665050209466</v>
      </c>
      <c r="K159" s="5" t="n">
        <v>-18.72665050209466</v>
      </c>
      <c r="L159" s="5" t="n">
        <v>-88.01525735984492</v>
      </c>
      <c r="M159" s="3" t="inlineStr">
        <is>
          <t>19/05/2026 16:39:15</t>
        </is>
      </c>
    </row>
    <row r="160">
      <c r="A160" s="3" t="inlineStr">
        <is>
          <t>584099916865505165</t>
        </is>
      </c>
      <c r="B160" s="3" t="inlineStr">
        <is>
          <t>已完成</t>
        </is>
      </c>
      <c r="C160" s="3" t="inlineStr">
        <is>
          <t>C1</t>
        </is>
      </c>
      <c r="D160" s="3" t="inlineStr">
        <is>
          <t>魔芋笋1大袋</t>
        </is>
      </c>
      <c r="E1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0" s="3" t="inlineStr">
        <is>
          <t>รสเผ็ดหอม​, 10 ซอง 200g</t>
        </is>
      </c>
      <c r="G160" s="6" t="n">
        <v>1</v>
      </c>
      <c r="H160" s="6" t="n">
        <v>6.699999999999999</v>
      </c>
      <c r="I160" s="6" t="n">
        <v>1</v>
      </c>
      <c r="J160" s="5" t="n">
        <v>14.7</v>
      </c>
      <c r="K160" s="5" t="n">
        <v>-14.7</v>
      </c>
      <c r="L160" s="5" t="n">
        <v>-69.09</v>
      </c>
      <c r="M160" s="3" t="inlineStr">
        <is>
          <t>19/05/2026 16:10:16</t>
        </is>
      </c>
    </row>
    <row r="161">
      <c r="A161" s="3" t="inlineStr">
        <is>
          <t>584099916655789583</t>
        </is>
      </c>
      <c r="B161" s="3" t="inlineStr">
        <is>
          <t>已完成</t>
        </is>
      </c>
      <c r="C161" s="3" t="inlineStr">
        <is>
          <t>C1</t>
        </is>
      </c>
      <c r="D161" s="3" t="inlineStr">
        <is>
          <t>魔芋笋1大袋</t>
        </is>
      </c>
      <c r="E1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1" s="3" t="inlineStr">
        <is>
          <t>รสเผ็ดหอม​, 10 ซอง 200g</t>
        </is>
      </c>
      <c r="G161" s="6" t="n">
        <v>1</v>
      </c>
      <c r="H161" s="6" t="n">
        <v>6.699999999999999</v>
      </c>
      <c r="I161" s="6" t="n">
        <v>1</v>
      </c>
      <c r="J161" s="5" t="n">
        <v>14.7</v>
      </c>
      <c r="K161" s="5" t="n">
        <v>-14.7</v>
      </c>
      <c r="L161" s="5" t="n">
        <v>-69.09</v>
      </c>
      <c r="M161" s="3" t="inlineStr">
        <is>
          <t>19/05/2026 16:05:23</t>
        </is>
      </c>
    </row>
    <row r="162">
      <c r="A162" s="3" t="inlineStr">
        <is>
          <t>584099843290858513</t>
        </is>
      </c>
      <c r="B162" s="3" t="inlineStr">
        <is>
          <t>已完成</t>
        </is>
      </c>
      <c r="C162" s="3" t="inlineStr">
        <is>
          <t>C1</t>
        </is>
      </c>
      <c r="D162" s="3" t="inlineStr">
        <is>
          <t>魔芋笋1大袋</t>
        </is>
      </c>
      <c r="E1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2" s="3" t="inlineStr">
        <is>
          <t>รสเผ็ดหอม​, 10 ซอง 200g</t>
        </is>
      </c>
      <c r="G162" s="6" t="n">
        <v>1</v>
      </c>
      <c r="H162" s="6" t="n">
        <v>6.699999999999999</v>
      </c>
      <c r="I162" s="6" t="n">
        <v>1</v>
      </c>
      <c r="J162" s="5" t="n">
        <v>14.7</v>
      </c>
      <c r="K162" s="5" t="n">
        <v>-14.7</v>
      </c>
      <c r="L162" s="5" t="n">
        <v>-69.09</v>
      </c>
      <c r="M162" s="3" t="inlineStr">
        <is>
          <t>19/05/2026 15:56:18</t>
        </is>
      </c>
    </row>
    <row r="163">
      <c r="A163" s="3" t="inlineStr">
        <is>
          <t>584099842968159629</t>
        </is>
      </c>
      <c r="B163" s="3" t="inlineStr">
        <is>
          <t>已完成</t>
        </is>
      </c>
      <c r="C163" s="3" t="inlineStr">
        <is>
          <t>C1</t>
        </is>
      </c>
      <c r="D163" s="3" t="inlineStr">
        <is>
          <t>魔芋笋1大袋</t>
        </is>
      </c>
      <c r="E1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3" s="3" t="inlineStr">
        <is>
          <t>รสเผ็ดหอม​, 10 ซอง 200g</t>
        </is>
      </c>
      <c r="G163" s="6" t="n">
        <v>1</v>
      </c>
      <c r="H163" s="6" t="n">
        <v>6.699999999999999</v>
      </c>
      <c r="I163" s="6" t="n">
        <v>1</v>
      </c>
      <c r="J163" s="5" t="n">
        <v>14.7</v>
      </c>
      <c r="K163" s="5" t="n">
        <v>-14.7</v>
      </c>
      <c r="L163" s="5" t="n">
        <v>-69.09</v>
      </c>
      <c r="M163" s="3" t="inlineStr">
        <is>
          <t>19/05/2026 15:50:24</t>
        </is>
      </c>
    </row>
    <row r="164">
      <c r="A164" s="3" t="inlineStr">
        <is>
          <t>584099704401790823</t>
        </is>
      </c>
      <c r="B164" s="3" t="inlineStr">
        <is>
          <t>已完成</t>
        </is>
      </c>
      <c r="C164" s="3" t="inlineStr">
        <is>
          <t>C1</t>
        </is>
      </c>
      <c r="D164" s="3" t="inlineStr">
        <is>
          <t>魔芋笋1大袋</t>
        </is>
      </c>
      <c r="E1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4" s="3" t="inlineStr">
        <is>
          <t>รสเผ็ดหอม​, 10 ซอง 200g</t>
        </is>
      </c>
      <c r="G164" s="6" t="n">
        <v>1</v>
      </c>
      <c r="H164" s="6" t="n">
        <v>6.699999999999999</v>
      </c>
      <c r="I164" s="6" t="n">
        <v>1</v>
      </c>
      <c r="J164" s="5" t="n">
        <v>14.7</v>
      </c>
      <c r="K164" s="5" t="n">
        <v>-14.7</v>
      </c>
      <c r="L164" s="5" t="n">
        <v>-69.09</v>
      </c>
      <c r="M164" s="3" t="inlineStr">
        <is>
          <t>19/05/2026 15:45:25</t>
        </is>
      </c>
    </row>
    <row r="165">
      <c r="A165" s="3" t="inlineStr">
        <is>
          <t>584099704100849284</t>
        </is>
      </c>
      <c r="B165" s="3" t="inlineStr">
        <is>
          <t>已完成</t>
        </is>
      </c>
      <c r="C165" s="3" t="inlineStr">
        <is>
          <t>CK</t>
        </is>
      </c>
      <c r="D165" s="3" t="inlineStr">
        <is>
          <t>黑松露黑麦苏打饼干</t>
        </is>
      </c>
      <c r="E16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65" s="3" t="inlineStr">
        <is>
          <t>ค่าเริ่มต้น</t>
        </is>
      </c>
      <c r="G165" s="6" t="n">
        <v>1</v>
      </c>
      <c r="H165" s="6" t="n">
        <v>10.72665050209467</v>
      </c>
      <c r="I165" s="6" t="n">
        <v>1</v>
      </c>
      <c r="J165" s="5" t="n">
        <v>18.72665050209466</v>
      </c>
      <c r="K165" s="5" t="n">
        <v>-18.72665050209466</v>
      </c>
      <c r="L165" s="5" t="n">
        <v>-88.01525735984492</v>
      </c>
      <c r="M165" s="3" t="inlineStr">
        <is>
          <t>19/05/2026 15:40:18</t>
        </is>
      </c>
    </row>
    <row r="166">
      <c r="A166" s="3" t="inlineStr">
        <is>
          <t>584099565078676569</t>
        </is>
      </c>
      <c r="B166" s="3" t="inlineStr">
        <is>
          <t>已完成</t>
        </is>
      </c>
      <c r="C166" s="3" t="inlineStr">
        <is>
          <t>C1</t>
        </is>
      </c>
      <c r="D166" s="3" t="inlineStr">
        <is>
          <t>魔芋笋1大袋</t>
        </is>
      </c>
      <c r="E1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6" s="3" t="inlineStr">
        <is>
          <t>รสเผ็ดหอม​, 10 ซอง 200g</t>
        </is>
      </c>
      <c r="G166" s="6" t="n">
        <v>1</v>
      </c>
      <c r="H166" s="6" t="n">
        <v>6.699999999999999</v>
      </c>
      <c r="I166" s="6" t="n">
        <v>1</v>
      </c>
      <c r="J166" s="5" t="n">
        <v>14.7</v>
      </c>
      <c r="K166" s="5" t="n">
        <v>-14.7</v>
      </c>
      <c r="L166" s="5" t="n">
        <v>-69.09</v>
      </c>
      <c r="M166" s="3" t="inlineStr">
        <is>
          <t>19/05/2026 15:27:14</t>
        </is>
      </c>
    </row>
    <row r="167">
      <c r="A167" s="3" t="inlineStr">
        <is>
          <t>584099565023823344</t>
        </is>
      </c>
      <c r="B167" s="3" t="inlineStr">
        <is>
          <t>已完成</t>
        </is>
      </c>
      <c r="C167" s="3" t="inlineStr">
        <is>
          <t>C1</t>
        </is>
      </c>
      <c r="D167" s="3" t="inlineStr">
        <is>
          <t>魔芋笋1大袋</t>
        </is>
      </c>
      <c r="E1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7" s="3" t="inlineStr">
        <is>
          <t>รสเผ็ดหอม​, 10 ซอง 200g</t>
        </is>
      </c>
      <c r="G167" s="6" t="n">
        <v>1</v>
      </c>
      <c r="H167" s="6" t="n">
        <v>6.699999999999999</v>
      </c>
      <c r="I167" s="6" t="n">
        <v>1</v>
      </c>
      <c r="J167" s="5" t="n">
        <v>14.7</v>
      </c>
      <c r="K167" s="5" t="n">
        <v>-14.7</v>
      </c>
      <c r="L167" s="5" t="n">
        <v>-69.09</v>
      </c>
      <c r="M167" s="3" t="inlineStr">
        <is>
          <t>19/05/2026 15:26:13</t>
        </is>
      </c>
    </row>
    <row r="168">
      <c r="A168" s="3" t="inlineStr">
        <is>
          <t>584099349191034230</t>
        </is>
      </c>
      <c r="B168" s="3" t="inlineStr">
        <is>
          <t>已完成</t>
        </is>
      </c>
      <c r="C168" s="3" t="inlineStr">
        <is>
          <t>C1</t>
        </is>
      </c>
      <c r="D168" s="3" t="inlineStr">
        <is>
          <t>魔芋笋1大袋</t>
        </is>
      </c>
      <c r="E1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8" s="3" t="inlineStr">
        <is>
          <t>รสเผ็ดหอม​, 10 ซอง 200g</t>
        </is>
      </c>
      <c r="G168" s="6" t="n">
        <v>1</v>
      </c>
      <c r="H168" s="6" t="n">
        <v>6.699999999999999</v>
      </c>
      <c r="I168" s="6" t="n">
        <v>1</v>
      </c>
      <c r="J168" s="5" t="n">
        <v>14.7</v>
      </c>
      <c r="K168" s="5" t="n">
        <v>-14.7</v>
      </c>
      <c r="L168" s="5" t="n">
        <v>-69.09</v>
      </c>
      <c r="M168" s="3" t="inlineStr">
        <is>
          <t>19/05/2026 15:22:24</t>
        </is>
      </c>
    </row>
    <row r="169">
      <c r="A169" s="3" t="inlineStr">
        <is>
          <t>584099387037156418</t>
        </is>
      </c>
      <c r="B169" s="3" t="inlineStr">
        <is>
          <t>已完成</t>
        </is>
      </c>
      <c r="C169" s="3" t="inlineStr">
        <is>
          <t>C1</t>
        </is>
      </c>
      <c r="D169" s="3" t="inlineStr">
        <is>
          <t>魔芋笋1大袋</t>
        </is>
      </c>
      <c r="E1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9" s="3" t="inlineStr">
        <is>
          <t>รสเผ็ดหอม​, 10 ซอง 200g</t>
        </is>
      </c>
      <c r="G169" s="6" t="n">
        <v>1</v>
      </c>
      <c r="H169" s="6" t="n">
        <v>6.699999999999999</v>
      </c>
      <c r="I169" s="6" t="n">
        <v>1</v>
      </c>
      <c r="J169" s="5" t="n">
        <v>14.7</v>
      </c>
      <c r="K169" s="5" t="n">
        <v>-14.7</v>
      </c>
      <c r="L169" s="5" t="n">
        <v>-69.09</v>
      </c>
      <c r="M169" s="3" t="inlineStr">
        <is>
          <t>19/05/2026 15:18:27</t>
        </is>
      </c>
    </row>
    <row r="170">
      <c r="A170" s="3" t="inlineStr">
        <is>
          <t>584099386804438591</t>
        </is>
      </c>
      <c r="B170" s="3" t="inlineStr">
        <is>
          <t>已完成</t>
        </is>
      </c>
      <c r="C170" s="3" t="inlineStr">
        <is>
          <t>C1</t>
        </is>
      </c>
      <c r="D170" s="3" t="inlineStr">
        <is>
          <t>魔芋笋1大袋</t>
        </is>
      </c>
      <c r="E1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0" s="3" t="inlineStr">
        <is>
          <t>รสเผ็ดหอม​, 10 ซอง 200g</t>
        </is>
      </c>
      <c r="G170" s="6" t="n">
        <v>1</v>
      </c>
      <c r="H170" s="6" t="n">
        <v>6.699999999999999</v>
      </c>
      <c r="I170" s="6" t="n">
        <v>1</v>
      </c>
      <c r="J170" s="5" t="n">
        <v>14.7</v>
      </c>
      <c r="K170" s="5" t="n">
        <v>-14.7</v>
      </c>
      <c r="L170" s="5" t="n">
        <v>-69.09</v>
      </c>
      <c r="M170" s="3" t="inlineStr">
        <is>
          <t>19/05/2026 15:14:23</t>
        </is>
      </c>
    </row>
    <row r="171">
      <c r="A171" s="3" t="inlineStr">
        <is>
          <t>584098797143885212</t>
        </is>
      </c>
      <c r="B171" s="3" t="inlineStr">
        <is>
          <t>已完成</t>
        </is>
      </c>
      <c r="C171" s="3" t="inlineStr">
        <is>
          <t>C1</t>
        </is>
      </c>
      <c r="D171" s="3" t="inlineStr">
        <is>
          <t>魔芋笋1大袋</t>
        </is>
      </c>
      <c r="E1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1" s="3" t="inlineStr">
        <is>
          <t>รสเผ็ดหอม​, 10 ซอง 200g</t>
        </is>
      </c>
      <c r="G171" s="6" t="n">
        <v>1</v>
      </c>
      <c r="H171" s="6" t="n">
        <v>6.699999999999999</v>
      </c>
      <c r="I171" s="6" t="n">
        <v>1</v>
      </c>
      <c r="J171" s="5" t="n">
        <v>14.7</v>
      </c>
      <c r="K171" s="5" t="n">
        <v>-14.7</v>
      </c>
      <c r="L171" s="5" t="n">
        <v>-69.09</v>
      </c>
      <c r="M171" s="3" t="inlineStr">
        <is>
          <t>19/05/2026 14:30:25</t>
        </is>
      </c>
    </row>
    <row r="172">
      <c r="A172" s="3" t="inlineStr">
        <is>
          <t>584097659277902876</t>
        </is>
      </c>
      <c r="B172" s="3" t="inlineStr">
        <is>
          <t>已完成</t>
        </is>
      </c>
      <c r="C172" s="3" t="inlineStr">
        <is>
          <t>C1</t>
        </is>
      </c>
      <c r="D172" s="3" t="inlineStr">
        <is>
          <t>魔芋笋1大袋</t>
        </is>
      </c>
      <c r="E1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2" s="3" t="inlineStr">
        <is>
          <t>รสเผ็ดหอม​, 10 ซอง 200g</t>
        </is>
      </c>
      <c r="G172" s="6" t="n">
        <v>1</v>
      </c>
      <c r="H172" s="6" t="n">
        <v>6.699999999999999</v>
      </c>
      <c r="I172" s="6" t="n">
        <v>1</v>
      </c>
      <c r="J172" s="5" t="n">
        <v>14.7</v>
      </c>
      <c r="K172" s="5" t="n">
        <v>-14.7</v>
      </c>
      <c r="L172" s="5" t="n">
        <v>-69.09</v>
      </c>
      <c r="M172" s="3" t="inlineStr">
        <is>
          <t>19/05/2026 13:09:21</t>
        </is>
      </c>
    </row>
    <row r="173">
      <c r="A173" s="3" t="inlineStr">
        <is>
          <t>584096159432148722</t>
        </is>
      </c>
      <c r="B173" s="3" t="inlineStr">
        <is>
          <t>已完成</t>
        </is>
      </c>
      <c r="C173" s="3" t="inlineStr">
        <is>
          <t>CK</t>
        </is>
      </c>
      <c r="D173" s="3" t="inlineStr">
        <is>
          <t>黑松露黑麦苏打饼干</t>
        </is>
      </c>
      <c r="E17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3" s="3" t="inlineStr">
        <is>
          <t>ค่าเริ่มต้น</t>
        </is>
      </c>
      <c r="G173" s="6" t="n">
        <v>1</v>
      </c>
      <c r="H173" s="6" t="n">
        <v>10.72665050209467</v>
      </c>
      <c r="I173" s="6" t="n">
        <v>1</v>
      </c>
      <c r="J173" s="5" t="n">
        <v>18.72665050209466</v>
      </c>
      <c r="K173" s="5" t="n">
        <v>-18.72665050209466</v>
      </c>
      <c r="L173" s="5" t="n">
        <v>-88.01525735984492</v>
      </c>
      <c r="M173" s="3" t="inlineStr">
        <is>
          <t>19/05/2026 11:21:19</t>
        </is>
      </c>
    </row>
    <row r="174">
      <c r="A174" s="3" t="inlineStr">
        <is>
          <t>584096001545700493</t>
        </is>
      </c>
      <c r="B174" s="3" t="inlineStr">
        <is>
          <t>已完成</t>
        </is>
      </c>
      <c r="C174" s="3" t="inlineStr">
        <is>
          <t>C1</t>
        </is>
      </c>
      <c r="D174" s="3" t="inlineStr">
        <is>
          <t>魔芋笋1大袋</t>
        </is>
      </c>
      <c r="E1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4" s="3" t="inlineStr">
        <is>
          <t>รสเผ็ดหอม​, 10 ซอง 200g</t>
        </is>
      </c>
      <c r="G174" s="6" t="n">
        <v>1</v>
      </c>
      <c r="H174" s="6" t="n">
        <v>6.699999999999999</v>
      </c>
      <c r="I174" s="6" t="n">
        <v>1</v>
      </c>
      <c r="J174" s="5" t="n">
        <v>14.7</v>
      </c>
      <c r="K174" s="5" t="n">
        <v>-14.7</v>
      </c>
      <c r="L174" s="5" t="n">
        <v>-69.09</v>
      </c>
      <c r="M174" s="3" t="inlineStr">
        <is>
          <t>19/05/2026 11:07:17</t>
        </is>
      </c>
    </row>
    <row r="175">
      <c r="A175" s="3" t="inlineStr">
        <is>
          <t>584086039701390825</t>
        </is>
      </c>
      <c r="B175" s="3" t="inlineStr">
        <is>
          <t>已完成</t>
        </is>
      </c>
      <c r="C175" s="3" t="inlineStr">
        <is>
          <t>C1</t>
        </is>
      </c>
      <c r="D175" s="3" t="inlineStr">
        <is>
          <t>魔芋笋1大袋</t>
        </is>
      </c>
      <c r="E1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5" s="3" t="inlineStr">
        <is>
          <t>รสเผ็ดหอม​, 10 ซอง 200g</t>
        </is>
      </c>
      <c r="G175" s="6" t="n">
        <v>1</v>
      </c>
      <c r="H175" s="6" t="n">
        <v>6.699999999999999</v>
      </c>
      <c r="I175" s="6" t="n">
        <v>1</v>
      </c>
      <c r="J175" s="5" t="n">
        <v>14.7</v>
      </c>
      <c r="K175" s="5" t="n">
        <v>-14.7</v>
      </c>
      <c r="L175" s="5" t="n">
        <v>-69.09</v>
      </c>
      <c r="M175" s="3" t="inlineStr">
        <is>
          <t>18/05/2026 18:11:11</t>
        </is>
      </c>
    </row>
    <row r="176">
      <c r="A176" s="3" t="inlineStr">
        <is>
          <t>584085599103779876</t>
        </is>
      </c>
      <c r="B176" s="3" t="inlineStr">
        <is>
          <t>已完成</t>
        </is>
      </c>
      <c r="C176" s="3" t="inlineStr">
        <is>
          <t>CK</t>
        </is>
      </c>
      <c r="D176" s="3" t="inlineStr">
        <is>
          <t>黑松露黑麦苏打饼干</t>
        </is>
      </c>
      <c r="E17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6" s="3" t="inlineStr">
        <is>
          <t>ค่าเริ่มต้น</t>
        </is>
      </c>
      <c r="G176" s="6" t="n">
        <v>1</v>
      </c>
      <c r="H176" s="6" t="n">
        <v>10.72665050209467</v>
      </c>
      <c r="I176" s="6" t="n">
        <v>1</v>
      </c>
      <c r="J176" s="5" t="n">
        <v>18.72665050209466</v>
      </c>
      <c r="K176" s="5" t="n">
        <v>-18.72665050209466</v>
      </c>
      <c r="L176" s="5" t="n">
        <v>-88.01525735984492</v>
      </c>
      <c r="M176" s="3" t="inlineStr">
        <is>
          <t>18/05/2026 17:42:12</t>
        </is>
      </c>
    </row>
    <row r="177">
      <c r="A177" s="3" t="inlineStr">
        <is>
          <t>584085231584118126</t>
        </is>
      </c>
      <c r="B177" s="3" t="inlineStr">
        <is>
          <t>已完成</t>
        </is>
      </c>
      <c r="C177" s="3" t="inlineStr">
        <is>
          <t>C1</t>
        </is>
      </c>
      <c r="D177" s="3" t="inlineStr">
        <is>
          <t>魔芋笋1大袋</t>
        </is>
      </c>
      <c r="E1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7" s="3" t="inlineStr">
        <is>
          <t>รสเผ็ดหอม​, 10 ซอง 200g</t>
        </is>
      </c>
      <c r="G177" s="6" t="n">
        <v>1</v>
      </c>
      <c r="H177" s="6" t="n">
        <v>6.699999999999999</v>
      </c>
      <c r="I177" s="6" t="n">
        <v>1</v>
      </c>
      <c r="J177" s="5" t="n">
        <v>14.7</v>
      </c>
      <c r="K177" s="5" t="n">
        <v>-14.7</v>
      </c>
      <c r="L177" s="5" t="n">
        <v>-69.09</v>
      </c>
      <c r="M177" s="3" t="inlineStr">
        <is>
          <t>18/05/2026 17:19:21</t>
        </is>
      </c>
    </row>
    <row r="178">
      <c r="A178" s="3" t="inlineStr">
        <is>
          <t>584084837634639648</t>
        </is>
      </c>
      <c r="B178" s="3" t="inlineStr">
        <is>
          <t>已完成</t>
        </is>
      </c>
      <c r="C178" s="3" t="inlineStr">
        <is>
          <t>CK</t>
        </is>
      </c>
      <c r="D178" s="3" t="inlineStr">
        <is>
          <t>黑松露黑麦苏打饼干</t>
        </is>
      </c>
      <c r="E17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8" s="3" t="inlineStr">
        <is>
          <t>ค่าเริ่มต้น</t>
        </is>
      </c>
      <c r="G178" s="6" t="n">
        <v>1</v>
      </c>
      <c r="H178" s="6" t="n">
        <v>10.72665050209467</v>
      </c>
      <c r="I178" s="6" t="n">
        <v>1</v>
      </c>
      <c r="J178" s="5" t="n">
        <v>18.72665050209466</v>
      </c>
      <c r="K178" s="5" t="n">
        <v>-18.72665050209466</v>
      </c>
      <c r="L178" s="5" t="n">
        <v>-88.01525735984492</v>
      </c>
      <c r="M178" s="3" t="inlineStr">
        <is>
          <t>18/05/2026 16:34:17</t>
        </is>
      </c>
    </row>
    <row r="179">
      <c r="A179" s="3" t="inlineStr">
        <is>
          <t>584084837536794075</t>
        </is>
      </c>
      <c r="B179" s="3" t="inlineStr">
        <is>
          <t>已完成</t>
        </is>
      </c>
      <c r="C179" s="3" t="inlineStr">
        <is>
          <t>C1</t>
        </is>
      </c>
      <c r="D179" s="3" t="inlineStr">
        <is>
          <t>魔芋笋1大袋</t>
        </is>
      </c>
      <c r="E1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9" s="3" t="inlineStr">
        <is>
          <t>รสเผ็ดหอม​, 10 ซอง 200g</t>
        </is>
      </c>
      <c r="G179" s="6" t="n">
        <v>1</v>
      </c>
      <c r="H179" s="6" t="n">
        <v>6.699999999999999</v>
      </c>
      <c r="I179" s="6" t="n">
        <v>1</v>
      </c>
      <c r="J179" s="5" t="n">
        <v>14.7</v>
      </c>
      <c r="K179" s="5" t="n">
        <v>-14.7</v>
      </c>
      <c r="L179" s="5" t="n">
        <v>-69.09</v>
      </c>
      <c r="M179" s="3" t="inlineStr">
        <is>
          <t>18/05/2026 16:32:25</t>
        </is>
      </c>
    </row>
    <row r="180">
      <c r="A180" s="3" t="inlineStr">
        <is>
          <t>584084470066349073</t>
        </is>
      </c>
      <c r="B180" s="3" t="inlineStr">
        <is>
          <t>已完成</t>
        </is>
      </c>
      <c r="C180" s="3" t="inlineStr">
        <is>
          <t>CK</t>
        </is>
      </c>
      <c r="D180" s="3" t="inlineStr">
        <is>
          <t>黑松露黑麦苏打饼干</t>
        </is>
      </c>
      <c r="E18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0" s="3" t="inlineStr">
        <is>
          <t>ค่าเริ่มต้น</t>
        </is>
      </c>
      <c r="G180" s="6" t="n">
        <v>1</v>
      </c>
      <c r="H180" s="6" t="n">
        <v>10.72665050209467</v>
      </c>
      <c r="I180" s="6" t="n">
        <v>1</v>
      </c>
      <c r="J180" s="5" t="n">
        <v>18.72665050209466</v>
      </c>
      <c r="K180" s="5" t="n">
        <v>-18.72665050209466</v>
      </c>
      <c r="L180" s="5" t="n">
        <v>-88.01525735984492</v>
      </c>
      <c r="M180" s="3" t="inlineStr">
        <is>
          <t>18/05/2026 16:14:14</t>
        </is>
      </c>
    </row>
    <row r="181">
      <c r="A181" s="3" t="inlineStr">
        <is>
          <t>584084222996088375</t>
        </is>
      </c>
      <c r="B181" s="3" t="inlineStr">
        <is>
          <t>已完成</t>
        </is>
      </c>
      <c r="C181" s="3" t="inlineStr">
        <is>
          <t>CK</t>
        </is>
      </c>
      <c r="D181" s="3" t="inlineStr">
        <is>
          <t>黑松露黑麦苏打饼干</t>
        </is>
      </c>
      <c r="E18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1" s="3" t="inlineStr">
        <is>
          <t>ค่าเริ่มต้น</t>
        </is>
      </c>
      <c r="G181" s="6" t="n">
        <v>1</v>
      </c>
      <c r="H181" s="6" t="n">
        <v>10.72665050209467</v>
      </c>
      <c r="I181" s="6" t="n">
        <v>1</v>
      </c>
      <c r="J181" s="5" t="n">
        <v>18.72665050209466</v>
      </c>
      <c r="K181" s="5" t="n">
        <v>-18.72665050209466</v>
      </c>
      <c r="L181" s="5" t="n">
        <v>-88.01525735984492</v>
      </c>
      <c r="M181" s="3" t="inlineStr">
        <is>
          <t>18/05/2026 15:48:17</t>
        </is>
      </c>
    </row>
    <row r="182">
      <c r="A182" s="3" t="inlineStr">
        <is>
          <t>584083454074062331</t>
        </is>
      </c>
      <c r="B182" s="3" t="inlineStr">
        <is>
          <t>已完成</t>
        </is>
      </c>
      <c r="C182" s="3" t="inlineStr">
        <is>
          <t>C1</t>
        </is>
      </c>
      <c r="D182" s="3" t="inlineStr">
        <is>
          <t>魔芋笋1大袋</t>
        </is>
      </c>
      <c r="E1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2" s="3" t="inlineStr">
        <is>
          <t>รสเผ็ดหอม​, 10 ซอง 200g</t>
        </is>
      </c>
      <c r="G182" s="6" t="n">
        <v>1</v>
      </c>
      <c r="H182" s="6" t="n">
        <v>6.699999999999999</v>
      </c>
      <c r="I182" s="6" t="n">
        <v>1</v>
      </c>
      <c r="J182" s="5" t="n">
        <v>14.7</v>
      </c>
      <c r="K182" s="5" t="n">
        <v>-14.7</v>
      </c>
      <c r="L182" s="5" t="n">
        <v>-69.09</v>
      </c>
      <c r="M182" s="3" t="inlineStr">
        <is>
          <t>18/05/2026 14:46:23</t>
        </is>
      </c>
    </row>
    <row r="183">
      <c r="A183" s="3" t="inlineStr">
        <is>
          <t>584083454021174618</t>
        </is>
      </c>
      <c r="B183" s="3" t="inlineStr">
        <is>
          <t>已完成</t>
        </is>
      </c>
      <c r="C183" s="3" t="inlineStr">
        <is>
          <t>C1</t>
        </is>
      </c>
      <c r="D183" s="3" t="inlineStr">
        <is>
          <t>魔芋笋1大袋</t>
        </is>
      </c>
      <c r="E1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3" s="3" t="inlineStr">
        <is>
          <t>รสเผ็ดหอม​, 10 ซอง 200g</t>
        </is>
      </c>
      <c r="G183" s="6" t="n">
        <v>1</v>
      </c>
      <c r="H183" s="6" t="n">
        <v>6.699999999999999</v>
      </c>
      <c r="I183" s="6" t="n">
        <v>1</v>
      </c>
      <c r="J183" s="5" t="n">
        <v>14.7</v>
      </c>
      <c r="K183" s="5" t="n">
        <v>-14.7</v>
      </c>
      <c r="L183" s="5" t="n">
        <v>-69.09</v>
      </c>
      <c r="M183" s="3" t="inlineStr">
        <is>
          <t>18/05/2026 14:45:22</t>
        </is>
      </c>
    </row>
    <row r="184">
      <c r="A184" s="3" t="inlineStr">
        <is>
          <t>584083311093188524</t>
        </is>
      </c>
      <c r="B184" s="3" t="inlineStr">
        <is>
          <t>已完成</t>
        </is>
      </c>
      <c r="C184" s="3" t="inlineStr">
        <is>
          <t>C1</t>
        </is>
      </c>
      <c r="D184" s="3" t="inlineStr">
        <is>
          <t>魔芋笋1大袋</t>
        </is>
      </c>
      <c r="E1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4" s="3" t="inlineStr">
        <is>
          <t>รสเผ็ดหอม​, 10 ซอง 200g</t>
        </is>
      </c>
      <c r="G184" s="6" t="n">
        <v>1</v>
      </c>
      <c r="H184" s="6" t="n">
        <v>6.699999999999999</v>
      </c>
      <c r="I184" s="6" t="n">
        <v>1</v>
      </c>
      <c r="J184" s="5" t="n">
        <v>14.7</v>
      </c>
      <c r="K184" s="5" t="n">
        <v>-14.7</v>
      </c>
      <c r="L184" s="5" t="n">
        <v>-69.09</v>
      </c>
      <c r="M184" s="3" t="inlineStr">
        <is>
          <t>18/05/2026 14:36:25</t>
        </is>
      </c>
    </row>
    <row r="185">
      <c r="A185" s="3" t="inlineStr">
        <is>
          <t>584051770441106869</t>
        </is>
      </c>
      <c r="B185" s="3" t="inlineStr">
        <is>
          <t>已完成</t>
        </is>
      </c>
      <c r="C185" s="3" t="inlineStr">
        <is>
          <t>C1</t>
        </is>
      </c>
      <c r="D185" s="3" t="inlineStr">
        <is>
          <t>魔芋笋1大袋</t>
        </is>
      </c>
      <c r="E1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5" s="3" t="inlineStr">
        <is>
          <t>รสเผ็ดหอม​, 10 ซอง 200g</t>
        </is>
      </c>
      <c r="G185" s="6" t="n">
        <v>1</v>
      </c>
      <c r="H185" s="6" t="n">
        <v>6.699999999999999</v>
      </c>
      <c r="I185" s="6" t="n">
        <v>1</v>
      </c>
      <c r="J185" s="5" t="n">
        <v>14.7</v>
      </c>
      <c r="K185" s="5" t="n">
        <v>-14.7</v>
      </c>
      <c r="L185" s="5" t="n">
        <v>-69.09</v>
      </c>
      <c r="M185" s="3" t="inlineStr">
        <is>
          <t>16/05/2026 14:17:18</t>
        </is>
      </c>
    </row>
    <row r="186">
      <c r="A186" s="3" t="inlineStr">
        <is>
          <t>584051169904134081</t>
        </is>
      </c>
      <c r="B186" s="3" t="inlineStr">
        <is>
          <t>已完成</t>
        </is>
      </c>
      <c r="C186" s="3" t="inlineStr">
        <is>
          <t>C1</t>
        </is>
      </c>
      <c r="D186" s="3" t="inlineStr">
        <is>
          <t>魔芋笋1大袋</t>
        </is>
      </c>
      <c r="E1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6" s="3" t="inlineStr">
        <is>
          <t>รสเผ็ดหอม​, 10 ซอง 200g</t>
        </is>
      </c>
      <c r="G186" s="6" t="n">
        <v>1</v>
      </c>
      <c r="H186" s="6" t="n">
        <v>6.699999999999999</v>
      </c>
      <c r="I186" s="6" t="n">
        <v>1</v>
      </c>
      <c r="J186" s="5" t="n">
        <v>14.7</v>
      </c>
      <c r="K186" s="5" t="n">
        <v>-14.7</v>
      </c>
      <c r="L186" s="5" t="n">
        <v>-69.09</v>
      </c>
      <c r="M186" s="3" t="inlineStr">
        <is>
          <t>16/05/2026 13:47:15</t>
        </is>
      </c>
    </row>
    <row r="187">
      <c r="A187" s="3" t="inlineStr">
        <is>
          <t>584051274612967160</t>
        </is>
      </c>
      <c r="B187" s="3" t="inlineStr">
        <is>
          <t>已完成</t>
        </is>
      </c>
      <c r="C187" s="3" t="inlineStr">
        <is>
          <t>CK</t>
        </is>
      </c>
      <c r="D187" s="3" t="inlineStr">
        <is>
          <t>黑松露黑麦苏打饼干</t>
        </is>
      </c>
      <c r="E18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7" s="3" t="inlineStr">
        <is>
          <t>ค่าเริ่มต้น</t>
        </is>
      </c>
      <c r="G187" s="6" t="n">
        <v>1</v>
      </c>
      <c r="H187" s="6" t="n">
        <v>10.72665050209467</v>
      </c>
      <c r="I187" s="6" t="n">
        <v>1</v>
      </c>
      <c r="J187" s="5" t="n">
        <v>18.72665050209466</v>
      </c>
      <c r="K187" s="5" t="n">
        <v>-18.72665050209466</v>
      </c>
      <c r="L187" s="5" t="n">
        <v>-88.01525735984492</v>
      </c>
      <c r="M187" s="3" t="inlineStr">
        <is>
          <t>16/05/2026 13:46:18</t>
        </is>
      </c>
    </row>
    <row r="188">
      <c r="A188" s="3" t="inlineStr">
        <is>
          <t>584051169877526125</t>
        </is>
      </c>
      <c r="B188" s="3" t="inlineStr">
        <is>
          <t>已完成</t>
        </is>
      </c>
      <c r="C188" s="3" t="inlineStr">
        <is>
          <t>CK</t>
        </is>
      </c>
      <c r="D188" s="3" t="inlineStr">
        <is>
          <t>黑松露黑麦苏打饼干</t>
        </is>
      </c>
      <c r="E18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8" s="3" t="inlineStr">
        <is>
          <t>ค่าเริ่มต้น</t>
        </is>
      </c>
      <c r="G188" s="6" t="n">
        <v>1</v>
      </c>
      <c r="H188" s="6" t="n">
        <v>10.72665050209467</v>
      </c>
      <c r="I188" s="6" t="n">
        <v>1</v>
      </c>
      <c r="J188" s="5" t="n">
        <v>18.72665050209466</v>
      </c>
      <c r="K188" s="5" t="n">
        <v>-18.72665050209466</v>
      </c>
      <c r="L188" s="5" t="n">
        <v>-88.01525735984492</v>
      </c>
      <c r="M188" s="3" t="inlineStr">
        <is>
          <t>16/05/2026 13:46:16</t>
        </is>
      </c>
    </row>
    <row r="189">
      <c r="A189" s="3" t="inlineStr">
        <is>
          <t>584051274643113561</t>
        </is>
      </c>
      <c r="B189" s="3" t="inlineStr">
        <is>
          <t>已完成</t>
        </is>
      </c>
      <c r="C189" s="3" t="inlineStr">
        <is>
          <t>C1</t>
        </is>
      </c>
      <c r="D189" s="3" t="inlineStr">
        <is>
          <t>魔芋笋1大袋</t>
        </is>
      </c>
      <c r="E1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9" s="3" t="inlineStr">
        <is>
          <t>รสเผ็ดหอม​, 10 ซอง 200g</t>
        </is>
      </c>
      <c r="G189" s="6" t="n">
        <v>1</v>
      </c>
      <c r="H189" s="6" t="n">
        <v>6.699999999999999</v>
      </c>
      <c r="I189" s="6" t="n">
        <v>1</v>
      </c>
      <c r="J189" s="5" t="n">
        <v>14.7</v>
      </c>
      <c r="K189" s="5" t="n">
        <v>-14.7</v>
      </c>
      <c r="L189" s="5" t="n">
        <v>-69.09</v>
      </c>
      <c r="M189" s="3" t="inlineStr">
        <is>
          <t>16/05/2026 13:46:14</t>
        </is>
      </c>
    </row>
    <row r="190">
      <c r="A190" s="3" t="inlineStr">
        <is>
          <t>584050795741349794</t>
        </is>
      </c>
      <c r="B190" s="3" t="inlineStr">
        <is>
          <t>已完成</t>
        </is>
      </c>
      <c r="C190" s="3" t="inlineStr">
        <is>
          <t>CK</t>
        </is>
      </c>
      <c r="D190" s="3" t="inlineStr">
        <is>
          <t>黑松露黑麦苏打饼干</t>
        </is>
      </c>
      <c r="E19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0" s="3" t="inlineStr">
        <is>
          <t>ค่าเริ่มต้น</t>
        </is>
      </c>
      <c r="G190" s="6" t="n">
        <v>1</v>
      </c>
      <c r="H190" s="6" t="n">
        <v>10.72665050209467</v>
      </c>
      <c r="I190" s="6" t="n">
        <v>1</v>
      </c>
      <c r="J190" s="5" t="n">
        <v>18.72665050209466</v>
      </c>
      <c r="K190" s="5" t="n">
        <v>-18.72665050209466</v>
      </c>
      <c r="L190" s="5" t="n">
        <v>-88.01525735984492</v>
      </c>
      <c r="M190" s="3" t="inlineStr">
        <is>
          <t>16/05/2026 13:27:16</t>
        </is>
      </c>
    </row>
    <row r="191">
      <c r="A191" s="3" t="inlineStr">
        <is>
          <t>584050962672878971</t>
        </is>
      </c>
      <c r="B191" s="3" t="inlineStr">
        <is>
          <t>已完成</t>
        </is>
      </c>
      <c r="C191" s="3" t="inlineStr">
        <is>
          <t>C1</t>
        </is>
      </c>
      <c r="D191" s="3" t="inlineStr">
        <is>
          <t>魔芋笋1大袋</t>
        </is>
      </c>
      <c r="E191" s="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191" s="3" t="inlineStr">
        <is>
          <t>รสเผ็ดหอม​, 1pcs</t>
        </is>
      </c>
      <c r="G191" s="6" t="n">
        <v>1</v>
      </c>
      <c r="H191" s="6" t="n">
        <v>6.699999999999999</v>
      </c>
      <c r="I191" s="6" t="n">
        <v>1</v>
      </c>
      <c r="J191" s="5" t="n">
        <v>14.7</v>
      </c>
      <c r="K191" s="5" t="n">
        <v>-14.7</v>
      </c>
      <c r="L191" s="5" t="n">
        <v>-69.09</v>
      </c>
      <c r="M191" s="3" t="inlineStr">
        <is>
          <t>16/05/2026 13:27:15</t>
        </is>
      </c>
    </row>
    <row r="192">
      <c r="A192" s="3" t="inlineStr">
        <is>
          <t>584050962670847921</t>
        </is>
      </c>
      <c r="B192" s="3" t="inlineStr">
        <is>
          <t>已完成</t>
        </is>
      </c>
      <c r="C192" s="3" t="inlineStr">
        <is>
          <t>CK</t>
        </is>
      </c>
      <c r="D192" s="3" t="inlineStr">
        <is>
          <t>黑松露黑麦苏打饼干</t>
        </is>
      </c>
      <c r="E19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2" s="3" t="inlineStr">
        <is>
          <t>ค่าเริ่มต้น</t>
        </is>
      </c>
      <c r="G192" s="6" t="n">
        <v>1</v>
      </c>
      <c r="H192" s="6" t="n">
        <v>10.72665050209467</v>
      </c>
      <c r="I192" s="6" t="n">
        <v>1</v>
      </c>
      <c r="J192" s="5" t="n">
        <v>18.72665050209466</v>
      </c>
      <c r="K192" s="5" t="n">
        <v>-18.72665050209466</v>
      </c>
      <c r="L192" s="5" t="n">
        <v>-88.01525735984492</v>
      </c>
      <c r="M192" s="3" t="inlineStr">
        <is>
          <t>16/05/2026 13:27:13</t>
        </is>
      </c>
    </row>
    <row r="193">
      <c r="A193" s="3" t="inlineStr">
        <is>
          <t>584050795474552178</t>
        </is>
      </c>
      <c r="B193" s="3" t="inlineStr">
        <is>
          <t>已完成</t>
        </is>
      </c>
      <c r="C193" s="3" t="inlineStr">
        <is>
          <t>C1</t>
        </is>
      </c>
      <c r="D193" s="3" t="inlineStr">
        <is>
          <t>魔芋笋1大袋</t>
        </is>
      </c>
      <c r="E1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3" s="3" t="inlineStr">
        <is>
          <t>รสเผ็ดหอม​, 10 ซอง 200g</t>
        </is>
      </c>
      <c r="G193" s="6" t="n">
        <v>1</v>
      </c>
      <c r="H193" s="6" t="n">
        <v>6.699999999999999</v>
      </c>
      <c r="I193" s="6" t="n">
        <v>1</v>
      </c>
      <c r="J193" s="5" t="n">
        <v>14.7</v>
      </c>
      <c r="K193" s="5" t="n">
        <v>-14.7</v>
      </c>
      <c r="L193" s="5" t="n">
        <v>-69.09</v>
      </c>
      <c r="M193" s="3" t="inlineStr">
        <is>
          <t>16/05/2026 13:18:12</t>
        </is>
      </c>
    </row>
    <row r="194">
      <c r="A194" s="3" t="inlineStr">
        <is>
          <t>584050962295719757</t>
        </is>
      </c>
      <c r="B194" s="3" t="inlineStr">
        <is>
          <t>已完成</t>
        </is>
      </c>
      <c r="C194" s="3" t="inlineStr">
        <is>
          <t>C1</t>
        </is>
      </c>
      <c r="D194" s="3" t="inlineStr">
        <is>
          <t>魔芋笋1大袋</t>
        </is>
      </c>
      <c r="E1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4" s="3" t="inlineStr">
        <is>
          <t>รสเผ็ดหอม​, 10 ซอง 200g</t>
        </is>
      </c>
      <c r="G194" s="6" t="n">
        <v>1</v>
      </c>
      <c r="H194" s="6" t="n">
        <v>6.699999999999999</v>
      </c>
      <c r="I194" s="6" t="n">
        <v>1</v>
      </c>
      <c r="J194" s="5" t="n">
        <v>14.7</v>
      </c>
      <c r="K194" s="5" t="n">
        <v>-14.7</v>
      </c>
      <c r="L194" s="5" t="n">
        <v>-69.09</v>
      </c>
      <c r="M194" s="3" t="inlineStr">
        <is>
          <t>16/05/2026 13:16:12</t>
        </is>
      </c>
    </row>
    <row r="195">
      <c r="A195" s="3" t="inlineStr">
        <is>
          <t>584050624655034142</t>
        </is>
      </c>
      <c r="B195" s="3" t="inlineStr">
        <is>
          <t>已完成</t>
        </is>
      </c>
      <c r="C195" s="3" t="inlineStr">
        <is>
          <t>CK</t>
        </is>
      </c>
      <c r="D195" s="3" t="inlineStr">
        <is>
          <t>黑松露黑麦苏打饼干</t>
        </is>
      </c>
      <c r="E19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5" s="3" t="inlineStr">
        <is>
          <t>ค่าเริ่มต้น</t>
        </is>
      </c>
      <c r="G195" s="6" t="n">
        <v>1</v>
      </c>
      <c r="H195" s="6" t="n">
        <v>10.72665050209467</v>
      </c>
      <c r="I195" s="6" t="n">
        <v>1</v>
      </c>
      <c r="J195" s="5" t="n">
        <v>18.72665050209466</v>
      </c>
      <c r="K195" s="5" t="n">
        <v>-18.72665050209466</v>
      </c>
      <c r="L195" s="5" t="n">
        <v>-88.01525735984492</v>
      </c>
      <c r="M195" s="3" t="inlineStr">
        <is>
          <t>16/05/2026 13:15:15</t>
        </is>
      </c>
    </row>
    <row r="196">
      <c r="A196" s="3" t="inlineStr">
        <is>
          <t>584050962280187754</t>
        </is>
      </c>
      <c r="B196" s="3" t="inlineStr">
        <is>
          <t>已完成</t>
        </is>
      </c>
      <c r="C196" s="3" t="inlineStr">
        <is>
          <t>C1</t>
        </is>
      </c>
      <c r="D196" s="3" t="inlineStr">
        <is>
          <t>魔芋笋1大袋</t>
        </is>
      </c>
      <c r="E1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6" s="3" t="inlineStr">
        <is>
          <t>รสเผ็ดหอม​, 10 ซอง 200g</t>
        </is>
      </c>
      <c r="G196" s="6" t="n">
        <v>1</v>
      </c>
      <c r="H196" s="6" t="n">
        <v>6.699999999999999</v>
      </c>
      <c r="I196" s="6" t="n">
        <v>1</v>
      </c>
      <c r="J196" s="5" t="n">
        <v>14.7</v>
      </c>
      <c r="K196" s="5" t="n">
        <v>-14.7</v>
      </c>
      <c r="L196" s="5" t="n">
        <v>-69.09</v>
      </c>
      <c r="M196" s="3" t="inlineStr">
        <is>
          <t>16/05/2026 13:15:13</t>
        </is>
      </c>
    </row>
    <row r="197">
      <c r="A197" s="3" t="inlineStr">
        <is>
          <t>584049026070906630</t>
        </is>
      </c>
      <c r="B197" s="3" t="inlineStr">
        <is>
          <t>已完成</t>
        </is>
      </c>
      <c r="C197" s="3" t="inlineStr">
        <is>
          <t>CK</t>
        </is>
      </c>
      <c r="D197" s="3" t="inlineStr">
        <is>
          <t>黑松露黑麦苏打饼干</t>
        </is>
      </c>
      <c r="E19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7" s="3" t="inlineStr">
        <is>
          <t>ค่าเริ่มต้น</t>
        </is>
      </c>
      <c r="G197" s="6" t="n">
        <v>1</v>
      </c>
      <c r="H197" s="6" t="n">
        <v>10.72665050209467</v>
      </c>
      <c r="I197" s="6" t="n">
        <v>1</v>
      </c>
      <c r="J197" s="5" t="n">
        <v>18.72665050209466</v>
      </c>
      <c r="K197" s="5" t="n">
        <v>-18.72665050209466</v>
      </c>
      <c r="L197" s="5" t="n">
        <v>-88.01525735984492</v>
      </c>
      <c r="M197" s="3" t="inlineStr">
        <is>
          <t>16/05/2026 11:04:15</t>
        </is>
      </c>
    </row>
    <row r="198">
      <c r="A198" s="3" t="inlineStr">
        <is>
          <t>584049026064091089</t>
        </is>
      </c>
      <c r="B198" s="3" t="inlineStr">
        <is>
          <t>已完成</t>
        </is>
      </c>
      <c r="C198" s="3" t="inlineStr">
        <is>
          <t>C1</t>
        </is>
      </c>
      <c r="D198" s="3" t="inlineStr">
        <is>
          <t>魔芋笋1大袋</t>
        </is>
      </c>
      <c r="E1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8" s="3" t="inlineStr">
        <is>
          <t>รสเผ็ดหอม​, 10 ซอง 200g</t>
        </is>
      </c>
      <c r="G198" s="6" t="n">
        <v>1</v>
      </c>
      <c r="H198" s="6" t="n">
        <v>6.699999999999999</v>
      </c>
      <c r="I198" s="6" t="n">
        <v>1</v>
      </c>
      <c r="J198" s="5" t="n">
        <v>14.7</v>
      </c>
      <c r="K198" s="5" t="n">
        <v>-14.7</v>
      </c>
      <c r="L198" s="5" t="n">
        <v>-69.09</v>
      </c>
      <c r="M198" s="3" t="inlineStr">
        <is>
          <t>16/05/2026 11:04:12</t>
        </is>
      </c>
    </row>
    <row r="199">
      <c r="A199" s="3" t="inlineStr">
        <is>
          <t>584048785680270415</t>
        </is>
      </c>
      <c r="B199" s="3" t="inlineStr">
        <is>
          <t>已完成</t>
        </is>
      </c>
      <c r="C199" s="3" t="inlineStr">
        <is>
          <t>CK</t>
        </is>
      </c>
      <c r="D199" s="3" t="inlineStr">
        <is>
          <t>黑松露黑麦苏打饼干</t>
        </is>
      </c>
      <c r="E19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9" s="3" t="inlineStr">
        <is>
          <t>ค่าเริ่มต้น</t>
        </is>
      </c>
      <c r="G199" s="6" t="n">
        <v>1</v>
      </c>
      <c r="H199" s="6" t="n">
        <v>10.72665050209467</v>
      </c>
      <c r="I199" s="6" t="n">
        <v>1</v>
      </c>
      <c r="J199" s="5" t="n">
        <v>18.72665050209466</v>
      </c>
      <c r="K199" s="5" t="n">
        <v>-18.72665050209466</v>
      </c>
      <c r="L199" s="5" t="n">
        <v>-88.01525735984492</v>
      </c>
      <c r="M199" s="3" t="inlineStr">
        <is>
          <t>16/05/2026 10:49:12</t>
        </is>
      </c>
    </row>
    <row r="200">
      <c r="A200" s="3" t="inlineStr">
        <is>
          <t>584048707739223740</t>
        </is>
      </c>
      <c r="B200" s="3" t="inlineStr">
        <is>
          <t>已完成</t>
        </is>
      </c>
      <c r="C200" s="3" t="inlineStr">
        <is>
          <t>CK</t>
        </is>
      </c>
      <c r="D200" s="3" t="inlineStr">
        <is>
          <t>黑松露黑麦苏打饼干</t>
        </is>
      </c>
      <c r="E20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00" s="3" t="inlineStr">
        <is>
          <t>ค่าเริ่มต้น</t>
        </is>
      </c>
      <c r="G200" s="6" t="n">
        <v>1</v>
      </c>
      <c r="H200" s="6" t="n">
        <v>10.72665050209467</v>
      </c>
      <c r="I200" s="6" t="n">
        <v>1</v>
      </c>
      <c r="J200" s="5" t="n">
        <v>18.72665050209466</v>
      </c>
      <c r="K200" s="5" t="n">
        <v>-18.72665050209466</v>
      </c>
      <c r="L200" s="5" t="n">
        <v>-88.01525735984492</v>
      </c>
      <c r="M200" s="3" t="inlineStr">
        <is>
          <t>16/05/2026 10:48:18</t>
        </is>
      </c>
    </row>
    <row r="201">
      <c r="A201" s="3" t="inlineStr">
        <is>
          <t>584048585343010171</t>
        </is>
      </c>
      <c r="B201" s="3" t="inlineStr">
        <is>
          <t>已完成</t>
        </is>
      </c>
      <c r="C201" s="3" t="inlineStr">
        <is>
          <t>CK</t>
        </is>
      </c>
      <c r="D201" s="3" t="inlineStr">
        <is>
          <t>黑松露黑麦苏打饼干</t>
        </is>
      </c>
      <c r="E20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01" s="3" t="inlineStr">
        <is>
          <t>ค่าเริ่มต้น</t>
        </is>
      </c>
      <c r="G201" s="6" t="n">
        <v>1</v>
      </c>
      <c r="H201" s="6" t="n">
        <v>10.72665050209467</v>
      </c>
      <c r="I201" s="6" t="n">
        <v>1</v>
      </c>
      <c r="J201" s="5" t="n">
        <v>18.72665050209466</v>
      </c>
      <c r="K201" s="5" t="n">
        <v>-18.72665050209466</v>
      </c>
      <c r="L201" s="5" t="n">
        <v>-88.01525735984492</v>
      </c>
      <c r="M201" s="3" t="inlineStr">
        <is>
          <t>16/05/2026 10:19:15</t>
        </is>
      </c>
    </row>
    <row r="202">
      <c r="A202" s="3" t="inlineStr">
        <is>
          <t>584038576955622416</t>
        </is>
      </c>
      <c r="B202" s="3" t="inlineStr">
        <is>
          <t>已完成</t>
        </is>
      </c>
      <c r="C202" s="3" t="inlineStr">
        <is>
          <t>C1</t>
        </is>
      </c>
      <c r="D202" s="3" t="inlineStr">
        <is>
          <t>魔芋笋1大袋</t>
        </is>
      </c>
      <c r="E2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2" s="3" t="inlineStr">
        <is>
          <t>รสเผ็ดหอม​, 10 ซอง 200g</t>
        </is>
      </c>
      <c r="G202" s="6" t="n">
        <v>1</v>
      </c>
      <c r="H202" s="6" t="n">
        <v>6.699999999999999</v>
      </c>
      <c r="I202" s="6" t="n">
        <v>1</v>
      </c>
      <c r="J202" s="5" t="n">
        <v>14.7</v>
      </c>
      <c r="K202" s="5" t="n">
        <v>-14.7</v>
      </c>
      <c r="L202" s="5" t="n">
        <v>-69.09</v>
      </c>
      <c r="M202" s="3" t="inlineStr">
        <is>
          <t>15/05/2026 17:09:10</t>
        </is>
      </c>
    </row>
    <row r="203">
      <c r="A203" s="3" t="inlineStr">
        <is>
          <t>584038226237425207</t>
        </is>
      </c>
      <c r="B203" s="3" t="inlineStr">
        <is>
          <t>已完成</t>
        </is>
      </c>
      <c r="C203" s="3" t="inlineStr">
        <is>
          <t>CK</t>
        </is>
      </c>
      <c r="D203" s="3" t="inlineStr">
        <is>
          <t>黑松露黑麦苏打饼干</t>
        </is>
      </c>
      <c r="E20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03" s="3" t="inlineStr">
        <is>
          <t>ค่าเริ่มต้น</t>
        </is>
      </c>
      <c r="G203" s="6" t="n">
        <v>1</v>
      </c>
      <c r="H203" s="6" t="n">
        <v>10.72665050209467</v>
      </c>
      <c r="I203" s="6" t="n">
        <v>1</v>
      </c>
      <c r="J203" s="5" t="n">
        <v>18.72665050209466</v>
      </c>
      <c r="K203" s="5" t="n">
        <v>-18.72665050209466</v>
      </c>
      <c r="L203" s="5" t="n">
        <v>-88.01525735984492</v>
      </c>
      <c r="M203" s="3" t="inlineStr">
        <is>
          <t>15/05/2026 16:37:12</t>
        </is>
      </c>
    </row>
    <row r="204">
      <c r="A204" s="3" t="inlineStr">
        <is>
          <t>584038082229273812</t>
        </is>
      </c>
      <c r="B204" s="3" t="inlineStr">
        <is>
          <t>已完成</t>
        </is>
      </c>
      <c r="C204" s="3" t="inlineStr">
        <is>
          <t>CK</t>
        </is>
      </c>
      <c r="D204" s="3" t="inlineStr">
        <is>
          <t>黑松露黑麦苏打饼干</t>
        </is>
      </c>
      <c r="E20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04" s="3" t="inlineStr">
        <is>
          <t>ค่าเริ่มต้น</t>
        </is>
      </c>
      <c r="G204" s="6" t="n">
        <v>1</v>
      </c>
      <c r="H204" s="6" t="n">
        <v>10.72665050209467</v>
      </c>
      <c r="I204" s="6" t="n">
        <v>1</v>
      </c>
      <c r="J204" s="5" t="n">
        <v>18.72665050209466</v>
      </c>
      <c r="K204" s="5" t="n">
        <v>-18.72665050209466</v>
      </c>
      <c r="L204" s="5" t="n">
        <v>-88.01525735984492</v>
      </c>
      <c r="M204" s="3" t="inlineStr">
        <is>
          <t>15/05/2026 16:26:16</t>
        </is>
      </c>
    </row>
    <row r="205">
      <c r="A205" s="3" t="inlineStr">
        <is>
          <t>584038082019952277</t>
        </is>
      </c>
      <c r="B205" s="3" t="inlineStr">
        <is>
          <t>已完成</t>
        </is>
      </c>
      <c r="C205" s="3" t="inlineStr">
        <is>
          <t>CK</t>
        </is>
      </c>
      <c r="D205" s="3" t="inlineStr">
        <is>
          <t>黑松露黑麦苏打饼干</t>
        </is>
      </c>
      <c r="E20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05" s="3" t="inlineStr">
        <is>
          <t>ค่าเริ่มต้น</t>
        </is>
      </c>
      <c r="G205" s="6" t="n">
        <v>1</v>
      </c>
      <c r="H205" s="6" t="n">
        <v>10.72665050209467</v>
      </c>
      <c r="I205" s="6" t="n">
        <v>1</v>
      </c>
      <c r="J205" s="5" t="n">
        <v>18.72665050209466</v>
      </c>
      <c r="K205" s="5" t="n">
        <v>-18.72665050209466</v>
      </c>
      <c r="L205" s="5" t="n">
        <v>-88.01525735984492</v>
      </c>
      <c r="M205" s="3" t="inlineStr">
        <is>
          <t>15/05/2026 16:21:12</t>
        </is>
      </c>
    </row>
    <row r="206">
      <c r="A206" s="3" t="inlineStr">
        <is>
          <t>584037232382674398</t>
        </is>
      </c>
      <c r="B206" s="3" t="inlineStr">
        <is>
          <t>已完成</t>
        </is>
      </c>
      <c r="C206" s="3" t="inlineStr">
        <is>
          <t>C1</t>
        </is>
      </c>
      <c r="D206" s="3" t="inlineStr">
        <is>
          <t>魔芋笋1大袋</t>
        </is>
      </c>
      <c r="E2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6" s="3" t="inlineStr">
        <is>
          <t>รสเผ็ดหอม​, 10 ซอง 200g</t>
        </is>
      </c>
      <c r="G206" s="6" t="n">
        <v>1</v>
      </c>
      <c r="H206" s="6" t="n">
        <v>6.699999999999999</v>
      </c>
      <c r="I206" s="6" t="n">
        <v>1</v>
      </c>
      <c r="J206" s="5" t="n">
        <v>14.7</v>
      </c>
      <c r="K206" s="5" t="n">
        <v>-14.7</v>
      </c>
      <c r="L206" s="5" t="n">
        <v>-69.09</v>
      </c>
      <c r="M206" s="3" t="inlineStr">
        <is>
          <t>15/05/2026 15:21:17</t>
        </is>
      </c>
    </row>
    <row r="207">
      <c r="A207" s="3" t="inlineStr">
        <is>
          <t>584037232289089323</t>
        </is>
      </c>
      <c r="B207" s="3" t="inlineStr">
        <is>
          <t>已完成</t>
        </is>
      </c>
      <c r="C207" s="3" t="inlineStr">
        <is>
          <t>C1</t>
        </is>
      </c>
      <c r="D207" s="3" t="inlineStr">
        <is>
          <t>魔芋笋1大袋</t>
        </is>
      </c>
      <c r="E2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7" s="3" t="inlineStr">
        <is>
          <t>รสเผ็ดหอม​, 10 ซอง 200g</t>
        </is>
      </c>
      <c r="G207" s="6" t="n">
        <v>1</v>
      </c>
      <c r="H207" s="6" t="n">
        <v>6.699999999999999</v>
      </c>
      <c r="I207" s="6" t="n">
        <v>1</v>
      </c>
      <c r="J207" s="5" t="n">
        <v>14.7</v>
      </c>
      <c r="K207" s="5" t="n">
        <v>-14.7</v>
      </c>
      <c r="L207" s="5" t="n">
        <v>-69.09</v>
      </c>
      <c r="M207" s="3" t="inlineStr">
        <is>
          <t>15/05/2026 15:19:18</t>
        </is>
      </c>
    </row>
    <row r="208">
      <c r="A208" s="3" t="inlineStr">
        <is>
          <t>584037232045033009</t>
        </is>
      </c>
      <c r="B208" s="3" t="inlineStr">
        <is>
          <t>已完成</t>
        </is>
      </c>
      <c r="C208" s="3" t="inlineStr">
        <is>
          <t>C1</t>
        </is>
      </c>
      <c r="D208" s="3" t="inlineStr">
        <is>
          <t>魔芋笋1大袋</t>
        </is>
      </c>
      <c r="E2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8" s="3" t="inlineStr">
        <is>
          <t>รสเผ็ดหอม​, 10 ซอง 200g</t>
        </is>
      </c>
      <c r="G208" s="6" t="n">
        <v>1</v>
      </c>
      <c r="H208" s="6" t="n">
        <v>6.699999999999999</v>
      </c>
      <c r="I208" s="6" t="n">
        <v>1</v>
      </c>
      <c r="J208" s="5" t="n">
        <v>14.7</v>
      </c>
      <c r="K208" s="5" t="n">
        <v>-14.7</v>
      </c>
      <c r="L208" s="5" t="n">
        <v>-69.09</v>
      </c>
      <c r="M208" s="3" t="inlineStr">
        <is>
          <t>15/05/2026 15:14:19</t>
        </is>
      </c>
    </row>
    <row r="209">
      <c r="A209" s="3" t="inlineStr">
        <is>
          <t>584036879310423069</t>
        </is>
      </c>
      <c r="B209" s="3" t="inlineStr">
        <is>
          <t>已完成</t>
        </is>
      </c>
      <c r="C209" s="3" t="inlineStr">
        <is>
          <t>C1</t>
        </is>
      </c>
      <c r="D209" s="3" t="inlineStr">
        <is>
          <t>魔芋笋1大袋</t>
        </is>
      </c>
      <c r="E2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9" s="3" t="inlineStr">
        <is>
          <t>รสเผ็ดหอม​, 10 ซอง 200g</t>
        </is>
      </c>
      <c r="G209" s="6" t="n">
        <v>1</v>
      </c>
      <c r="H209" s="6" t="n">
        <v>6.699999999999999</v>
      </c>
      <c r="I209" s="6" t="n">
        <v>1</v>
      </c>
      <c r="J209" s="5" t="n">
        <v>14.7</v>
      </c>
      <c r="K209" s="5" t="n">
        <v>-14.7</v>
      </c>
      <c r="L209" s="5" t="n">
        <v>-69.09</v>
      </c>
      <c r="M209" s="3" t="inlineStr">
        <is>
          <t>15/05/2026 14:46:20</t>
        </is>
      </c>
    </row>
    <row r="210">
      <c r="A210" s="3" t="inlineStr">
        <is>
          <t>584036549109843281</t>
        </is>
      </c>
      <c r="B210" s="3" t="inlineStr">
        <is>
          <t>已完成</t>
        </is>
      </c>
      <c r="C210" s="3" t="inlineStr">
        <is>
          <t>C1</t>
        </is>
      </c>
      <c r="D210" s="3" t="inlineStr">
        <is>
          <t>魔芋笋1大袋</t>
        </is>
      </c>
      <c r="E2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0" s="3" t="inlineStr">
        <is>
          <t>รสเผ็ดหอม​, 10 ซอง 200g</t>
        </is>
      </c>
      <c r="G210" s="6" t="n">
        <v>1</v>
      </c>
      <c r="H210" s="6" t="n">
        <v>6.699999999999999</v>
      </c>
      <c r="I210" s="6" t="n">
        <v>1</v>
      </c>
      <c r="J210" s="5" t="n">
        <v>14.7</v>
      </c>
      <c r="K210" s="5" t="n">
        <v>-14.7</v>
      </c>
      <c r="L210" s="5" t="n">
        <v>-69.09</v>
      </c>
      <c r="M210" s="3" t="inlineStr">
        <is>
          <t>15/05/2026 14:23:21</t>
        </is>
      </c>
    </row>
    <row r="211">
      <c r="A211" s="3" t="inlineStr">
        <is>
          <t>584035879930988224</t>
        </is>
      </c>
      <c r="B211" s="3" t="inlineStr">
        <is>
          <t>已完成</t>
        </is>
      </c>
      <c r="C211" s="3" t="inlineStr">
        <is>
          <t>C1</t>
        </is>
      </c>
      <c r="D211" s="3" t="inlineStr">
        <is>
          <t>魔芋笋1大袋</t>
        </is>
      </c>
      <c r="E2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1" s="3" t="inlineStr">
        <is>
          <t>รสเผ็ดหอม​, 10 ซอง 200g</t>
        </is>
      </c>
      <c r="G211" s="6" t="n">
        <v>1</v>
      </c>
      <c r="H211" s="6" t="n">
        <v>6.699999999999999</v>
      </c>
      <c r="I211" s="6" t="n">
        <v>1</v>
      </c>
      <c r="J211" s="5" t="n">
        <v>14.7</v>
      </c>
      <c r="K211" s="5" t="n">
        <v>-14.7</v>
      </c>
      <c r="L211" s="5" t="n">
        <v>-69.09</v>
      </c>
      <c r="M211" s="3" t="inlineStr">
        <is>
          <t>15/05/2026 13:31:21</t>
        </is>
      </c>
    </row>
    <row r="212">
      <c r="A212" s="3" t="inlineStr">
        <is>
          <t>584035695408088822</t>
        </is>
      </c>
      <c r="B212" s="3" t="inlineStr">
        <is>
          <t>已完成</t>
        </is>
      </c>
      <c r="C212" s="3" t="inlineStr">
        <is>
          <t>C1</t>
        </is>
      </c>
      <c r="D212" s="3" t="inlineStr">
        <is>
          <t>魔芋笋1大袋</t>
        </is>
      </c>
      <c r="E2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2" s="3" t="inlineStr">
        <is>
          <t>รสเผ็ดหอม​, 10 ซอง 200g</t>
        </is>
      </c>
      <c r="G212" s="6" t="n">
        <v>1</v>
      </c>
      <c r="H212" s="6" t="n">
        <v>6.699999999999999</v>
      </c>
      <c r="I212" s="6" t="n">
        <v>1</v>
      </c>
      <c r="J212" s="5" t="n">
        <v>14.7</v>
      </c>
      <c r="K212" s="5" t="n">
        <v>-14.7</v>
      </c>
      <c r="L212" s="5" t="n">
        <v>-69.09</v>
      </c>
      <c r="M212" s="3" t="inlineStr">
        <is>
          <t>15/05/2026 13:24:23</t>
        </is>
      </c>
    </row>
    <row r="213">
      <c r="A213" s="3" t="inlineStr">
        <is>
          <t>584035633665967241</t>
        </is>
      </c>
      <c r="B213" s="3" t="inlineStr">
        <is>
          <t>已完成</t>
        </is>
      </c>
      <c r="C213" s="3" t="inlineStr">
        <is>
          <t>C1</t>
        </is>
      </c>
      <c r="D213" s="3" t="inlineStr">
        <is>
          <t>魔芋笋1大袋</t>
        </is>
      </c>
      <c r="E2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3" s="3" t="inlineStr">
        <is>
          <t>รสเผ็ดหอม​, 10 ซอง 200g</t>
        </is>
      </c>
      <c r="G213" s="6" t="n">
        <v>1</v>
      </c>
      <c r="H213" s="6" t="n">
        <v>6.699999999999999</v>
      </c>
      <c r="I213" s="6" t="n">
        <v>1</v>
      </c>
      <c r="J213" s="5" t="n">
        <v>14.7</v>
      </c>
      <c r="K213" s="5" t="n">
        <v>-14.7</v>
      </c>
      <c r="L213" s="5" t="n">
        <v>-69.09</v>
      </c>
      <c r="M213" s="3" t="inlineStr">
        <is>
          <t>15/05/2026 13:23:20</t>
        </is>
      </c>
    </row>
    <row r="214">
      <c r="A214" s="3" t="inlineStr">
        <is>
          <t>584035695186969849</t>
        </is>
      </c>
      <c r="B214" s="3" t="inlineStr">
        <is>
          <t>已完成</t>
        </is>
      </c>
      <c r="C214" s="3" t="inlineStr">
        <is>
          <t>C1</t>
        </is>
      </c>
      <c r="D214" s="3" t="inlineStr">
        <is>
          <t>魔芋笋1大袋</t>
        </is>
      </c>
      <c r="E2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4" s="3" t="inlineStr">
        <is>
          <t>รสเผ็ดหอม​, 10 ซอง 200g</t>
        </is>
      </c>
      <c r="G214" s="6" t="n">
        <v>1</v>
      </c>
      <c r="H214" s="6" t="n">
        <v>6.699999999999999</v>
      </c>
      <c r="I214" s="6" t="n">
        <v>1</v>
      </c>
      <c r="J214" s="5" t="n">
        <v>14.7</v>
      </c>
      <c r="K214" s="5" t="n">
        <v>-14.7</v>
      </c>
      <c r="L214" s="5" t="n">
        <v>-69.09</v>
      </c>
      <c r="M214" s="3" t="inlineStr">
        <is>
          <t>15/05/2026 13:20:17</t>
        </is>
      </c>
    </row>
    <row r="215">
      <c r="A215" s="3" t="inlineStr">
        <is>
          <t>584035633446224940</t>
        </is>
      </c>
      <c r="B215" s="3" t="inlineStr">
        <is>
          <t>已完成</t>
        </is>
      </c>
      <c r="C215" s="3" t="inlineStr">
        <is>
          <t>C1</t>
        </is>
      </c>
      <c r="D215" s="3" t="inlineStr">
        <is>
          <t>魔芋笋1大袋</t>
        </is>
      </c>
      <c r="E2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5" s="3" t="inlineStr">
        <is>
          <t>รสเผ็ดหอม​, 10 ซอง 200g</t>
        </is>
      </c>
      <c r="G215" s="6" t="n">
        <v>1</v>
      </c>
      <c r="H215" s="6" t="n">
        <v>6.699999999999999</v>
      </c>
      <c r="I215" s="6" t="n">
        <v>1</v>
      </c>
      <c r="J215" s="5" t="n">
        <v>14.7</v>
      </c>
      <c r="K215" s="5" t="n">
        <v>-14.7</v>
      </c>
      <c r="L215" s="5" t="n">
        <v>-69.09</v>
      </c>
      <c r="M215" s="3" t="inlineStr">
        <is>
          <t>15/05/2026 13:18:21</t>
        </is>
      </c>
    </row>
    <row r="216">
      <c r="A216" s="3" t="inlineStr">
        <is>
          <t>584035331126756494</t>
        </is>
      </c>
      <c r="B216" s="3" t="inlineStr">
        <is>
          <t>已完成</t>
        </is>
      </c>
      <c r="C216" s="3" t="inlineStr">
        <is>
          <t>C1</t>
        </is>
      </c>
      <c r="D216" s="3" t="inlineStr">
        <is>
          <t>魔芋笋1大袋</t>
        </is>
      </c>
      <c r="E2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6" s="3" t="inlineStr">
        <is>
          <t>รสเผ็ดหอม​, 10 ซอง 200g</t>
        </is>
      </c>
      <c r="G216" s="6" t="n">
        <v>1</v>
      </c>
      <c r="H216" s="6" t="n">
        <v>6.699999999999999</v>
      </c>
      <c r="I216" s="6" t="n">
        <v>1</v>
      </c>
      <c r="J216" s="5" t="n">
        <v>14.7</v>
      </c>
      <c r="K216" s="5" t="n">
        <v>-14.7</v>
      </c>
      <c r="L216" s="5" t="n">
        <v>-69.09</v>
      </c>
      <c r="M216" s="3" t="inlineStr">
        <is>
          <t>15/05/2026 13:14:15</t>
        </is>
      </c>
    </row>
    <row r="217">
      <c r="A217" s="3" t="inlineStr">
        <is>
          <t>584021643148756643</t>
        </is>
      </c>
      <c r="B217" s="3" t="inlineStr">
        <is>
          <t>已完成</t>
        </is>
      </c>
      <c r="C217" s="3" t="inlineStr">
        <is>
          <t>CK</t>
        </is>
      </c>
      <c r="D217" s="3" t="inlineStr">
        <is>
          <t>黑松露黑麦苏打饼干</t>
        </is>
      </c>
      <c r="E21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17" s="3" t="inlineStr">
        <is>
          <t>ค่าเริ่มต้น</t>
        </is>
      </c>
      <c r="G217" s="6" t="n">
        <v>1</v>
      </c>
      <c r="H217" s="6" t="n">
        <v>10.72665050209467</v>
      </c>
      <c r="I217" s="6" t="n">
        <v>1</v>
      </c>
      <c r="J217" s="5" t="n">
        <v>18.72665050209466</v>
      </c>
      <c r="K217" s="5" t="n">
        <v>-18.72665050209466</v>
      </c>
      <c r="L217" s="5" t="n">
        <v>-88.01525735984492</v>
      </c>
      <c r="M217" s="3" t="inlineStr">
        <is>
          <t>14/05/2026 15:32:36</t>
        </is>
      </c>
    </row>
    <row r="218">
      <c r="A218" s="3" t="inlineStr">
        <is>
          <t>584021441558185236</t>
        </is>
      </c>
      <c r="B218" s="3" t="inlineStr">
        <is>
          <t>已完成</t>
        </is>
      </c>
      <c r="C218" s="3" t="inlineStr">
        <is>
          <t>C1</t>
        </is>
      </c>
      <c r="D218" s="3" t="inlineStr">
        <is>
          <t>魔芋笋1大袋</t>
        </is>
      </c>
      <c r="E2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8" s="3" t="inlineStr">
        <is>
          <t>รสเผ็ดหอม​, 10 ซอง 200g</t>
        </is>
      </c>
      <c r="G218" s="6" t="n">
        <v>1</v>
      </c>
      <c r="H218" s="6" t="n">
        <v>6.699999999999999</v>
      </c>
      <c r="I218" s="6" t="n">
        <v>1</v>
      </c>
      <c r="J218" s="5" t="n">
        <v>14.7</v>
      </c>
      <c r="K218" s="5" t="n">
        <v>-14.7</v>
      </c>
      <c r="L218" s="5" t="n">
        <v>-69.09</v>
      </c>
      <c r="M218" s="3" t="inlineStr">
        <is>
          <t>14/05/2026 15:21:17</t>
        </is>
      </c>
    </row>
    <row r="219">
      <c r="A219" s="3" t="inlineStr">
        <is>
          <t>584020685239453332</t>
        </is>
      </c>
      <c r="B219" s="3" t="inlineStr">
        <is>
          <t>已完成</t>
        </is>
      </c>
      <c r="C219" s="3" t="inlineStr">
        <is>
          <t>C1</t>
        </is>
      </c>
      <c r="D219" s="3" t="inlineStr">
        <is>
          <t>魔芋笋1大袋</t>
        </is>
      </c>
      <c r="E2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9" s="3" t="inlineStr">
        <is>
          <t>รสเผ็ดหอม​, 10 ซอง 200g</t>
        </is>
      </c>
      <c r="G219" s="6" t="n">
        <v>1</v>
      </c>
      <c r="H219" s="6" t="n">
        <v>6.699999999999999</v>
      </c>
      <c r="I219" s="6" t="n">
        <v>1</v>
      </c>
      <c r="J219" s="5" t="n">
        <v>14.7</v>
      </c>
      <c r="K219" s="5" t="n">
        <v>-14.7</v>
      </c>
      <c r="L219" s="5" t="n">
        <v>-69.09</v>
      </c>
      <c r="M219" s="3" t="inlineStr">
        <is>
          <t>14/05/2026 14:24:13</t>
        </is>
      </c>
    </row>
    <row r="220">
      <c r="A220" s="3" t="inlineStr">
        <is>
          <t>584014352774301204</t>
        </is>
      </c>
      <c r="B220" s="3" t="inlineStr">
        <is>
          <t>已完成</t>
        </is>
      </c>
      <c r="C220" s="3" t="inlineStr">
        <is>
          <t>C1</t>
        </is>
      </c>
      <c r="D220" s="3" t="inlineStr">
        <is>
          <t>魔芋笋1大袋</t>
        </is>
      </c>
      <c r="E2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0" s="3" t="inlineStr">
        <is>
          <t>รสเผ็ดหอม​, 10 ซอง 200g</t>
        </is>
      </c>
      <c r="G220" s="6" t="n">
        <v>1</v>
      </c>
      <c r="H220" s="6" t="n">
        <v>6.699999999999999</v>
      </c>
      <c r="I220" s="6" t="n">
        <v>1</v>
      </c>
      <c r="J220" s="5" t="n">
        <v>14.7</v>
      </c>
      <c r="K220" s="5" t="n">
        <v>-14.7</v>
      </c>
      <c r="L220" s="5" t="n">
        <v>-69.09</v>
      </c>
      <c r="M220" s="3" t="inlineStr">
        <is>
          <t>14/05/2026 14:18:16</t>
        </is>
      </c>
    </row>
    <row r="221">
      <c r="A221" s="3" t="inlineStr">
        <is>
          <t>584020501797242811</t>
        </is>
      </c>
      <c r="B221" s="3" t="inlineStr">
        <is>
          <t>已完成</t>
        </is>
      </c>
      <c r="C221" s="3" t="inlineStr">
        <is>
          <t>C1</t>
        </is>
      </c>
      <c r="D221" s="3" t="inlineStr">
        <is>
          <t>魔芋笋1大袋</t>
        </is>
      </c>
      <c r="E2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1" s="3" t="inlineStr">
        <is>
          <t>รสเผ็ดหอม​, 10 ซอง 200g</t>
        </is>
      </c>
      <c r="G221" s="6" t="n">
        <v>1</v>
      </c>
      <c r="H221" s="6" t="n">
        <v>6.699999999999999</v>
      </c>
      <c r="I221" s="6" t="n">
        <v>1</v>
      </c>
      <c r="J221" s="5" t="n">
        <v>14.7</v>
      </c>
      <c r="K221" s="5" t="n">
        <v>-14.7</v>
      </c>
      <c r="L221" s="5" t="n">
        <v>-69.09</v>
      </c>
      <c r="M221" s="3" t="inlineStr">
        <is>
          <t>14/05/2026 14:11:13</t>
        </is>
      </c>
    </row>
    <row r="222">
      <c r="A222" s="3" t="inlineStr">
        <is>
          <t>584014352063890488</t>
        </is>
      </c>
      <c r="B222" s="3" t="inlineStr">
        <is>
          <t>已完成</t>
        </is>
      </c>
      <c r="C222" s="3" t="inlineStr">
        <is>
          <t>CK</t>
        </is>
      </c>
      <c r="D222" s="3" t="inlineStr">
        <is>
          <t>黑松露黑麦苏打饼干</t>
        </is>
      </c>
      <c r="E22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22" s="3" t="inlineStr">
        <is>
          <t>ค่าเริ่มต้น</t>
        </is>
      </c>
      <c r="G222" s="6" t="n">
        <v>1</v>
      </c>
      <c r="H222" s="6" t="n">
        <v>10.72665050209467</v>
      </c>
      <c r="I222" s="6" t="n">
        <v>1</v>
      </c>
      <c r="J222" s="5" t="n">
        <v>18.72665050209466</v>
      </c>
      <c r="K222" s="5" t="n">
        <v>-18.72665050209466</v>
      </c>
      <c r="L222" s="5" t="n">
        <v>-88.01525735984492</v>
      </c>
      <c r="M222" s="3" t="inlineStr">
        <is>
          <t>14/05/2026 14:00:19</t>
        </is>
      </c>
    </row>
    <row r="223">
      <c r="A223" s="3" t="inlineStr">
        <is>
          <t>584020336663430472</t>
        </is>
      </c>
      <c r="B223" s="3" t="inlineStr">
        <is>
          <t>已完成</t>
        </is>
      </c>
      <c r="C223" s="3" t="inlineStr">
        <is>
          <t>CK</t>
        </is>
      </c>
      <c r="D223" s="3" t="inlineStr">
        <is>
          <t>黑松露黑麦苏打饼干</t>
        </is>
      </c>
      <c r="E22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23" s="3" t="inlineStr">
        <is>
          <t>ค่าเริ่มต้น</t>
        </is>
      </c>
      <c r="G223" s="6" t="n">
        <v>1</v>
      </c>
      <c r="H223" s="6" t="n">
        <v>10.72665050209467</v>
      </c>
      <c r="I223" s="6" t="n">
        <v>1</v>
      </c>
      <c r="J223" s="5" t="n">
        <v>18.72665050209466</v>
      </c>
      <c r="K223" s="5" t="n">
        <v>-18.72665050209466</v>
      </c>
      <c r="L223" s="5" t="n">
        <v>-88.01525735984492</v>
      </c>
      <c r="M223" s="3" t="inlineStr">
        <is>
          <t>14/05/2026 13:57:26</t>
        </is>
      </c>
    </row>
    <row r="224">
      <c r="A224" s="3" t="inlineStr">
        <is>
          <t>584014351116175013</t>
        </is>
      </c>
      <c r="B224" s="3" t="inlineStr">
        <is>
          <t>已完成</t>
        </is>
      </c>
      <c r="C224" s="3" t="inlineStr">
        <is>
          <t>C1</t>
        </is>
      </c>
      <c r="D224" s="3" t="inlineStr">
        <is>
          <t>魔芋笋1大袋</t>
        </is>
      </c>
      <c r="E2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4" s="3" t="inlineStr">
        <is>
          <t>รสเผ็ดหอม​, 10 ซอง 200g</t>
        </is>
      </c>
      <c r="G224" s="6" t="n">
        <v>1</v>
      </c>
      <c r="H224" s="6" t="n">
        <v>6.699999999999999</v>
      </c>
      <c r="I224" s="6" t="n">
        <v>1</v>
      </c>
      <c r="J224" s="5" t="n">
        <v>14.7</v>
      </c>
      <c r="K224" s="5" t="n">
        <v>-14.7</v>
      </c>
      <c r="L224" s="5" t="n">
        <v>-69.09</v>
      </c>
      <c r="M224" s="3" t="inlineStr">
        <is>
          <t>14/05/2026 13:37:16</t>
        </is>
      </c>
    </row>
    <row r="225">
      <c r="A225" s="3" t="inlineStr">
        <is>
          <t>584014351059748491</t>
        </is>
      </c>
      <c r="B225" s="3" t="inlineStr">
        <is>
          <t>已完成</t>
        </is>
      </c>
      <c r="C225" s="3" t="inlineStr">
        <is>
          <t>C1</t>
        </is>
      </c>
      <c r="D225" s="3" t="inlineStr">
        <is>
          <t>魔芋笋1大袋</t>
        </is>
      </c>
      <c r="E2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5" s="3" t="inlineStr">
        <is>
          <t>รสเผ็ดหอม​, 10 ซอง 200g</t>
        </is>
      </c>
      <c r="G225" s="6" t="n">
        <v>1</v>
      </c>
      <c r="H225" s="6" t="n">
        <v>6.699999999999999</v>
      </c>
      <c r="I225" s="6" t="n">
        <v>1</v>
      </c>
      <c r="J225" s="5" t="n">
        <v>14.7</v>
      </c>
      <c r="K225" s="5" t="n">
        <v>-14.7</v>
      </c>
      <c r="L225" s="5" t="n">
        <v>-69.09</v>
      </c>
      <c r="M225" s="3" t="inlineStr">
        <is>
          <t>14/05/2026 13:35:22</t>
        </is>
      </c>
    </row>
    <row r="226">
      <c r="A226" s="3" t="inlineStr">
        <is>
          <t>584014350986479314</t>
        </is>
      </c>
      <c r="B226" s="3" t="inlineStr">
        <is>
          <t>已完成</t>
        </is>
      </c>
      <c r="C226" s="3" t="inlineStr">
        <is>
          <t>C1</t>
        </is>
      </c>
      <c r="D226" s="3" t="inlineStr">
        <is>
          <t>魔芋笋1大袋</t>
        </is>
      </c>
      <c r="E2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6" s="3" t="inlineStr">
        <is>
          <t>รสเผ็ดหอม​, 10 ซอง 200g</t>
        </is>
      </c>
      <c r="G226" s="6" t="n">
        <v>1</v>
      </c>
      <c r="H226" s="6" t="n">
        <v>6.699999999999999</v>
      </c>
      <c r="I226" s="6" t="n">
        <v>1</v>
      </c>
      <c r="J226" s="5" t="n">
        <v>14.7</v>
      </c>
      <c r="K226" s="5" t="n">
        <v>-14.7</v>
      </c>
      <c r="L226" s="5" t="n">
        <v>-69.09</v>
      </c>
      <c r="M226" s="3" t="inlineStr">
        <is>
          <t>14/05/2026 13:33:26</t>
        </is>
      </c>
    </row>
    <row r="227">
      <c r="A227" s="3" t="inlineStr">
        <is>
          <t>584020001060521212</t>
        </is>
      </c>
      <c r="B227" s="3" t="inlineStr">
        <is>
          <t>已完成</t>
        </is>
      </c>
      <c r="C227" s="3" t="inlineStr">
        <is>
          <t>C1</t>
        </is>
      </c>
      <c r="D227" s="3" t="inlineStr">
        <is>
          <t>魔芋笋1大袋</t>
        </is>
      </c>
      <c r="E2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7" s="3" t="inlineStr">
        <is>
          <t>รสเผ็ดหอม​, 10 ซอง 200g</t>
        </is>
      </c>
      <c r="G227" s="6" t="n">
        <v>1</v>
      </c>
      <c r="H227" s="6" t="n">
        <v>6.699999999999999</v>
      </c>
      <c r="I227" s="6" t="n">
        <v>1</v>
      </c>
      <c r="J227" s="5" t="n">
        <v>14.7</v>
      </c>
      <c r="K227" s="5" t="n">
        <v>-14.7</v>
      </c>
      <c r="L227" s="5" t="n">
        <v>-69.09</v>
      </c>
      <c r="M227" s="3" t="inlineStr">
        <is>
          <t>14/05/2026 13:31:20</t>
        </is>
      </c>
    </row>
    <row r="228">
      <c r="A228" s="3" t="inlineStr">
        <is>
          <t>584020001037191089</t>
        </is>
      </c>
      <c r="B228" s="3" t="inlineStr">
        <is>
          <t>已完成</t>
        </is>
      </c>
      <c r="C228" s="3" t="inlineStr">
        <is>
          <t>C1</t>
        </is>
      </c>
      <c r="D228" s="3" t="inlineStr">
        <is>
          <t>魔芋笋1大袋</t>
        </is>
      </c>
      <c r="E2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8" s="3" t="inlineStr">
        <is>
          <t>รสเผ็ดหอม​, 10 ซอง 200g</t>
        </is>
      </c>
      <c r="G228" s="6" t="n">
        <v>1</v>
      </c>
      <c r="H228" s="6" t="n">
        <v>6.699999999999999</v>
      </c>
      <c r="I228" s="6" t="n">
        <v>1</v>
      </c>
      <c r="J228" s="5" t="n">
        <v>14.7</v>
      </c>
      <c r="K228" s="5" t="n">
        <v>-14.7</v>
      </c>
      <c r="L228" s="5" t="n">
        <v>-69.09</v>
      </c>
      <c r="M228" s="3" t="inlineStr">
        <is>
          <t>14/05/2026 13:31:15</t>
        </is>
      </c>
    </row>
    <row r="229">
      <c r="A229" s="3" t="inlineStr">
        <is>
          <t>584014350840989011</t>
        </is>
      </c>
      <c r="B229" s="3" t="inlineStr">
        <is>
          <t>已完成</t>
        </is>
      </c>
      <c r="C229" s="3" t="inlineStr">
        <is>
          <t>C1</t>
        </is>
      </c>
      <c r="D229" s="3" t="inlineStr">
        <is>
          <t>魔芋笋1大袋</t>
        </is>
      </c>
      <c r="E2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9" s="3" t="inlineStr">
        <is>
          <t>รสเผ็ดหอม​, 10 ซอง 200g</t>
        </is>
      </c>
      <c r="G229" s="6" t="n">
        <v>1</v>
      </c>
      <c r="H229" s="6" t="n">
        <v>6.699999999999999</v>
      </c>
      <c r="I229" s="6" t="n">
        <v>1</v>
      </c>
      <c r="J229" s="5" t="n">
        <v>14.7</v>
      </c>
      <c r="K229" s="5" t="n">
        <v>-14.7</v>
      </c>
      <c r="L229" s="5" t="n">
        <v>-69.09</v>
      </c>
      <c r="M229" s="3" t="inlineStr">
        <is>
          <t>14/05/2026 13:30:23</t>
        </is>
      </c>
    </row>
    <row r="230">
      <c r="A230" s="3" t="inlineStr">
        <is>
          <t>584014350814054250</t>
        </is>
      </c>
      <c r="B230" s="3" t="inlineStr">
        <is>
          <t>已完成</t>
        </is>
      </c>
      <c r="C230" s="3" t="inlineStr">
        <is>
          <t>C1</t>
        </is>
      </c>
      <c r="D230" s="3" t="inlineStr">
        <is>
          <t>魔芋笋1大袋</t>
        </is>
      </c>
      <c r="E2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0" s="3" t="inlineStr">
        <is>
          <t>รสเผ็ดหอม​, 10 ซอง 200g</t>
        </is>
      </c>
      <c r="G230" s="6" t="n">
        <v>1</v>
      </c>
      <c r="H230" s="6" t="n">
        <v>6.699999999999999</v>
      </c>
      <c r="I230" s="6" t="n">
        <v>1</v>
      </c>
      <c r="J230" s="5" t="n">
        <v>14.7</v>
      </c>
      <c r="K230" s="5" t="n">
        <v>-14.7</v>
      </c>
      <c r="L230" s="5" t="n">
        <v>-69.09</v>
      </c>
      <c r="M230" s="3" t="inlineStr">
        <is>
          <t>14/05/2026 13:29:25</t>
        </is>
      </c>
    </row>
    <row r="231">
      <c r="A231" s="3" t="inlineStr">
        <is>
          <t>584006735710488515</t>
        </is>
      </c>
      <c r="B231" s="3" t="inlineStr">
        <is>
          <t>已完成</t>
        </is>
      </c>
      <c r="C231" s="3" t="inlineStr">
        <is>
          <t>C1</t>
        </is>
      </c>
      <c r="D231" s="3" t="inlineStr">
        <is>
          <t>魔芋笋1大袋</t>
        </is>
      </c>
      <c r="E2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1" s="3" t="inlineStr">
        <is>
          <t>รสเผ็ดหอม​, 10 ซอง 200g</t>
        </is>
      </c>
      <c r="G231" s="6" t="n">
        <v>1</v>
      </c>
      <c r="H231" s="6" t="n">
        <v>6.699999999999999</v>
      </c>
      <c r="I231" s="6" t="n">
        <v>1</v>
      </c>
      <c r="J231" s="5" t="n">
        <v>14.7</v>
      </c>
      <c r="K231" s="5" t="n">
        <v>-14.7</v>
      </c>
      <c r="L231" s="5" t="n">
        <v>-69.09</v>
      </c>
      <c r="M231" s="3" t="inlineStr">
        <is>
          <t>13/05/2026 16:54:17</t>
        </is>
      </c>
    </row>
    <row r="232">
      <c r="A232" s="3" t="inlineStr">
        <is>
          <t>583998067155437112</t>
        </is>
      </c>
      <c r="B232" s="3" t="inlineStr">
        <is>
          <t>已完成</t>
        </is>
      </c>
      <c r="C232" s="3" t="inlineStr">
        <is>
          <t>C1</t>
        </is>
      </c>
      <c r="D232" s="3" t="inlineStr">
        <is>
          <t>魔芋笋1大袋</t>
        </is>
      </c>
      <c r="E2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2" s="3" t="inlineStr">
        <is>
          <t>รสเผ็ดหอม​, 10 ซอง 200g</t>
        </is>
      </c>
      <c r="G232" s="6" t="n">
        <v>1</v>
      </c>
      <c r="H232" s="6" t="n">
        <v>6.699999999999999</v>
      </c>
      <c r="I232" s="6" t="n">
        <v>1</v>
      </c>
      <c r="J232" s="5" t="n">
        <v>14.7</v>
      </c>
      <c r="K232" s="5" t="n">
        <v>-14.7</v>
      </c>
      <c r="L232" s="5" t="n">
        <v>-69.09</v>
      </c>
      <c r="M232" s="3" t="inlineStr">
        <is>
          <t>13/05/2026 16:18:16</t>
        </is>
      </c>
    </row>
    <row r="233">
      <c r="A233" s="3" t="inlineStr">
        <is>
          <t>583998066915771788</t>
        </is>
      </c>
      <c r="B233" s="3" t="inlineStr">
        <is>
          <t>已完成</t>
        </is>
      </c>
      <c r="C233" s="3" t="inlineStr">
        <is>
          <t>C1</t>
        </is>
      </c>
      <c r="D233" s="3" t="inlineStr">
        <is>
          <t>魔芋笋1大袋</t>
        </is>
      </c>
      <c r="E2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3" s="3" t="inlineStr">
        <is>
          <t>รสเผ็ดหอม​, 10 ซอง 200g</t>
        </is>
      </c>
      <c r="G233" s="6" t="n">
        <v>1</v>
      </c>
      <c r="H233" s="6" t="n">
        <v>6.699999999999999</v>
      </c>
      <c r="I233" s="6" t="n">
        <v>1</v>
      </c>
      <c r="J233" s="5" t="n">
        <v>14.7</v>
      </c>
      <c r="K233" s="5" t="n">
        <v>-14.7</v>
      </c>
      <c r="L233" s="5" t="n">
        <v>-69.09</v>
      </c>
      <c r="M233" s="3" t="inlineStr">
        <is>
          <t>13/05/2026 16:13:13</t>
        </is>
      </c>
    </row>
    <row r="234">
      <c r="A234" s="3" t="inlineStr">
        <is>
          <t>583998066805146688</t>
        </is>
      </c>
      <c r="B234" s="3" t="inlineStr">
        <is>
          <t>已完成</t>
        </is>
      </c>
      <c r="C234" s="3" t="inlineStr">
        <is>
          <t>CK</t>
        </is>
      </c>
      <c r="D234" s="3" t="inlineStr">
        <is>
          <t>黑松露黑麦苏打饼干</t>
        </is>
      </c>
      <c r="E23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34" s="3" t="inlineStr">
        <is>
          <t>ค่าเริ่มต้น</t>
        </is>
      </c>
      <c r="G234" s="6" t="n">
        <v>1</v>
      </c>
      <c r="H234" s="6" t="n">
        <v>10.72665050209467</v>
      </c>
      <c r="I234" s="6" t="n">
        <v>1</v>
      </c>
      <c r="J234" s="5" t="n">
        <v>18.72665050209466</v>
      </c>
      <c r="K234" s="5" t="n">
        <v>-18.72665050209466</v>
      </c>
      <c r="L234" s="5" t="n">
        <v>-88.01525735984492</v>
      </c>
      <c r="M234" s="3" t="inlineStr">
        <is>
          <t>13/05/2026 16:11:14</t>
        </is>
      </c>
    </row>
    <row r="235">
      <c r="A235" s="3" t="inlineStr">
        <is>
          <t>583998066697470994</t>
        </is>
      </c>
      <c r="B235" s="3" t="inlineStr">
        <is>
          <t>已完成</t>
        </is>
      </c>
      <c r="C235" s="3" t="inlineStr">
        <is>
          <t>C1</t>
        </is>
      </c>
      <c r="D235" s="3" t="inlineStr">
        <is>
          <t>魔芋笋1大袋</t>
        </is>
      </c>
      <c r="E2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5" s="3" t="inlineStr">
        <is>
          <t>รสเผ็ดหอม​, 10 ซอง 200g</t>
        </is>
      </c>
      <c r="G235" s="6" t="n">
        <v>1</v>
      </c>
      <c r="H235" s="6" t="n">
        <v>6.699999999999999</v>
      </c>
      <c r="I235" s="6" t="n">
        <v>1</v>
      </c>
      <c r="J235" s="5" t="n">
        <v>14.7</v>
      </c>
      <c r="K235" s="5" t="n">
        <v>-14.7</v>
      </c>
      <c r="L235" s="5" t="n">
        <v>-69.09</v>
      </c>
      <c r="M235" s="3" t="inlineStr">
        <is>
          <t>13/05/2026 16:09:13</t>
        </is>
      </c>
    </row>
    <row r="236">
      <c r="A236" s="3" t="inlineStr">
        <is>
          <t>583998066546149200</t>
        </is>
      </c>
      <c r="B236" s="3" t="inlineStr">
        <is>
          <t>已完成</t>
        </is>
      </c>
      <c r="C236" s="3" t="inlineStr">
        <is>
          <t>C1</t>
        </is>
      </c>
      <c r="D236" s="3" t="inlineStr">
        <is>
          <t>魔芋笋1大袋</t>
        </is>
      </c>
      <c r="E2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6" s="3" t="inlineStr">
        <is>
          <t>รสเผ็ดหอม​, 10 ซอง 200g</t>
        </is>
      </c>
      <c r="G236" s="6" t="n">
        <v>1</v>
      </c>
      <c r="H236" s="6" t="n">
        <v>6.699999999999999</v>
      </c>
      <c r="I236" s="6" t="n">
        <v>1</v>
      </c>
      <c r="J236" s="5" t="n">
        <v>14.7</v>
      </c>
      <c r="K236" s="5" t="n">
        <v>-14.7</v>
      </c>
      <c r="L236" s="5" t="n">
        <v>-69.09</v>
      </c>
      <c r="M236" s="3" t="inlineStr">
        <is>
          <t>13/05/2026 16:05:23</t>
        </is>
      </c>
    </row>
    <row r="237">
      <c r="A237" s="3" t="inlineStr">
        <is>
          <t>583998063667480005</t>
        </is>
      </c>
      <c r="B237" s="3" t="inlineStr">
        <is>
          <t>已完成</t>
        </is>
      </c>
      <c r="C237" s="3" t="inlineStr">
        <is>
          <t>CK</t>
        </is>
      </c>
      <c r="D237" s="3" t="inlineStr">
        <is>
          <t>黑松露黑麦苏打饼干</t>
        </is>
      </c>
      <c r="E23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37" s="3" t="inlineStr">
        <is>
          <t>ค่าเริ่มต้น</t>
        </is>
      </c>
      <c r="G237" s="6" t="n">
        <v>1</v>
      </c>
      <c r="H237" s="6" t="n">
        <v>10.72665050209467</v>
      </c>
      <c r="I237" s="6" t="n">
        <v>1</v>
      </c>
      <c r="J237" s="5" t="n">
        <v>18.72665050209466</v>
      </c>
      <c r="K237" s="5" t="n">
        <v>-18.72665050209466</v>
      </c>
      <c r="L237" s="5" t="n">
        <v>-88.01525735984492</v>
      </c>
      <c r="M237" s="3" t="inlineStr">
        <is>
          <t>13/05/2026 15:03:12</t>
        </is>
      </c>
    </row>
    <row r="238">
      <c r="A238" s="3" t="inlineStr">
        <is>
          <t>584005179765064869</t>
        </is>
      </c>
      <c r="B238" s="3" t="inlineStr">
        <is>
          <t>已完成</t>
        </is>
      </c>
      <c r="C238" s="3" t="inlineStr">
        <is>
          <t>CK</t>
        </is>
      </c>
      <c r="D238" s="3" t="inlineStr">
        <is>
          <t>黑松露黑麦苏打饼干</t>
        </is>
      </c>
      <c r="E23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38" s="3" t="inlineStr">
        <is>
          <t>ค่าเริ่มต้น</t>
        </is>
      </c>
      <c r="G238" s="6" t="n">
        <v>1</v>
      </c>
      <c r="H238" s="6" t="n">
        <v>10.72665050209467</v>
      </c>
      <c r="I238" s="6" t="n">
        <v>1</v>
      </c>
      <c r="J238" s="5" t="n">
        <v>18.72665050209466</v>
      </c>
      <c r="K238" s="5" t="n">
        <v>-18.72665050209466</v>
      </c>
      <c r="L238" s="5" t="n">
        <v>-88.01525735984492</v>
      </c>
      <c r="M238" s="3" t="inlineStr">
        <is>
          <t>13/05/2026 14:47:21</t>
        </is>
      </c>
    </row>
    <row r="239">
      <c r="A239" s="3" t="inlineStr">
        <is>
          <t>584005179618788844</t>
        </is>
      </c>
      <c r="B239" s="3" t="inlineStr">
        <is>
          <t>已完成</t>
        </is>
      </c>
      <c r="C239" s="3" t="inlineStr">
        <is>
          <t>C1</t>
        </is>
      </c>
      <c r="D239" s="3" t="inlineStr">
        <is>
          <t>魔芋笋1大袋</t>
        </is>
      </c>
      <c r="E2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9" s="3" t="inlineStr">
        <is>
          <t>รสเผ็ดหอม​, 10 ซอง 200g</t>
        </is>
      </c>
      <c r="G239" s="6" t="n">
        <v>1</v>
      </c>
      <c r="H239" s="6" t="n">
        <v>6.699999999999999</v>
      </c>
      <c r="I239" s="6" t="n">
        <v>1</v>
      </c>
      <c r="J239" s="5" t="n">
        <v>14.7</v>
      </c>
      <c r="K239" s="5" t="n">
        <v>-14.7</v>
      </c>
      <c r="L239" s="5" t="n">
        <v>-69.09</v>
      </c>
      <c r="M239" s="3" t="inlineStr">
        <is>
          <t>13/05/2026 14:43:23</t>
        </is>
      </c>
    </row>
    <row r="240">
      <c r="A240" s="3" t="inlineStr">
        <is>
          <t>583998062575126439</t>
        </is>
      </c>
      <c r="B240" s="3" t="inlineStr">
        <is>
          <t>已完成</t>
        </is>
      </c>
      <c r="C240" s="3" t="inlineStr">
        <is>
          <t>C1</t>
        </is>
      </c>
      <c r="D240" s="3" t="inlineStr">
        <is>
          <t>魔芋笋1大袋</t>
        </is>
      </c>
      <c r="E2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0" s="3" t="inlineStr">
        <is>
          <t>รสเผ็ดหอม​, 10 ซอง 200g</t>
        </is>
      </c>
      <c r="G240" s="6" t="n">
        <v>1</v>
      </c>
      <c r="H240" s="6" t="n">
        <v>6.699999999999999</v>
      </c>
      <c r="I240" s="6" t="n">
        <v>1</v>
      </c>
      <c r="J240" s="5" t="n">
        <v>14.7</v>
      </c>
      <c r="K240" s="5" t="n">
        <v>-14.7</v>
      </c>
      <c r="L240" s="5" t="n">
        <v>-69.09</v>
      </c>
      <c r="M240" s="3" t="inlineStr">
        <is>
          <t>13/05/2026 14:42:17</t>
        </is>
      </c>
    </row>
    <row r="241">
      <c r="A241" s="3" t="inlineStr">
        <is>
          <t>583998062201242643</t>
        </is>
      </c>
      <c r="B241" s="3" t="inlineStr">
        <is>
          <t>已完成</t>
        </is>
      </c>
      <c r="C241" s="3" t="inlineStr">
        <is>
          <t>CK</t>
        </is>
      </c>
      <c r="D241" s="3" t="inlineStr">
        <is>
          <t>黑松露黑麦苏打饼干</t>
        </is>
      </c>
      <c r="E24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41" s="3" t="inlineStr">
        <is>
          <t>ค่าเริ่มต้น</t>
        </is>
      </c>
      <c r="G241" s="6" t="n">
        <v>1</v>
      </c>
      <c r="H241" s="6" t="n">
        <v>10.72665050209467</v>
      </c>
      <c r="I241" s="6" t="n">
        <v>1</v>
      </c>
      <c r="J241" s="5" t="n">
        <v>18.72665050209466</v>
      </c>
      <c r="K241" s="5" t="n">
        <v>-18.72665050209466</v>
      </c>
      <c r="L241" s="5" t="n">
        <v>-88.01525735984492</v>
      </c>
      <c r="M241" s="3" t="inlineStr">
        <is>
          <t>13/05/2026 14:35:16</t>
        </is>
      </c>
    </row>
    <row r="242">
      <c r="A242" s="3" t="inlineStr">
        <is>
          <t>583998062156350563</t>
        </is>
      </c>
      <c r="B242" s="3" t="inlineStr">
        <is>
          <t>已完成</t>
        </is>
      </c>
      <c r="C242" s="3" t="inlineStr">
        <is>
          <t>C1</t>
        </is>
      </c>
      <c r="D242" s="3" t="inlineStr">
        <is>
          <t>魔芋笋1大袋</t>
        </is>
      </c>
      <c r="E2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2" s="3" t="inlineStr">
        <is>
          <t>รสเผ็ดหอม​, 10 ซอง 200g</t>
        </is>
      </c>
      <c r="G242" s="6" t="n">
        <v>1</v>
      </c>
      <c r="H242" s="6" t="n">
        <v>6.699999999999999</v>
      </c>
      <c r="I242" s="6" t="n">
        <v>1</v>
      </c>
      <c r="J242" s="5" t="n">
        <v>14.7</v>
      </c>
      <c r="K242" s="5" t="n">
        <v>-14.7</v>
      </c>
      <c r="L242" s="5" t="n">
        <v>-69.09</v>
      </c>
      <c r="M242" s="3" t="inlineStr">
        <is>
          <t>13/05/2026 14:34:13</t>
        </is>
      </c>
    </row>
    <row r="243">
      <c r="A243" s="3" t="inlineStr">
        <is>
          <t>583998061903775315</t>
        </is>
      </c>
      <c r="B243" s="3" t="inlineStr">
        <is>
          <t>已完成</t>
        </is>
      </c>
      <c r="C243" s="3" t="inlineStr">
        <is>
          <t>C1</t>
        </is>
      </c>
      <c r="D243" s="3" t="inlineStr">
        <is>
          <t>魔芋笋1大袋</t>
        </is>
      </c>
      <c r="E2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3" s="3" t="inlineStr">
        <is>
          <t>รสเผ็ดหอม​, 10 ซอง 200g</t>
        </is>
      </c>
      <c r="G243" s="6" t="n">
        <v>1</v>
      </c>
      <c r="H243" s="6" t="n">
        <v>6.699999999999999</v>
      </c>
      <c r="I243" s="6" t="n">
        <v>1</v>
      </c>
      <c r="J243" s="5" t="n">
        <v>14.7</v>
      </c>
      <c r="K243" s="5" t="n">
        <v>-14.7</v>
      </c>
      <c r="L243" s="5" t="n">
        <v>-69.09</v>
      </c>
      <c r="M243" s="3" t="inlineStr">
        <is>
          <t>13/05/2026 14:29:15</t>
        </is>
      </c>
    </row>
    <row r="244">
      <c r="A244" s="3" t="inlineStr">
        <is>
          <t>583990972787230494</t>
        </is>
      </c>
      <c r="B244" s="3" t="inlineStr">
        <is>
          <t>已完成</t>
        </is>
      </c>
      <c r="C244" s="3" t="inlineStr">
        <is>
          <t>C1</t>
        </is>
      </c>
      <c r="D244" s="3" t="inlineStr">
        <is>
          <t>魔芋笋1大袋</t>
        </is>
      </c>
      <c r="E2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4" s="3" t="inlineStr">
        <is>
          <t>รสเผ็ดหอม​, 10 ซอง 200g</t>
        </is>
      </c>
      <c r="G244" s="6" t="n">
        <v>1</v>
      </c>
      <c r="H244" s="6" t="n">
        <v>6.699999999999999</v>
      </c>
      <c r="I244" s="6" t="n">
        <v>1</v>
      </c>
      <c r="J244" s="5" t="n">
        <v>14.7</v>
      </c>
      <c r="K244" s="5" t="n">
        <v>-14.7</v>
      </c>
      <c r="L244" s="5" t="n">
        <v>-69.09</v>
      </c>
      <c r="M244" s="3" t="inlineStr">
        <is>
          <t>12/05/2026 16:23:19</t>
        </is>
      </c>
    </row>
    <row r="245">
      <c r="A245" s="3" t="inlineStr">
        <is>
          <t>583990972651439690</t>
        </is>
      </c>
      <c r="B245" s="3" t="inlineStr">
        <is>
          <t>已完成</t>
        </is>
      </c>
      <c r="C245" s="3" t="inlineStr">
        <is>
          <t>C1</t>
        </is>
      </c>
      <c r="D245" s="3" t="inlineStr">
        <is>
          <t>魔芋笋1大袋</t>
        </is>
      </c>
      <c r="E2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5" s="3" t="inlineStr">
        <is>
          <t>รสเผ็ดหอม​, 10 ซอง 200g</t>
        </is>
      </c>
      <c r="G245" s="6" t="n">
        <v>1</v>
      </c>
      <c r="H245" s="6" t="n">
        <v>6.699999999999999</v>
      </c>
      <c r="I245" s="6" t="n">
        <v>1</v>
      </c>
      <c r="J245" s="5" t="n">
        <v>14.7</v>
      </c>
      <c r="K245" s="5" t="n">
        <v>-14.7</v>
      </c>
      <c r="L245" s="5" t="n">
        <v>-69.09</v>
      </c>
      <c r="M245" s="3" t="inlineStr">
        <is>
          <t>12/05/2026 16:20:14</t>
        </is>
      </c>
    </row>
    <row r="246">
      <c r="A246" s="3" t="inlineStr">
        <is>
          <t>583990393666701256</t>
        </is>
      </c>
      <c r="B246" s="3" t="inlineStr">
        <is>
          <t>已完成</t>
        </is>
      </c>
      <c r="C246" s="3" t="inlineStr">
        <is>
          <t>C1</t>
        </is>
      </c>
      <c r="D246" s="3" t="inlineStr">
        <is>
          <t>魔芋笋1大袋</t>
        </is>
      </c>
      <c r="E2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6" s="3" t="inlineStr">
        <is>
          <t>รสเผ็ดหอม​, 10 ซอง 200g</t>
        </is>
      </c>
      <c r="G246" s="6" t="n">
        <v>1</v>
      </c>
      <c r="H246" s="6" t="n">
        <v>6.699999999999999</v>
      </c>
      <c r="I246" s="6" t="n">
        <v>1</v>
      </c>
      <c r="J246" s="5" t="n">
        <v>14.7</v>
      </c>
      <c r="K246" s="5" t="n">
        <v>-14.7</v>
      </c>
      <c r="L246" s="5" t="n">
        <v>-69.09</v>
      </c>
      <c r="M246" s="3" t="inlineStr">
        <is>
          <t>12/05/2026 15:49:17</t>
        </is>
      </c>
    </row>
    <row r="247">
      <c r="A247" s="3" t="inlineStr">
        <is>
          <t>583990456623269877</t>
        </is>
      </c>
      <c r="B247" s="3" t="inlineStr">
        <is>
          <t>已完成</t>
        </is>
      </c>
      <c r="C247" s="3" t="inlineStr">
        <is>
          <t>CK</t>
        </is>
      </c>
      <c r="D247" s="3" t="inlineStr">
        <is>
          <t>黑松露黑麦苏打饼干</t>
        </is>
      </c>
      <c r="E24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47" s="3" t="inlineStr">
        <is>
          <t>ค่าเริ่มต้น</t>
        </is>
      </c>
      <c r="G247" s="6" t="n">
        <v>1</v>
      </c>
      <c r="H247" s="6" t="n">
        <v>10.72665050209467</v>
      </c>
      <c r="I247" s="6" t="n">
        <v>1</v>
      </c>
      <c r="J247" s="5" t="n">
        <v>18.72665050209466</v>
      </c>
      <c r="K247" s="5" t="n">
        <v>-18.72665050209466</v>
      </c>
      <c r="L247" s="5" t="n">
        <v>-88.01525735984492</v>
      </c>
      <c r="M247" s="3" t="inlineStr">
        <is>
          <t>12/05/2026 15:47:13</t>
        </is>
      </c>
    </row>
    <row r="248">
      <c r="A248" s="3" t="inlineStr">
        <is>
          <t>583990456477779204</t>
        </is>
      </c>
      <c r="B248" s="3" t="inlineStr">
        <is>
          <t>已完成</t>
        </is>
      </c>
      <c r="C248" s="3" t="inlineStr">
        <is>
          <t>C1</t>
        </is>
      </c>
      <c r="D248" s="3" t="inlineStr">
        <is>
          <t>魔芋笋1大袋</t>
        </is>
      </c>
      <c r="E2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8" s="3" t="inlineStr">
        <is>
          <t>รสเผ็ดหอม​, 10 ซอง 200g</t>
        </is>
      </c>
      <c r="G248" s="6" t="n">
        <v>1</v>
      </c>
      <c r="H248" s="6" t="n">
        <v>6.699999999999999</v>
      </c>
      <c r="I248" s="6" t="n">
        <v>1</v>
      </c>
      <c r="J248" s="5" t="n">
        <v>14.7</v>
      </c>
      <c r="K248" s="5" t="n">
        <v>-14.7</v>
      </c>
      <c r="L248" s="5" t="n">
        <v>-69.09</v>
      </c>
      <c r="M248" s="3" t="inlineStr">
        <is>
          <t>12/05/2026 15:43:22</t>
        </is>
      </c>
    </row>
    <row r="249">
      <c r="A249" s="3" t="inlineStr">
        <is>
          <t>583990456128406949</t>
        </is>
      </c>
      <c r="B249" s="3" t="inlineStr">
        <is>
          <t>已完成</t>
        </is>
      </c>
      <c r="C249" s="3" t="inlineStr">
        <is>
          <t>C1</t>
        </is>
      </c>
      <c r="D249" s="3" t="inlineStr">
        <is>
          <t>魔芋笋1大袋</t>
        </is>
      </c>
      <c r="E2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9" s="3" t="inlineStr">
        <is>
          <t>รสเผ็ดหอม​, 10 ซอง 200g</t>
        </is>
      </c>
      <c r="G249" s="6" t="n">
        <v>1</v>
      </c>
      <c r="H249" s="6" t="n">
        <v>6.699999999999999</v>
      </c>
      <c r="I249" s="6" t="n">
        <v>1</v>
      </c>
      <c r="J249" s="5" t="n">
        <v>14.7</v>
      </c>
      <c r="K249" s="5" t="n">
        <v>-14.7</v>
      </c>
      <c r="L249" s="5" t="n">
        <v>-69.09</v>
      </c>
      <c r="M249" s="3" t="inlineStr">
        <is>
          <t>12/05/2026 15:36:14</t>
        </is>
      </c>
    </row>
    <row r="250">
      <c r="A250" s="3" t="inlineStr">
        <is>
          <t>583990257836655633</t>
        </is>
      </c>
      <c r="B250" s="3" t="inlineStr">
        <is>
          <t>已完成</t>
        </is>
      </c>
      <c r="C250" s="3" t="inlineStr">
        <is>
          <t>C1</t>
        </is>
      </c>
      <c r="D250" s="3" t="inlineStr">
        <is>
          <t>魔芋笋1大袋</t>
        </is>
      </c>
      <c r="E2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0" s="3" t="inlineStr">
        <is>
          <t>รสเผ็ดหอม​, 10 ซอง 200g</t>
        </is>
      </c>
      <c r="G250" s="6" t="n">
        <v>1</v>
      </c>
      <c r="H250" s="6" t="n">
        <v>6.699999999999999</v>
      </c>
      <c r="I250" s="6" t="n">
        <v>1</v>
      </c>
      <c r="J250" s="5" t="n">
        <v>14.7</v>
      </c>
      <c r="K250" s="5" t="n">
        <v>-14.7</v>
      </c>
      <c r="L250" s="5" t="n">
        <v>-69.09</v>
      </c>
      <c r="M250" s="3" t="inlineStr">
        <is>
          <t>12/05/2026 15:28:11</t>
        </is>
      </c>
    </row>
    <row r="251">
      <c r="A251" s="3" t="inlineStr">
        <is>
          <t>583990141951051686</t>
        </is>
      </c>
      <c r="B251" s="3" t="inlineStr">
        <is>
          <t>已完成</t>
        </is>
      </c>
      <c r="C251" s="3" t="inlineStr">
        <is>
          <t>C1</t>
        </is>
      </c>
      <c r="D251" s="3" t="inlineStr">
        <is>
          <t>魔芋笋1大袋</t>
        </is>
      </c>
      <c r="E2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1" s="3" t="inlineStr">
        <is>
          <t>รสเผ็ดหอม​, 10 ซอง 200g</t>
        </is>
      </c>
      <c r="G251" s="6" t="n">
        <v>1</v>
      </c>
      <c r="H251" s="6" t="n">
        <v>6.699999999999999</v>
      </c>
      <c r="I251" s="6" t="n">
        <v>1</v>
      </c>
      <c r="J251" s="5" t="n">
        <v>14.7</v>
      </c>
      <c r="K251" s="5" t="n">
        <v>-14.7</v>
      </c>
      <c r="L251" s="5" t="n">
        <v>-69.09</v>
      </c>
      <c r="M251" s="3" t="inlineStr">
        <is>
          <t>12/05/2026 15:27:22</t>
        </is>
      </c>
    </row>
    <row r="252">
      <c r="A252" s="3" t="inlineStr">
        <is>
          <t>583990257613572068</t>
        </is>
      </c>
      <c r="B252" s="3" t="inlineStr">
        <is>
          <t>已完成</t>
        </is>
      </c>
      <c r="C252" s="3" t="inlineStr">
        <is>
          <t>C1</t>
        </is>
      </c>
      <c r="D252" s="3" t="inlineStr">
        <is>
          <t>魔芋笋1大袋</t>
        </is>
      </c>
      <c r="E2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2" s="3" t="inlineStr">
        <is>
          <t>รสเผ็ดหอม​, 10 ซอง 200g</t>
        </is>
      </c>
      <c r="G252" s="6" t="n">
        <v>1</v>
      </c>
      <c r="H252" s="6" t="n">
        <v>6.699999999999999</v>
      </c>
      <c r="I252" s="6" t="n">
        <v>1</v>
      </c>
      <c r="J252" s="5" t="n">
        <v>14.7</v>
      </c>
      <c r="K252" s="5" t="n">
        <v>-14.7</v>
      </c>
      <c r="L252" s="5" t="n">
        <v>-69.09</v>
      </c>
      <c r="M252" s="3" t="inlineStr">
        <is>
          <t>12/05/2026 15:23:17</t>
        </is>
      </c>
    </row>
    <row r="253">
      <c r="A253" s="3" t="inlineStr">
        <is>
          <t>583989861646763890</t>
        </is>
      </c>
      <c r="B253" s="3" t="inlineStr">
        <is>
          <t>已完成</t>
        </is>
      </c>
      <c r="C253" s="3" t="inlineStr">
        <is>
          <t>C1</t>
        </is>
      </c>
      <c r="D253" s="3" t="inlineStr">
        <is>
          <t>魔芋笋1大袋</t>
        </is>
      </c>
      <c r="E2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3" s="3" t="inlineStr">
        <is>
          <t>รสเผ็ดหอม​, 10 ซอง 200g</t>
        </is>
      </c>
      <c r="G253" s="6" t="n">
        <v>1</v>
      </c>
      <c r="H253" s="6" t="n">
        <v>6.699999999999999</v>
      </c>
      <c r="I253" s="6" t="n">
        <v>1</v>
      </c>
      <c r="J253" s="5" t="n">
        <v>14.7</v>
      </c>
      <c r="K253" s="5" t="n">
        <v>-14.7</v>
      </c>
      <c r="L253" s="5" t="n">
        <v>-69.09</v>
      </c>
      <c r="M253" s="3" t="inlineStr">
        <is>
          <t>12/05/2026 15:13:13</t>
        </is>
      </c>
    </row>
    <row r="254">
      <c r="A254" s="3" t="inlineStr">
        <is>
          <t>583989861274060234</t>
        </is>
      </c>
      <c r="B254" s="3" t="inlineStr">
        <is>
          <t>已完成</t>
        </is>
      </c>
      <c r="C254" s="3" t="inlineStr">
        <is>
          <t>C1</t>
        </is>
      </c>
      <c r="D254" s="3" t="inlineStr">
        <is>
          <t>魔芋笋1大袋</t>
        </is>
      </c>
      <c r="E2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4" s="3" t="inlineStr">
        <is>
          <t>รสเผ็ดหอม​, 10 ซอง 200g</t>
        </is>
      </c>
      <c r="G254" s="6" t="n">
        <v>1</v>
      </c>
      <c r="H254" s="6" t="n">
        <v>6.699999999999999</v>
      </c>
      <c r="I254" s="6" t="n">
        <v>1</v>
      </c>
      <c r="J254" s="5" t="n">
        <v>14.7</v>
      </c>
      <c r="K254" s="5" t="n">
        <v>-14.7</v>
      </c>
      <c r="L254" s="5" t="n">
        <v>-69.09</v>
      </c>
      <c r="M254" s="3" t="inlineStr">
        <is>
          <t>12/05/2026 15:02:20</t>
        </is>
      </c>
    </row>
    <row r="255">
      <c r="A255" s="3" t="inlineStr">
        <is>
          <t>583988683446519764</t>
        </is>
      </c>
      <c r="B255" s="3" t="inlineStr">
        <is>
          <t>已完成</t>
        </is>
      </c>
      <c r="C255" s="3" t="inlineStr">
        <is>
          <t>C1</t>
        </is>
      </c>
      <c r="D255" s="3" t="inlineStr">
        <is>
          <t>魔芋笋1大袋</t>
        </is>
      </c>
      <c r="E2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5" s="3" t="inlineStr">
        <is>
          <t>รสเผ็ดหอม​, 10 ซอง 200g</t>
        </is>
      </c>
      <c r="G255" s="6" t="n">
        <v>1</v>
      </c>
      <c r="H255" s="6" t="n">
        <v>6.699999999999999</v>
      </c>
      <c r="I255" s="6" t="n">
        <v>1</v>
      </c>
      <c r="J255" s="5" t="n">
        <v>14.7</v>
      </c>
      <c r="K255" s="5" t="n">
        <v>-14.7</v>
      </c>
      <c r="L255" s="5" t="n">
        <v>-69.09</v>
      </c>
      <c r="M255" s="3" t="inlineStr">
        <is>
          <t>12/05/2026 13:23:17</t>
        </is>
      </c>
    </row>
    <row r="256">
      <c r="A256" s="3" t="inlineStr">
        <is>
          <t>583988431723202401</t>
        </is>
      </c>
      <c r="B256" s="3" t="inlineStr">
        <is>
          <t>已完成</t>
        </is>
      </c>
      <c r="C256" s="3" t="inlineStr">
        <is>
          <t>CK</t>
        </is>
      </c>
      <c r="D256" s="3" t="inlineStr">
        <is>
          <t>黑松露黑麦苏打饼干</t>
        </is>
      </c>
      <c r="E25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56" s="3" t="inlineStr">
        <is>
          <t>ค่าเริ่มต้น</t>
        </is>
      </c>
      <c r="G256" s="6" t="n">
        <v>1</v>
      </c>
      <c r="H256" s="6" t="n">
        <v>10.72665050209467</v>
      </c>
      <c r="I256" s="6" t="n">
        <v>1</v>
      </c>
      <c r="J256" s="5" t="n">
        <v>18.72665050209466</v>
      </c>
      <c r="K256" s="5" t="n">
        <v>-18.72665050209466</v>
      </c>
      <c r="L256" s="5" t="n">
        <v>-88.01525735984492</v>
      </c>
      <c r="M256" s="3" t="inlineStr">
        <is>
          <t>12/05/2026 13:08:19</t>
        </is>
      </c>
    </row>
    <row r="257">
      <c r="A257" s="3" t="inlineStr">
        <is>
          <t>583987671189456327</t>
        </is>
      </c>
      <c r="B257" s="3" t="inlineStr">
        <is>
          <t>已完成</t>
        </is>
      </c>
      <c r="C257" s="3" t="inlineStr">
        <is>
          <t>C1</t>
        </is>
      </c>
      <c r="D257" s="3" t="inlineStr">
        <is>
          <t>魔芋笋1大袋</t>
        </is>
      </c>
      <c r="E2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7" s="3" t="inlineStr">
        <is>
          <t>รสเผ็ดหอม​, 10 ซอง 200g</t>
        </is>
      </c>
      <c r="G257" s="6" t="n">
        <v>1</v>
      </c>
      <c r="H257" s="6" t="n">
        <v>6.699999999999999</v>
      </c>
      <c r="I257" s="6" t="n">
        <v>1</v>
      </c>
      <c r="J257" s="5" t="n">
        <v>14.7</v>
      </c>
      <c r="K257" s="5" t="n">
        <v>-14.7</v>
      </c>
      <c r="L257" s="5" t="n">
        <v>-69.09</v>
      </c>
      <c r="M257" s="3" t="inlineStr">
        <is>
          <t>12/05/2026 12:47:20</t>
        </is>
      </c>
    </row>
    <row r="258">
      <c r="A258" s="3" t="inlineStr">
        <is>
          <t>583976487599310402</t>
        </is>
      </c>
      <c r="B258" s="3" t="inlineStr">
        <is>
          <t>已完成</t>
        </is>
      </c>
      <c r="C258" s="3" t="inlineStr">
        <is>
          <t>C1</t>
        </is>
      </c>
      <c r="D258" s="3" t="inlineStr">
        <is>
          <t>魔芋笋1大袋</t>
        </is>
      </c>
      <c r="E2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8" s="3" t="inlineStr">
        <is>
          <t>รสเผ็ดหอม​, 10 ซอง 200g</t>
        </is>
      </c>
      <c r="G258" s="6" t="n">
        <v>1</v>
      </c>
      <c r="H258" s="6" t="n">
        <v>6.699999999999999</v>
      </c>
      <c r="I258" s="6" t="n">
        <v>1</v>
      </c>
      <c r="J258" s="5" t="n">
        <v>14.7</v>
      </c>
      <c r="K258" s="5" t="n">
        <v>-14.7</v>
      </c>
      <c r="L258" s="5" t="n">
        <v>-69.09</v>
      </c>
      <c r="M258" s="3" t="inlineStr">
        <is>
          <t>11/05/2026 18:04:10</t>
        </is>
      </c>
    </row>
    <row r="259">
      <c r="A259" s="3" t="inlineStr">
        <is>
          <t>583976487238207427</t>
        </is>
      </c>
      <c r="B259" s="3" t="inlineStr">
        <is>
          <t>已完成</t>
        </is>
      </c>
      <c r="C259" s="3" t="inlineStr">
        <is>
          <t>C1</t>
        </is>
      </c>
      <c r="D259" s="3" t="inlineStr">
        <is>
          <t>魔芋笋1大袋</t>
        </is>
      </c>
      <c r="E2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9" s="3" t="inlineStr">
        <is>
          <t>รสเผ็ดหอม​, 10 ซอง 200g</t>
        </is>
      </c>
      <c r="G259" s="6" t="n">
        <v>1</v>
      </c>
      <c r="H259" s="6" t="n">
        <v>6.699999999999999</v>
      </c>
      <c r="I259" s="6" t="n">
        <v>1</v>
      </c>
      <c r="J259" s="5" t="n">
        <v>14.7</v>
      </c>
      <c r="K259" s="5" t="n">
        <v>-14.7</v>
      </c>
      <c r="L259" s="5" t="n">
        <v>-69.09</v>
      </c>
      <c r="M259" s="3" t="inlineStr">
        <is>
          <t>11/05/2026 17:51:17</t>
        </is>
      </c>
    </row>
    <row r="260">
      <c r="A260" s="3" t="inlineStr">
        <is>
          <t>583976275714082564</t>
        </is>
      </c>
      <c r="B260" s="3" t="inlineStr">
        <is>
          <t>已完成</t>
        </is>
      </c>
      <c r="C260" s="3" t="inlineStr">
        <is>
          <t>CK</t>
        </is>
      </c>
      <c r="D260" s="3" t="inlineStr">
        <is>
          <t>黑松露黑麦苏打饼干</t>
        </is>
      </c>
      <c r="E26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60" s="3" t="inlineStr">
        <is>
          <t>ค่าเริ่มต้น</t>
        </is>
      </c>
      <c r="G260" s="6" t="n">
        <v>1</v>
      </c>
      <c r="H260" s="6" t="n">
        <v>10.72665050209467</v>
      </c>
      <c r="I260" s="6" t="n">
        <v>1</v>
      </c>
      <c r="J260" s="5" t="n">
        <v>18.72665050209466</v>
      </c>
      <c r="K260" s="5" t="n">
        <v>-18.72665050209466</v>
      </c>
      <c r="L260" s="5" t="n">
        <v>-88.01525735984492</v>
      </c>
      <c r="M260" s="3" t="inlineStr">
        <is>
          <t>11/05/2026 17:36:10</t>
        </is>
      </c>
    </row>
    <row r="261">
      <c r="A261" s="3" t="inlineStr">
        <is>
          <t>583976092914845618</t>
        </is>
      </c>
      <c r="B261" s="3" t="inlineStr">
        <is>
          <t>已完成</t>
        </is>
      </c>
      <c r="C261" s="3" t="inlineStr">
        <is>
          <t>C1</t>
        </is>
      </c>
      <c r="D261" s="3" t="inlineStr">
        <is>
          <t>魔芋笋1大袋</t>
        </is>
      </c>
      <c r="E2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1" s="3" t="inlineStr">
        <is>
          <t>รสเผ็ดหอม​, 10 ซอง 200g</t>
        </is>
      </c>
      <c r="G261" s="6" t="n">
        <v>1</v>
      </c>
      <c r="H261" s="6" t="n">
        <v>6.699999999999999</v>
      </c>
      <c r="I261" s="6" t="n">
        <v>1</v>
      </c>
      <c r="J261" s="5" t="n">
        <v>14.7</v>
      </c>
      <c r="K261" s="5" t="n">
        <v>-14.7</v>
      </c>
      <c r="L261" s="5" t="n">
        <v>-69.09</v>
      </c>
      <c r="M261" s="3" t="inlineStr">
        <is>
          <t>11/05/2026 17:26:20</t>
        </is>
      </c>
    </row>
    <row r="262">
      <c r="A262" s="3" t="inlineStr">
        <is>
          <t>583976093573350405</t>
        </is>
      </c>
      <c r="B262" s="3" t="inlineStr">
        <is>
          <t>已完成</t>
        </is>
      </c>
      <c r="C262" s="3" t="inlineStr">
        <is>
          <t>CK</t>
        </is>
      </c>
      <c r="D262" s="3" t="inlineStr">
        <is>
          <t>黑松露黑麦苏打饼干</t>
        </is>
      </c>
      <c r="E26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62" s="3" t="inlineStr">
        <is>
          <t>ค่าเริ่มต้น</t>
        </is>
      </c>
      <c r="G262" s="6" t="n">
        <v>1</v>
      </c>
      <c r="H262" s="6" t="n">
        <v>10.72665050209467</v>
      </c>
      <c r="I262" s="6" t="n">
        <v>1</v>
      </c>
      <c r="J262" s="5" t="n">
        <v>18.72665050209466</v>
      </c>
      <c r="K262" s="5" t="n">
        <v>-18.72665050209466</v>
      </c>
      <c r="L262" s="5" t="n">
        <v>-88.01525735984492</v>
      </c>
      <c r="M262" s="3" t="inlineStr">
        <is>
          <t>11/05/2026 17:19:19</t>
        </is>
      </c>
    </row>
    <row r="263">
      <c r="A263" s="3" t="inlineStr">
        <is>
          <t>583976092708603306</t>
        </is>
      </c>
      <c r="B263" s="3" t="inlineStr">
        <is>
          <t>已完成</t>
        </is>
      </c>
      <c r="C263" s="3" t="inlineStr">
        <is>
          <t>C1</t>
        </is>
      </c>
      <c r="D263" s="3" t="inlineStr">
        <is>
          <t>魔芋笋1大袋</t>
        </is>
      </c>
      <c r="E2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3" s="3" t="inlineStr">
        <is>
          <t>รสเผ็ดหอม​, 10 ซอง 200g</t>
        </is>
      </c>
      <c r="G263" s="6" t="n">
        <v>1</v>
      </c>
      <c r="H263" s="6" t="n">
        <v>6.699999999999999</v>
      </c>
      <c r="I263" s="6" t="n">
        <v>1</v>
      </c>
      <c r="J263" s="5" t="n">
        <v>14.7</v>
      </c>
      <c r="K263" s="5" t="n">
        <v>-14.7</v>
      </c>
      <c r="L263" s="5" t="n">
        <v>-69.09</v>
      </c>
      <c r="M263" s="3" t="inlineStr">
        <is>
          <t>11/05/2026 17:19:13</t>
        </is>
      </c>
    </row>
    <row r="264">
      <c r="A264" s="3" t="inlineStr">
        <is>
          <t>583976093546349696</t>
        </is>
      </c>
      <c r="B264" s="3" t="inlineStr">
        <is>
          <t>已完成</t>
        </is>
      </c>
      <c r="C264" s="3" t="inlineStr">
        <is>
          <t>C1</t>
        </is>
      </c>
      <c r="D264" s="3" t="inlineStr">
        <is>
          <t>魔芋笋1大袋</t>
        </is>
      </c>
      <c r="E2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4" s="3" t="inlineStr">
        <is>
          <t>รสเผ็ดหอม​, 10 ซอง 200g</t>
        </is>
      </c>
      <c r="G264" s="6" t="n">
        <v>1</v>
      </c>
      <c r="H264" s="6" t="n">
        <v>6.699999999999999</v>
      </c>
      <c r="I264" s="6" t="n">
        <v>1</v>
      </c>
      <c r="J264" s="5" t="n">
        <v>14.7</v>
      </c>
      <c r="K264" s="5" t="n">
        <v>-14.7</v>
      </c>
      <c r="L264" s="5" t="n">
        <v>-69.09</v>
      </c>
      <c r="M264" s="3" t="inlineStr">
        <is>
          <t>11/05/2026 17:18:22</t>
        </is>
      </c>
    </row>
    <row r="265">
      <c r="A265" s="3" t="inlineStr">
        <is>
          <t>583976092693333141</t>
        </is>
      </c>
      <c r="B265" s="3" t="inlineStr">
        <is>
          <t>已完成</t>
        </is>
      </c>
      <c r="C265" s="3" t="inlineStr">
        <is>
          <t>C1</t>
        </is>
      </c>
      <c r="D265" s="3" t="inlineStr">
        <is>
          <t>魔芋笋1大袋</t>
        </is>
      </c>
      <c r="E2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5" s="3" t="inlineStr">
        <is>
          <t>รสเผ็ดหอม​, 10 ซอง 200g</t>
        </is>
      </c>
      <c r="G265" s="6" t="n">
        <v>1</v>
      </c>
      <c r="H265" s="6" t="n">
        <v>6.699999999999999</v>
      </c>
      <c r="I265" s="6" t="n">
        <v>1</v>
      </c>
      <c r="J265" s="5" t="n">
        <v>14.7</v>
      </c>
      <c r="K265" s="5" t="n">
        <v>-14.7</v>
      </c>
      <c r="L265" s="5" t="n">
        <v>-69.09</v>
      </c>
      <c r="M265" s="3" t="inlineStr">
        <is>
          <t>11/05/2026 17:18:20</t>
        </is>
      </c>
    </row>
    <row r="266">
      <c r="A266" s="3" t="inlineStr">
        <is>
          <t>583976093493920922</t>
        </is>
      </c>
      <c r="B266" s="3" t="inlineStr">
        <is>
          <t>已完成</t>
        </is>
      </c>
      <c r="C266" s="3" t="inlineStr">
        <is>
          <t>C1</t>
        </is>
      </c>
      <c r="D266" s="3" t="inlineStr">
        <is>
          <t>魔芋笋1大袋</t>
        </is>
      </c>
      <c r="E2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6" s="3" t="inlineStr">
        <is>
          <t>รสเผ็ดหอม​, 10 ซอง 200g</t>
        </is>
      </c>
      <c r="G266" s="6" t="n">
        <v>1</v>
      </c>
      <c r="H266" s="6" t="n">
        <v>6.699999999999999</v>
      </c>
      <c r="I266" s="6" t="n">
        <v>1</v>
      </c>
      <c r="J266" s="5" t="n">
        <v>14.7</v>
      </c>
      <c r="K266" s="5" t="n">
        <v>-14.7</v>
      </c>
      <c r="L266" s="5" t="n">
        <v>-69.09</v>
      </c>
      <c r="M266" s="3" t="inlineStr">
        <is>
          <t>11/05/2026 17:17:20</t>
        </is>
      </c>
    </row>
    <row r="267">
      <c r="A267" s="3" t="inlineStr">
        <is>
          <t>583975829026669937</t>
        </is>
      </c>
      <c r="B267" s="3" t="inlineStr">
        <is>
          <t>已完成</t>
        </is>
      </c>
      <c r="C267" s="3" t="inlineStr">
        <is>
          <t>CK</t>
        </is>
      </c>
      <c r="D267" s="3" t="inlineStr">
        <is>
          <t>黑松露黑麦苏打饼干</t>
        </is>
      </c>
      <c r="E26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67" s="3" t="inlineStr">
        <is>
          <t>ค่าเริ่มต้น</t>
        </is>
      </c>
      <c r="G267" s="6" t="n">
        <v>1</v>
      </c>
      <c r="H267" s="6" t="n">
        <v>10.72665050209467</v>
      </c>
      <c r="I267" s="6" t="n">
        <v>1</v>
      </c>
      <c r="J267" s="5" t="n">
        <v>18.72665050209466</v>
      </c>
      <c r="K267" s="5" t="n">
        <v>-18.72665050209466</v>
      </c>
      <c r="L267" s="5" t="n">
        <v>-88.01525735984492</v>
      </c>
      <c r="M267" s="3" t="inlineStr">
        <is>
          <t>11/05/2026 17:12:13</t>
        </is>
      </c>
    </row>
    <row r="268">
      <c r="A268" s="3" t="inlineStr">
        <is>
          <t>583975923362137138</t>
        </is>
      </c>
      <c r="B268" s="3" t="inlineStr">
        <is>
          <t>已完成</t>
        </is>
      </c>
      <c r="C268" s="3" t="inlineStr">
        <is>
          <t>C1</t>
        </is>
      </c>
      <c r="D268" s="3" t="inlineStr">
        <is>
          <t>魔芋笋1大袋</t>
        </is>
      </c>
      <c r="E2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8" s="3" t="inlineStr">
        <is>
          <t>รสเผ็ดหอม​, 10 ซอง 200g</t>
        </is>
      </c>
      <c r="G268" s="6" t="n">
        <v>1</v>
      </c>
      <c r="H268" s="6" t="n">
        <v>6.699999999999999</v>
      </c>
      <c r="I268" s="6" t="n">
        <v>1</v>
      </c>
      <c r="J268" s="5" t="n">
        <v>14.7</v>
      </c>
      <c r="K268" s="5" t="n">
        <v>-14.7</v>
      </c>
      <c r="L268" s="5" t="n">
        <v>-69.09</v>
      </c>
      <c r="M268" s="3" t="inlineStr">
        <is>
          <t>11/05/2026 17:08:15</t>
        </is>
      </c>
    </row>
    <row r="269">
      <c r="A269" s="3" t="inlineStr">
        <is>
          <t>583975758137296368</t>
        </is>
      </c>
      <c r="B269" s="3" t="inlineStr">
        <is>
          <t>已完成</t>
        </is>
      </c>
      <c r="C269" s="3" t="inlineStr">
        <is>
          <t>C1</t>
        </is>
      </c>
      <c r="D269" s="3" t="inlineStr">
        <is>
          <t>魔芋笋1大袋</t>
        </is>
      </c>
      <c r="E2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9" s="3" t="inlineStr">
        <is>
          <t>รสเผ็ดหอม​, 10 ซอง 200g</t>
        </is>
      </c>
      <c r="G269" s="6" t="n">
        <v>1</v>
      </c>
      <c r="H269" s="6" t="n">
        <v>6.699999999999999</v>
      </c>
      <c r="I269" s="6" t="n">
        <v>1</v>
      </c>
      <c r="J269" s="5" t="n">
        <v>14.7</v>
      </c>
      <c r="K269" s="5" t="n">
        <v>-14.7</v>
      </c>
      <c r="L269" s="5" t="n">
        <v>-69.09</v>
      </c>
      <c r="M269" s="3" t="inlineStr">
        <is>
          <t>11/05/2026 16:52:12</t>
        </is>
      </c>
    </row>
    <row r="270">
      <c r="A270" s="3" t="inlineStr">
        <is>
          <t>583975603459491607</t>
        </is>
      </c>
      <c r="B270" s="3" t="inlineStr">
        <is>
          <t>已完成</t>
        </is>
      </c>
      <c r="C270" s="3" t="inlineStr">
        <is>
          <t>CK</t>
        </is>
      </c>
      <c r="D270" s="3" t="inlineStr">
        <is>
          <t>黑松露黑麦苏打饼干</t>
        </is>
      </c>
      <c r="E27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70" s="3" t="inlineStr">
        <is>
          <t>ค่าเริ่มต้น</t>
        </is>
      </c>
      <c r="G270" s="6" t="n">
        <v>1</v>
      </c>
      <c r="H270" s="6" t="n">
        <v>10.72665050209467</v>
      </c>
      <c r="I270" s="6" t="n">
        <v>1</v>
      </c>
      <c r="J270" s="5" t="n">
        <v>18.72665050209466</v>
      </c>
      <c r="K270" s="5" t="n">
        <v>-18.72665050209466</v>
      </c>
      <c r="L270" s="5" t="n">
        <v>-88.01525735984492</v>
      </c>
      <c r="M270" s="3" t="inlineStr">
        <is>
          <t>11/05/2026 16:48:11</t>
        </is>
      </c>
    </row>
    <row r="271">
      <c r="A271" s="3" t="inlineStr">
        <is>
          <t>583975757775471647</t>
        </is>
      </c>
      <c r="B271" s="3" t="inlineStr">
        <is>
          <t>已完成</t>
        </is>
      </c>
      <c r="C271" s="3" t="inlineStr">
        <is>
          <t>C1</t>
        </is>
      </c>
      <c r="D271" s="3" t="inlineStr">
        <is>
          <t>魔芋笋1大袋</t>
        </is>
      </c>
      <c r="E2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1" s="3" t="inlineStr">
        <is>
          <t>รสเผ็ดหอม​, 10 ซอง 200g</t>
        </is>
      </c>
      <c r="G271" s="6" t="n">
        <v>1</v>
      </c>
      <c r="H271" s="6" t="n">
        <v>6.699999999999999</v>
      </c>
      <c r="I271" s="6" t="n">
        <v>1</v>
      </c>
      <c r="J271" s="5" t="n">
        <v>14.7</v>
      </c>
      <c r="K271" s="5" t="n">
        <v>-14.7</v>
      </c>
      <c r="L271" s="5" t="n">
        <v>-69.09</v>
      </c>
      <c r="M271" s="3" t="inlineStr">
        <is>
          <t>11/05/2026 16:44:21</t>
        </is>
      </c>
    </row>
    <row r="272">
      <c r="A272" s="3" t="inlineStr">
        <is>
          <t>583975555365832122</t>
        </is>
      </c>
      <c r="B272" s="3" t="inlineStr">
        <is>
          <t>已完成</t>
        </is>
      </c>
      <c r="C272" s="3" t="inlineStr">
        <is>
          <t>C1</t>
        </is>
      </c>
      <c r="D272" s="3" t="inlineStr">
        <is>
          <t>魔芋笋1大袋</t>
        </is>
      </c>
      <c r="E2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2" s="3" t="inlineStr">
        <is>
          <t>รสเผ็ดหอม​, 10 ซอง 200g</t>
        </is>
      </c>
      <c r="G272" s="6" t="n">
        <v>1</v>
      </c>
      <c r="H272" s="6" t="n">
        <v>6.699999999999999</v>
      </c>
      <c r="I272" s="6" t="n">
        <v>1</v>
      </c>
      <c r="J272" s="5" t="n">
        <v>14.7</v>
      </c>
      <c r="K272" s="5" t="n">
        <v>-14.7</v>
      </c>
      <c r="L272" s="5" t="n">
        <v>-69.09</v>
      </c>
      <c r="M272" s="3" t="inlineStr">
        <is>
          <t>11/05/2026 16:32:10</t>
        </is>
      </c>
    </row>
    <row r="273">
      <c r="A273" s="3" t="inlineStr">
        <is>
          <t>583975398271124496</t>
        </is>
      </c>
      <c r="B273" s="3" t="inlineStr">
        <is>
          <t>已完成</t>
        </is>
      </c>
      <c r="C273" s="3" t="inlineStr">
        <is>
          <t>CK</t>
        </is>
      </c>
      <c r="D273" s="3" t="inlineStr">
        <is>
          <t>黑松露黑麦苏打饼干</t>
        </is>
      </c>
      <c r="E27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73" s="3" t="inlineStr">
        <is>
          <t>ค่าเริ่มต้น</t>
        </is>
      </c>
      <c r="G273" s="6" t="n">
        <v>1</v>
      </c>
      <c r="H273" s="6" t="n">
        <v>10.72665050209467</v>
      </c>
      <c r="I273" s="6" t="n">
        <v>1</v>
      </c>
      <c r="J273" s="5" t="n">
        <v>18.72665050209466</v>
      </c>
      <c r="K273" s="5" t="n">
        <v>-18.72665050209466</v>
      </c>
      <c r="L273" s="5" t="n">
        <v>-88.01525735984492</v>
      </c>
      <c r="M273" s="3" t="inlineStr">
        <is>
          <t>11/05/2026 16:21:11</t>
        </is>
      </c>
    </row>
    <row r="274">
      <c r="A274" s="3" t="inlineStr">
        <is>
          <t>583975361976173645</t>
        </is>
      </c>
      <c r="B274" s="3" t="inlineStr">
        <is>
          <t>已完成</t>
        </is>
      </c>
      <c r="C274" s="3" t="inlineStr">
        <is>
          <t>C1</t>
        </is>
      </c>
      <c r="D274" s="3" t="inlineStr">
        <is>
          <t>魔芋笋1大袋</t>
        </is>
      </c>
      <c r="E2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4" s="3" t="inlineStr">
        <is>
          <t>รสเผ็ดหอม​, 10 ซอง 200g</t>
        </is>
      </c>
      <c r="G274" s="6" t="n">
        <v>1</v>
      </c>
      <c r="H274" s="6" t="n">
        <v>6.699999999999999</v>
      </c>
      <c r="I274" s="6" t="n">
        <v>1</v>
      </c>
      <c r="J274" s="5" t="n">
        <v>14.7</v>
      </c>
      <c r="K274" s="5" t="n">
        <v>-14.7</v>
      </c>
      <c r="L274" s="5" t="n">
        <v>-69.09</v>
      </c>
      <c r="M274" s="3" t="inlineStr">
        <is>
          <t>11/05/2026 16:17:19</t>
        </is>
      </c>
    </row>
    <row r="275">
      <c r="A275" s="3" t="inlineStr">
        <is>
          <t>583975245552649407</t>
        </is>
      </c>
      <c r="B275" s="3" t="inlineStr">
        <is>
          <t>已完成</t>
        </is>
      </c>
      <c r="C275" s="3" t="inlineStr">
        <is>
          <t>CK</t>
        </is>
      </c>
      <c r="D275" s="3" t="inlineStr">
        <is>
          <t>黑松露黑麦苏打饼干</t>
        </is>
      </c>
      <c r="E27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75" s="3" t="inlineStr">
        <is>
          <t>ค่าเริ่มต้น</t>
        </is>
      </c>
      <c r="G275" s="6" t="n">
        <v>1</v>
      </c>
      <c r="H275" s="6" t="n">
        <v>10.72665050209467</v>
      </c>
      <c r="I275" s="6" t="n">
        <v>1</v>
      </c>
      <c r="J275" s="5" t="n">
        <v>18.72665050209466</v>
      </c>
      <c r="K275" s="5" t="n">
        <v>-18.72665050209466</v>
      </c>
      <c r="L275" s="5" t="n">
        <v>-88.01525735984492</v>
      </c>
      <c r="M275" s="3" t="inlineStr">
        <is>
          <t>11/05/2026 16:07:14</t>
        </is>
      </c>
    </row>
    <row r="276">
      <c r="A276" s="3" t="inlineStr">
        <is>
          <t>583974895185397071</t>
        </is>
      </c>
      <c r="B276" s="3" t="inlineStr">
        <is>
          <t>已完成</t>
        </is>
      </c>
      <c r="C276" s="3" t="inlineStr">
        <is>
          <t>C1</t>
        </is>
      </c>
      <c r="D276" s="3" t="inlineStr">
        <is>
          <t>魔芋笋1大袋</t>
        </is>
      </c>
      <c r="E2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6" s="3" t="inlineStr">
        <is>
          <t>รสเผ็ดหอม​, 10 ซอง 200g</t>
        </is>
      </c>
      <c r="G276" s="6" t="n">
        <v>1</v>
      </c>
      <c r="H276" s="6" t="n">
        <v>6.699999999999999</v>
      </c>
      <c r="I276" s="6" t="n">
        <v>1</v>
      </c>
      <c r="J276" s="5" t="n">
        <v>14.7</v>
      </c>
      <c r="K276" s="5" t="n">
        <v>-14.7</v>
      </c>
      <c r="L276" s="5" t="n">
        <v>-69.09</v>
      </c>
      <c r="M276" s="3" t="inlineStr">
        <is>
          <t>11/05/2026 15:45:20</t>
        </is>
      </c>
    </row>
    <row r="277">
      <c r="A277" s="3" t="inlineStr">
        <is>
          <t>583974659147597074</t>
        </is>
      </c>
      <c r="B277" s="3" t="inlineStr">
        <is>
          <t>已完成</t>
        </is>
      </c>
      <c r="C277" s="3" t="inlineStr">
        <is>
          <t>CK</t>
        </is>
      </c>
      <c r="D277" s="3" t="inlineStr">
        <is>
          <t>黑松露黑麦苏打饼干</t>
        </is>
      </c>
      <c r="E27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77" s="3" t="inlineStr">
        <is>
          <t>ค่าเริ่มต้น</t>
        </is>
      </c>
      <c r="G277" s="6" t="n">
        <v>1</v>
      </c>
      <c r="H277" s="6" t="n">
        <v>10.72665050209467</v>
      </c>
      <c r="I277" s="6" t="n">
        <v>1</v>
      </c>
      <c r="J277" s="5" t="n">
        <v>18.72665050209466</v>
      </c>
      <c r="K277" s="5" t="n">
        <v>-18.72665050209466</v>
      </c>
      <c r="L277" s="5" t="n">
        <v>-88.01525735984492</v>
      </c>
      <c r="M277" s="3" t="inlineStr">
        <is>
          <t>11/05/2026 15:32:16</t>
        </is>
      </c>
    </row>
    <row r="278">
      <c r="A278" s="3" t="inlineStr">
        <is>
          <t>583974734479591350</t>
        </is>
      </c>
      <c r="B278" s="3" t="inlineStr">
        <is>
          <t>已完成</t>
        </is>
      </c>
      <c r="C278" s="3" t="inlineStr">
        <is>
          <t>C1</t>
        </is>
      </c>
      <c r="D278" s="3" t="inlineStr">
        <is>
          <t>魔芋笋1大袋</t>
        </is>
      </c>
      <c r="E2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8" s="3" t="inlineStr">
        <is>
          <t>รสเผ็ดหอม​, 10 ซอง 200g</t>
        </is>
      </c>
      <c r="G278" s="6" t="n">
        <v>1</v>
      </c>
      <c r="H278" s="6" t="n">
        <v>6.699999999999999</v>
      </c>
      <c r="I278" s="6" t="n">
        <v>1</v>
      </c>
      <c r="J278" s="5" t="n">
        <v>14.7</v>
      </c>
      <c r="K278" s="5" t="n">
        <v>-14.7</v>
      </c>
      <c r="L278" s="5" t="n">
        <v>-69.09</v>
      </c>
      <c r="M278" s="3" t="inlineStr">
        <is>
          <t>11/05/2026 15:29:19</t>
        </is>
      </c>
    </row>
    <row r="279">
      <c r="A279" s="3" t="inlineStr">
        <is>
          <t>583974658946729677</t>
        </is>
      </c>
      <c r="B279" s="3" t="inlineStr">
        <is>
          <t>已完成</t>
        </is>
      </c>
      <c r="C279" s="3" t="inlineStr">
        <is>
          <t>C1</t>
        </is>
      </c>
      <c r="D279" s="3" t="inlineStr">
        <is>
          <t>魔芋笋1大袋</t>
        </is>
      </c>
      <c r="E2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9" s="3" t="inlineStr">
        <is>
          <t>รสเผ็ดหอม​, 10 ซอง 200g</t>
        </is>
      </c>
      <c r="G279" s="6" t="n">
        <v>1</v>
      </c>
      <c r="H279" s="6" t="n">
        <v>6.699999999999999</v>
      </c>
      <c r="I279" s="6" t="n">
        <v>1</v>
      </c>
      <c r="J279" s="5" t="n">
        <v>14.7</v>
      </c>
      <c r="K279" s="5" t="n">
        <v>-14.7</v>
      </c>
      <c r="L279" s="5" t="n">
        <v>-69.09</v>
      </c>
      <c r="M279" s="3" t="inlineStr">
        <is>
          <t>11/05/2026 15:25:24</t>
        </is>
      </c>
    </row>
    <row r="280">
      <c r="A280" s="3" t="inlineStr">
        <is>
          <t>583974412954928580</t>
        </is>
      </c>
      <c r="B280" s="3" t="inlineStr">
        <is>
          <t>已完成</t>
        </is>
      </c>
      <c r="C280" s="3" t="inlineStr">
        <is>
          <t>C1</t>
        </is>
      </c>
      <c r="D280" s="3" t="inlineStr">
        <is>
          <t>魔芋笋1大袋</t>
        </is>
      </c>
      <c r="E2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0" s="3" t="inlineStr">
        <is>
          <t>รสเผ็ดหอม​, 10 ซอง 200g</t>
        </is>
      </c>
      <c r="G280" s="6" t="n">
        <v>1</v>
      </c>
      <c r="H280" s="6" t="n">
        <v>6.699999999999999</v>
      </c>
      <c r="I280" s="6" t="n">
        <v>1</v>
      </c>
      <c r="J280" s="5" t="n">
        <v>14.7</v>
      </c>
      <c r="K280" s="5" t="n">
        <v>-14.7</v>
      </c>
      <c r="L280" s="5" t="n">
        <v>-69.09</v>
      </c>
      <c r="M280" s="3" t="inlineStr">
        <is>
          <t>11/05/2026 15:00:28</t>
        </is>
      </c>
    </row>
    <row r="281">
      <c r="A281" s="3" t="inlineStr">
        <is>
          <t>583973960787330333</t>
        </is>
      </c>
      <c r="B281" s="3" t="inlineStr">
        <is>
          <t>已完成</t>
        </is>
      </c>
      <c r="C281" s="3" t="inlineStr">
        <is>
          <t>C1</t>
        </is>
      </c>
      <c r="D281" s="3" t="inlineStr">
        <is>
          <t>魔芋笋1大袋</t>
        </is>
      </c>
      <c r="E2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1" s="3" t="inlineStr">
        <is>
          <t>รสเผ็ดหอม​, 10 ซอง 200g</t>
        </is>
      </c>
      <c r="G281" s="6" t="n">
        <v>1</v>
      </c>
      <c r="H281" s="6" t="n">
        <v>6.699999999999999</v>
      </c>
      <c r="I281" s="6" t="n">
        <v>1</v>
      </c>
      <c r="J281" s="5" t="n">
        <v>14.7</v>
      </c>
      <c r="K281" s="5" t="n">
        <v>-14.7</v>
      </c>
      <c r="L281" s="5" t="n">
        <v>-69.09</v>
      </c>
      <c r="M281" s="3" t="inlineStr">
        <is>
          <t>11/05/2026 14:27:13</t>
        </is>
      </c>
    </row>
    <row r="282">
      <c r="A282" s="3" t="inlineStr">
        <is>
          <t>583973908061521060</t>
        </is>
      </c>
      <c r="B282" s="3" t="inlineStr">
        <is>
          <t>已完成</t>
        </is>
      </c>
      <c r="C282" s="3" t="inlineStr">
        <is>
          <t>C1</t>
        </is>
      </c>
      <c r="D282" s="3" t="inlineStr">
        <is>
          <t>魔芋笋1大袋</t>
        </is>
      </c>
      <c r="E2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2" s="3" t="inlineStr">
        <is>
          <t>รสเผ็ดหอม​, 10 ซอง 200g</t>
        </is>
      </c>
      <c r="G282" s="6" t="n">
        <v>1</v>
      </c>
      <c r="H282" s="6" t="n">
        <v>6.699999999999999</v>
      </c>
      <c r="I282" s="6" t="n">
        <v>1</v>
      </c>
      <c r="J282" s="5" t="n">
        <v>14.7</v>
      </c>
      <c r="K282" s="5" t="n">
        <v>-14.7</v>
      </c>
      <c r="L282" s="5" t="n">
        <v>-69.09</v>
      </c>
      <c r="M282" s="3" t="inlineStr">
        <is>
          <t>11/05/2026 14:25:14</t>
        </is>
      </c>
    </row>
    <row r="283">
      <c r="A283" s="3" t="inlineStr">
        <is>
          <t>583973908043695988</t>
        </is>
      </c>
      <c r="B283" s="3" t="inlineStr">
        <is>
          <t>已完成</t>
        </is>
      </c>
      <c r="C283" s="3" t="inlineStr">
        <is>
          <t>C1</t>
        </is>
      </c>
      <c r="D283" s="3" t="inlineStr">
        <is>
          <t>魔芋笋1大袋</t>
        </is>
      </c>
      <c r="E2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3" s="3" t="inlineStr">
        <is>
          <t>รสเผ็ดหอม​, 10 ซอง 200g</t>
        </is>
      </c>
      <c r="G283" s="6" t="n">
        <v>1</v>
      </c>
      <c r="H283" s="6" t="n">
        <v>6.699999999999999</v>
      </c>
      <c r="I283" s="6" t="n">
        <v>1</v>
      </c>
      <c r="J283" s="5" t="n">
        <v>14.7</v>
      </c>
      <c r="K283" s="5" t="n">
        <v>-14.7</v>
      </c>
      <c r="L283" s="5" t="n">
        <v>-69.09</v>
      </c>
      <c r="M283" s="3" t="inlineStr">
        <is>
          <t>11/05/2026 14:24:24</t>
        </is>
      </c>
    </row>
    <row r="284">
      <c r="A284" s="3" t="inlineStr">
        <is>
          <t>583973750001861724</t>
        </is>
      </c>
      <c r="B284" s="3" t="inlineStr">
        <is>
          <t>已完成</t>
        </is>
      </c>
      <c r="C284" s="3" t="inlineStr">
        <is>
          <t>C1</t>
        </is>
      </c>
      <c r="D284" s="3" t="inlineStr">
        <is>
          <t>魔芋笋1大袋</t>
        </is>
      </c>
      <c r="E2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4" s="3" t="inlineStr">
        <is>
          <t>รสเผ็ดหอม​, 10 ซอง 200g</t>
        </is>
      </c>
      <c r="G284" s="6" t="n">
        <v>1</v>
      </c>
      <c r="H284" s="6" t="n">
        <v>6.699999999999999</v>
      </c>
      <c r="I284" s="6" t="n">
        <v>1</v>
      </c>
      <c r="J284" s="5" t="n">
        <v>14.7</v>
      </c>
      <c r="K284" s="5" t="n">
        <v>-14.7</v>
      </c>
      <c r="L284" s="5" t="n">
        <v>-69.09</v>
      </c>
      <c r="M284" s="3" t="inlineStr">
        <is>
          <t>11/05/2026 14:16:11</t>
        </is>
      </c>
    </row>
    <row r="285">
      <c r="A285" s="3" t="inlineStr">
        <is>
          <t>583971422570185882</t>
        </is>
      </c>
      <c r="B285" s="3" t="inlineStr">
        <is>
          <t>已完成</t>
        </is>
      </c>
      <c r="C285" s="3" t="inlineStr">
        <is>
          <t>CK</t>
        </is>
      </c>
      <c r="D285" s="3" t="inlineStr">
        <is>
          <t>黑松露黑麦苏打饼干</t>
        </is>
      </c>
      <c r="E28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85" s="3" t="inlineStr">
        <is>
          <t>ค่าเริ่มต้น</t>
        </is>
      </c>
      <c r="G285" s="6" t="n">
        <v>1</v>
      </c>
      <c r="H285" s="6" t="n">
        <v>10.72665050209467</v>
      </c>
      <c r="I285" s="6" t="n">
        <v>1</v>
      </c>
      <c r="J285" s="5" t="n">
        <v>18.72665050209466</v>
      </c>
      <c r="K285" s="5" t="n">
        <v>-18.72665050209466</v>
      </c>
      <c r="L285" s="5" t="n">
        <v>-88.01525735984492</v>
      </c>
      <c r="M285" s="3" t="inlineStr">
        <is>
          <t>11/05/2026 11:32:18</t>
        </is>
      </c>
    </row>
    <row r="286">
      <c r="A286" s="3" t="inlineStr">
        <is>
          <t>583971378211554380</t>
        </is>
      </c>
      <c r="B286" s="3" t="inlineStr">
        <is>
          <t>已完成</t>
        </is>
      </c>
      <c r="C286" s="3" t="inlineStr">
        <is>
          <t>C1</t>
        </is>
      </c>
      <c r="D286" s="3" t="inlineStr">
        <is>
          <t>魔芋笋1大袋</t>
        </is>
      </c>
      <c r="E2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6" s="3" t="inlineStr">
        <is>
          <t>รสเผ็ดหอม​, 10 ซอง 200g</t>
        </is>
      </c>
      <c r="G286" s="6" t="n">
        <v>1</v>
      </c>
      <c r="H286" s="6" t="n">
        <v>6.699999999999999</v>
      </c>
      <c r="I286" s="6" t="n">
        <v>1</v>
      </c>
      <c r="J286" s="5" t="n">
        <v>14.7</v>
      </c>
      <c r="K286" s="5" t="n">
        <v>-14.7</v>
      </c>
      <c r="L286" s="5" t="n">
        <v>-69.09</v>
      </c>
      <c r="M286" s="3" t="inlineStr">
        <is>
          <t>11/05/2026 11:27:17</t>
        </is>
      </c>
    </row>
    <row r="287">
      <c r="A287" s="3" t="inlineStr">
        <is>
          <t>583971181819037208</t>
        </is>
      </c>
      <c r="B287" s="3" t="inlineStr">
        <is>
          <t>已完成</t>
        </is>
      </c>
      <c r="C287" s="3" t="inlineStr">
        <is>
          <t>CK</t>
        </is>
      </c>
      <c r="D287" s="3" t="inlineStr">
        <is>
          <t>黑松露黑麦苏打饼干</t>
        </is>
      </c>
      <c r="E28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87" s="3" t="inlineStr">
        <is>
          <t>ค่าเริ่มต้น</t>
        </is>
      </c>
      <c r="G287" s="6" t="n">
        <v>1</v>
      </c>
      <c r="H287" s="6" t="n">
        <v>10.72665050209467</v>
      </c>
      <c r="I287" s="6" t="n">
        <v>1</v>
      </c>
      <c r="J287" s="5" t="n">
        <v>18.72665050209466</v>
      </c>
      <c r="K287" s="5" t="n">
        <v>-18.72665050209466</v>
      </c>
      <c r="L287" s="5" t="n">
        <v>-88.01525735984492</v>
      </c>
      <c r="M287" s="3" t="inlineStr">
        <is>
          <t>11/05/2026 11:23:12</t>
        </is>
      </c>
    </row>
    <row r="288">
      <c r="A288" s="3" t="inlineStr">
        <is>
          <t>583971208718878241</t>
        </is>
      </c>
      <c r="B288" s="3" t="inlineStr">
        <is>
          <t>已完成</t>
        </is>
      </c>
      <c r="C288" s="3" t="inlineStr">
        <is>
          <t>C1</t>
        </is>
      </c>
      <c r="D288" s="3" t="inlineStr">
        <is>
          <t>魔芋笋1大袋</t>
        </is>
      </c>
      <c r="E2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8" s="3" t="inlineStr">
        <is>
          <t>รสเผ็ดหอม​, 10 ซอง 200g</t>
        </is>
      </c>
      <c r="G288" s="6" t="n">
        <v>1</v>
      </c>
      <c r="H288" s="6" t="n">
        <v>6.699999999999999</v>
      </c>
      <c r="I288" s="6" t="n">
        <v>1</v>
      </c>
      <c r="J288" s="5" t="n">
        <v>14.7</v>
      </c>
      <c r="K288" s="5" t="n">
        <v>-14.7</v>
      </c>
      <c r="L288" s="5" t="n">
        <v>-69.09</v>
      </c>
      <c r="M288" s="3" t="inlineStr">
        <is>
          <t>11/05/2026 11:16:12</t>
        </is>
      </c>
    </row>
    <row r="289">
      <c r="A289" s="3" t="inlineStr">
        <is>
          <t>583971208516437593</t>
        </is>
      </c>
      <c r="B289" s="3" t="inlineStr">
        <is>
          <t>已完成</t>
        </is>
      </c>
      <c r="C289" s="3" t="inlineStr">
        <is>
          <t>C1</t>
        </is>
      </c>
      <c r="D289" s="3" t="inlineStr">
        <is>
          <t>魔芋笋1大袋</t>
        </is>
      </c>
      <c r="E2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9" s="3" t="inlineStr">
        <is>
          <t>รสเผ็ดหอม​, 10 ซอง 200g</t>
        </is>
      </c>
      <c r="G289" s="6" t="n">
        <v>1</v>
      </c>
      <c r="H289" s="6" t="n">
        <v>6.699999999999999</v>
      </c>
      <c r="I289" s="6" t="n">
        <v>1</v>
      </c>
      <c r="J289" s="5" t="n">
        <v>14.7</v>
      </c>
      <c r="K289" s="5" t="n">
        <v>-14.7</v>
      </c>
      <c r="L289" s="5" t="n">
        <v>-69.09</v>
      </c>
      <c r="M289" s="3" t="inlineStr">
        <is>
          <t>11/05/2026 11:11:13</t>
        </is>
      </c>
    </row>
    <row r="290">
      <c r="A290" s="3" t="inlineStr">
        <is>
          <t>583971208398669531</t>
        </is>
      </c>
      <c r="B290" s="3" t="inlineStr">
        <is>
          <t>已完成</t>
        </is>
      </c>
      <c r="C290" s="3" t="inlineStr">
        <is>
          <t>C1</t>
        </is>
      </c>
      <c r="D290" s="3" t="inlineStr">
        <is>
          <t>魔芋笋1大袋</t>
        </is>
      </c>
      <c r="E2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0" s="3" t="inlineStr">
        <is>
          <t>รสเผ็ดหอม​, 10 ซอง 200g</t>
        </is>
      </c>
      <c r="G290" s="6" t="n">
        <v>1</v>
      </c>
      <c r="H290" s="6" t="n">
        <v>6.699999999999999</v>
      </c>
      <c r="I290" s="6" t="n">
        <v>1</v>
      </c>
      <c r="J290" s="5" t="n">
        <v>14.7</v>
      </c>
      <c r="K290" s="5" t="n">
        <v>-14.7</v>
      </c>
      <c r="L290" s="5" t="n">
        <v>-69.09</v>
      </c>
      <c r="M290" s="3" t="inlineStr">
        <is>
          <t>11/05/2026 11:08:27</t>
        </is>
      </c>
    </row>
    <row r="291">
      <c r="A291" s="3" t="inlineStr">
        <is>
          <t>583971083489084518</t>
        </is>
      </c>
      <c r="B291" s="3" t="inlineStr">
        <is>
          <t>已完成</t>
        </is>
      </c>
      <c r="C291" s="3" t="inlineStr">
        <is>
          <t>CK</t>
        </is>
      </c>
      <c r="D291" s="3" t="inlineStr">
        <is>
          <t>黑松露黑麦苏打饼干</t>
        </is>
      </c>
      <c r="E29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91" s="3" t="inlineStr">
        <is>
          <t>ค่าเริ่มต้น</t>
        </is>
      </c>
      <c r="G291" s="6" t="n">
        <v>1</v>
      </c>
      <c r="H291" s="6" t="n">
        <v>10.72665050209467</v>
      </c>
      <c r="I291" s="6" t="n">
        <v>1</v>
      </c>
      <c r="J291" s="5" t="n">
        <v>18.72665050209466</v>
      </c>
      <c r="K291" s="5" t="n">
        <v>-18.72665050209466</v>
      </c>
      <c r="L291" s="5" t="n">
        <v>-88.01525735984492</v>
      </c>
      <c r="M291" s="3" t="inlineStr">
        <is>
          <t>11/05/2026 11:01:26</t>
        </is>
      </c>
    </row>
    <row r="292">
      <c r="A292" s="3" t="inlineStr">
        <is>
          <t>583970937320211472</t>
        </is>
      </c>
      <c r="B292" s="3" t="inlineStr">
        <is>
          <t>已完成</t>
        </is>
      </c>
      <c r="C292" s="3" t="inlineStr">
        <is>
          <t>C1</t>
        </is>
      </c>
      <c r="D292" s="3" t="inlineStr">
        <is>
          <t>魔芋笋1大袋</t>
        </is>
      </c>
      <c r="E2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2" s="3" t="inlineStr">
        <is>
          <t>รสเผ็ดหอม​, 10 ซอง 200g</t>
        </is>
      </c>
      <c r="G292" s="6" t="n">
        <v>1</v>
      </c>
      <c r="H292" s="6" t="n">
        <v>6.699999999999999</v>
      </c>
      <c r="I292" s="6" t="n">
        <v>1</v>
      </c>
      <c r="J292" s="5" t="n">
        <v>14.7</v>
      </c>
      <c r="K292" s="5" t="n">
        <v>-14.7</v>
      </c>
      <c r="L292" s="5" t="n">
        <v>-69.09</v>
      </c>
      <c r="M292" s="3" t="inlineStr">
        <is>
          <t>11/05/2026 10:50:11</t>
        </is>
      </c>
    </row>
    <row r="293">
      <c r="A293" s="3" t="inlineStr">
        <is>
          <t>583970937238685053</t>
        </is>
      </c>
      <c r="B293" s="3" t="inlineStr">
        <is>
          <t>已完成</t>
        </is>
      </c>
      <c r="C293" s="3" t="inlineStr">
        <is>
          <t>CK</t>
        </is>
      </c>
      <c r="D293" s="3" t="inlineStr">
        <is>
          <t>黑松露黑麦苏打饼干</t>
        </is>
      </c>
      <c r="E29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93" s="3" t="inlineStr">
        <is>
          <t>ค่าเริ่มต้น</t>
        </is>
      </c>
      <c r="G293" s="6" t="n">
        <v>1</v>
      </c>
      <c r="H293" s="6" t="n">
        <v>10.72665050209467</v>
      </c>
      <c r="I293" s="6" t="n">
        <v>1</v>
      </c>
      <c r="J293" s="5" t="n">
        <v>18.72665050209466</v>
      </c>
      <c r="K293" s="5" t="n">
        <v>-18.72665050209466</v>
      </c>
      <c r="L293" s="5" t="n">
        <v>-88.01525735984492</v>
      </c>
      <c r="M293" s="3" t="inlineStr">
        <is>
          <t>11/05/2026 10:48:18</t>
        </is>
      </c>
    </row>
    <row r="294">
      <c r="A294" s="3" t="inlineStr">
        <is>
          <t>583970785949681568</t>
        </is>
      </c>
      <c r="B294" s="3" t="inlineStr">
        <is>
          <t>已完成</t>
        </is>
      </c>
      <c r="C294" s="3" t="inlineStr">
        <is>
          <t>C1</t>
        </is>
      </c>
      <c r="D294" s="3" t="inlineStr">
        <is>
          <t>魔芋笋1大袋</t>
        </is>
      </c>
      <c r="E2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4" s="3" t="inlineStr">
        <is>
          <t>รสเผ็ดหอม​, 10 ซอง 200g</t>
        </is>
      </c>
      <c r="G294" s="6" t="n">
        <v>1</v>
      </c>
      <c r="H294" s="6" t="n">
        <v>6.699999999999999</v>
      </c>
      <c r="I294" s="6" t="n">
        <v>1</v>
      </c>
      <c r="J294" s="5" t="n">
        <v>14.7</v>
      </c>
      <c r="K294" s="5" t="n">
        <v>-14.7</v>
      </c>
      <c r="L294" s="5" t="n">
        <v>-69.09</v>
      </c>
      <c r="M294" s="3" t="inlineStr">
        <is>
          <t>11/05/2026 10:45:29</t>
        </is>
      </c>
    </row>
    <row r="295">
      <c r="A295" s="3" t="inlineStr">
        <is>
          <t>583970798527153169</t>
        </is>
      </c>
      <c r="B295" s="3" t="inlineStr">
        <is>
          <t>已完成</t>
        </is>
      </c>
      <c r="C295" s="3" t="inlineStr">
        <is>
          <t>C1</t>
        </is>
      </c>
      <c r="D295" s="3" t="inlineStr">
        <is>
          <t>魔芋笋1大袋</t>
        </is>
      </c>
      <c r="E2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5" s="3" t="inlineStr">
        <is>
          <t>รสเผ็ดหอม​, 10 ซอง 200g</t>
        </is>
      </c>
      <c r="G295" s="6" t="n">
        <v>1</v>
      </c>
      <c r="H295" s="6" t="n">
        <v>6.699999999999999</v>
      </c>
      <c r="I295" s="6" t="n">
        <v>1</v>
      </c>
      <c r="J295" s="5" t="n">
        <v>14.7</v>
      </c>
      <c r="K295" s="5" t="n">
        <v>-14.7</v>
      </c>
      <c r="L295" s="5" t="n">
        <v>-69.09</v>
      </c>
      <c r="M295" s="3" t="inlineStr">
        <is>
          <t>11/05/2026 10:42:10</t>
        </is>
      </c>
    </row>
    <row r="296">
      <c r="A296" s="3" t="inlineStr">
        <is>
          <t>583941683830883847</t>
        </is>
      </c>
      <c r="B296" s="3" t="inlineStr">
        <is>
          <t>已完成</t>
        </is>
      </c>
      <c r="C296" s="3" t="inlineStr">
        <is>
          <t>C1</t>
        </is>
      </c>
      <c r="D296" s="3" t="inlineStr">
        <is>
          <t>魔芋笋1大袋</t>
        </is>
      </c>
      <c r="E2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6" s="3" t="inlineStr">
        <is>
          <t>รสเผ็ดหอม​, 10 ซอง 200g</t>
        </is>
      </c>
      <c r="G296" s="6" t="n">
        <v>1</v>
      </c>
      <c r="H296" s="6" t="n">
        <v>6.699999999999999</v>
      </c>
      <c r="I296" s="6" t="n">
        <v>1</v>
      </c>
      <c r="J296" s="5" t="n">
        <v>14.7</v>
      </c>
      <c r="K296" s="5" t="n">
        <v>-14.7</v>
      </c>
      <c r="L296" s="5" t="n">
        <v>-69.09</v>
      </c>
      <c r="M296" s="3" t="inlineStr">
        <is>
          <t>09/05/2026 14:01:18</t>
        </is>
      </c>
    </row>
    <row r="297">
      <c r="A297" s="3" t="inlineStr">
        <is>
          <t>583941516239079385</t>
        </is>
      </c>
      <c r="B297" s="3" t="inlineStr">
        <is>
          <t>已完成</t>
        </is>
      </c>
      <c r="C297" s="3" t="inlineStr">
        <is>
          <t>C1</t>
        </is>
      </c>
      <c r="D297" s="3" t="inlineStr">
        <is>
          <t>魔芋笋1大袋</t>
        </is>
      </c>
      <c r="E2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7" s="3" t="inlineStr">
        <is>
          <t>รสเผ็ดหอม​, 10 ซอง 200g</t>
        </is>
      </c>
      <c r="G297" s="6" t="n">
        <v>1</v>
      </c>
      <c r="H297" s="6" t="n">
        <v>6.699999999999999</v>
      </c>
      <c r="I297" s="6" t="n">
        <v>1</v>
      </c>
      <c r="J297" s="5" t="n">
        <v>14.7</v>
      </c>
      <c r="K297" s="5" t="n">
        <v>-14.7</v>
      </c>
      <c r="L297" s="5" t="n">
        <v>-69.09</v>
      </c>
      <c r="M297" s="3" t="inlineStr">
        <is>
          <t>09/05/2026 14:01:11</t>
        </is>
      </c>
    </row>
    <row r="298">
      <c r="A298" s="3" t="inlineStr">
        <is>
          <t>583941457160537566</t>
        </is>
      </c>
      <c r="B298" s="3" t="inlineStr">
        <is>
          <t>已完成</t>
        </is>
      </c>
      <c r="C298" s="3" t="inlineStr">
        <is>
          <t>C1</t>
        </is>
      </c>
      <c r="D298" s="3" t="inlineStr">
        <is>
          <t>魔芋笋1大袋</t>
        </is>
      </c>
      <c r="E2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8" s="3" t="inlineStr">
        <is>
          <t>รสเผ็ดหอม​, 10 ซอง 200g</t>
        </is>
      </c>
      <c r="G298" s="6" t="n">
        <v>1</v>
      </c>
      <c r="H298" s="6" t="n">
        <v>6.699999999999999</v>
      </c>
      <c r="I298" s="6" t="n">
        <v>1</v>
      </c>
      <c r="J298" s="5" t="n">
        <v>14.7</v>
      </c>
      <c r="K298" s="5" t="n">
        <v>-14.7</v>
      </c>
      <c r="L298" s="5" t="n">
        <v>-69.09</v>
      </c>
      <c r="M298" s="3" t="inlineStr">
        <is>
          <t>09/05/2026 13:48:29</t>
        </is>
      </c>
    </row>
    <row r="299">
      <c r="A299" s="3" t="inlineStr">
        <is>
          <t>583941179537851409</t>
        </is>
      </c>
      <c r="B299" s="3" t="inlineStr">
        <is>
          <t>已完成</t>
        </is>
      </c>
      <c r="C299" s="3" t="inlineStr">
        <is>
          <t>CK</t>
        </is>
      </c>
      <c r="D299" s="3" t="inlineStr">
        <is>
          <t>黑松露黑麦苏打饼干</t>
        </is>
      </c>
      <c r="E29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99" s="3" t="inlineStr">
        <is>
          <t>ค่าเริ่มต้น</t>
        </is>
      </c>
      <c r="G299" s="6" t="n">
        <v>1</v>
      </c>
      <c r="H299" s="6" t="n">
        <v>10.72665050209467</v>
      </c>
      <c r="I299" s="6" t="n">
        <v>1</v>
      </c>
      <c r="J299" s="5" t="n">
        <v>18.72665050209466</v>
      </c>
      <c r="K299" s="5" t="n">
        <v>-18.72665050209466</v>
      </c>
      <c r="L299" s="5" t="n">
        <v>-88.01525735984492</v>
      </c>
      <c r="M299" s="3" t="inlineStr">
        <is>
          <t>09/05/2026 13:46:13</t>
        </is>
      </c>
    </row>
    <row r="300">
      <c r="A300" s="3" t="inlineStr">
        <is>
          <t>583941456912090336</t>
        </is>
      </c>
      <c r="B300" s="3" t="inlineStr">
        <is>
          <t>已完成</t>
        </is>
      </c>
      <c r="C300" s="3" t="inlineStr">
        <is>
          <t>CK</t>
        </is>
      </c>
      <c r="D300" s="3" t="inlineStr">
        <is>
          <t>黑松露黑麦苏打饼干</t>
        </is>
      </c>
      <c r="E30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0" s="3" t="inlineStr">
        <is>
          <t>ค่าเริ่มต้น</t>
        </is>
      </c>
      <c r="G300" s="6" t="n">
        <v>1</v>
      </c>
      <c r="H300" s="6" t="n">
        <v>10.72665050209467</v>
      </c>
      <c r="I300" s="6" t="n">
        <v>1</v>
      </c>
      <c r="J300" s="5" t="n">
        <v>18.72665050209466</v>
      </c>
      <c r="K300" s="5" t="n">
        <v>-18.72665050209466</v>
      </c>
      <c r="L300" s="5" t="n">
        <v>-88.01525735984492</v>
      </c>
      <c r="M300" s="3" t="inlineStr">
        <is>
          <t>09/05/2026 13:44:15</t>
        </is>
      </c>
    </row>
    <row r="301">
      <c r="A301" s="3" t="inlineStr">
        <is>
          <t>583938453086438885</t>
        </is>
      </c>
      <c r="B301" s="3" t="inlineStr">
        <is>
          <t>已取消</t>
        </is>
      </c>
      <c r="C301" s="3" t="inlineStr">
        <is>
          <t>CK</t>
        </is>
      </c>
      <c r="D301" s="3" t="inlineStr">
        <is>
          <t>黑松露黑麦苏打饼干</t>
        </is>
      </c>
      <c r="E30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1" s="3" t="inlineStr">
        <is>
          <t>ค่าเริ่มต้น</t>
        </is>
      </c>
      <c r="G301" s="6" t="n">
        <v>1</v>
      </c>
      <c r="H301" s="6" t="n">
        <v>10.72665050209467</v>
      </c>
      <c r="I301" s="6" t="n">
        <v>1</v>
      </c>
      <c r="J301" s="5" t="n">
        <v>18.72665050209466</v>
      </c>
      <c r="K301" s="5" t="n">
        <v>-18.72665050209466</v>
      </c>
      <c r="L301" s="5" t="n">
        <v>-88.01525735984492</v>
      </c>
      <c r="M301" s="3" t="inlineStr">
        <is>
          <t>09/05/2026 10:45:21</t>
        </is>
      </c>
    </row>
    <row r="302">
      <c r="A302" s="3" t="inlineStr">
        <is>
          <t>583938113318257704</t>
        </is>
      </c>
      <c r="B302" s="3" t="inlineStr">
        <is>
          <t>已完成</t>
        </is>
      </c>
      <c r="C302" s="3" t="inlineStr">
        <is>
          <t>CK</t>
        </is>
      </c>
      <c r="D302" s="3" t="inlineStr">
        <is>
          <t>黑松露黑麦苏打饼干</t>
        </is>
      </c>
      <c r="E30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2" s="3" t="inlineStr">
        <is>
          <t>ค่าเริ่มต้น</t>
        </is>
      </c>
      <c r="G302" s="6" t="n">
        <v>1</v>
      </c>
      <c r="H302" s="6" t="n">
        <v>10.72665050209467</v>
      </c>
      <c r="I302" s="6" t="n">
        <v>1</v>
      </c>
      <c r="J302" s="5" t="n">
        <v>18.72665050209466</v>
      </c>
      <c r="K302" s="5" t="n">
        <v>-18.72665050209466</v>
      </c>
      <c r="L302" s="5" t="n">
        <v>-88.01525735984492</v>
      </c>
      <c r="M302" s="3" t="inlineStr">
        <is>
          <t>09/05/2026 10:21:21</t>
        </is>
      </c>
    </row>
    <row r="303">
      <c r="A303" s="3" t="inlineStr">
        <is>
          <t>583925740466898144</t>
        </is>
      </c>
      <c r="B303" s="3" t="inlineStr">
        <is>
          <t>已完成</t>
        </is>
      </c>
      <c r="C303" s="3" t="inlineStr">
        <is>
          <t>CK</t>
        </is>
      </c>
      <c r="D303" s="3" t="inlineStr">
        <is>
          <t>黑松露黑麦苏打饼干</t>
        </is>
      </c>
      <c r="E30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3" s="3" t="inlineStr">
        <is>
          <t>ค่าเริ่มต้น</t>
        </is>
      </c>
      <c r="G303" s="6" t="n">
        <v>1</v>
      </c>
      <c r="H303" s="6" t="n">
        <v>10.72665050209467</v>
      </c>
      <c r="I303" s="6" t="n">
        <v>1</v>
      </c>
      <c r="J303" s="5" t="n">
        <v>18.72665050209466</v>
      </c>
      <c r="K303" s="5" t="n">
        <v>-18.72665050209466</v>
      </c>
      <c r="L303" s="5" t="n">
        <v>-88.01525735984492</v>
      </c>
      <c r="M303" s="3" t="inlineStr">
        <is>
          <t>08/05/2026 17:55:12</t>
        </is>
      </c>
    </row>
    <row r="304">
      <c r="A304" s="3" t="inlineStr">
        <is>
          <t>583925738458416194</t>
        </is>
      </c>
      <c r="B304" s="3" t="inlineStr">
        <is>
          <t>已完成</t>
        </is>
      </c>
      <c r="C304" s="3" t="inlineStr">
        <is>
          <t>CK</t>
        </is>
      </c>
      <c r="D304" s="3" t="inlineStr">
        <is>
          <t>黑松露黑麦苏打饼干</t>
        </is>
      </c>
      <c r="E30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4" s="3" t="inlineStr">
        <is>
          <t>ค่าเริ่มต้น</t>
        </is>
      </c>
      <c r="G304" s="6" t="n">
        <v>1</v>
      </c>
      <c r="H304" s="6" t="n">
        <v>10.72665050209467</v>
      </c>
      <c r="I304" s="6" t="n">
        <v>1</v>
      </c>
      <c r="J304" s="5" t="n">
        <v>18.72665050209466</v>
      </c>
      <c r="K304" s="5" t="n">
        <v>-18.72665050209466</v>
      </c>
      <c r="L304" s="5" t="n">
        <v>-88.01525735984492</v>
      </c>
      <c r="M304" s="3" t="inlineStr">
        <is>
          <t>08/05/2026 17:37:18</t>
        </is>
      </c>
    </row>
    <row r="305">
      <c r="A305" s="3" t="inlineStr">
        <is>
          <t>583925738144564242</t>
        </is>
      </c>
      <c r="B305" s="3" t="inlineStr">
        <is>
          <t>已完成</t>
        </is>
      </c>
      <c r="C305" s="3" t="inlineStr">
        <is>
          <t>C1</t>
        </is>
      </c>
      <c r="D305" s="3" t="inlineStr">
        <is>
          <t>魔芋笋1大袋</t>
        </is>
      </c>
      <c r="E3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5" s="3" t="inlineStr">
        <is>
          <t>รสเผ็ดหอม​, 10 ซอง 200g</t>
        </is>
      </c>
      <c r="G305" s="6" t="n">
        <v>1</v>
      </c>
      <c r="H305" s="6" t="n">
        <v>6.699999999999999</v>
      </c>
      <c r="I305" s="6" t="n">
        <v>1</v>
      </c>
      <c r="J305" s="5" t="n">
        <v>14.7</v>
      </c>
      <c r="K305" s="5" t="n">
        <v>-14.7</v>
      </c>
      <c r="L305" s="5" t="n">
        <v>-69.09</v>
      </c>
      <c r="M305" s="3" t="inlineStr">
        <is>
          <t>08/05/2026 17:28:13</t>
        </is>
      </c>
    </row>
    <row r="306">
      <c r="A306" s="3" t="inlineStr">
        <is>
          <t>583925408767248141</t>
        </is>
      </c>
      <c r="B306" s="3" t="inlineStr">
        <is>
          <t>已完成</t>
        </is>
      </c>
      <c r="C306" s="3" t="inlineStr">
        <is>
          <t>C1</t>
        </is>
      </c>
      <c r="D306" s="3" t="inlineStr">
        <is>
          <t>魔芋笋1大袋</t>
        </is>
      </c>
      <c r="E3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6" s="3" t="inlineStr">
        <is>
          <t>รสเผ็ดหอม​, 10 ซอง 200g</t>
        </is>
      </c>
      <c r="G306" s="6" t="n">
        <v>1</v>
      </c>
      <c r="H306" s="6" t="n">
        <v>6.699999999999999</v>
      </c>
      <c r="I306" s="6" t="n">
        <v>1</v>
      </c>
      <c r="J306" s="5" t="n">
        <v>14.7</v>
      </c>
      <c r="K306" s="5" t="n">
        <v>-14.7</v>
      </c>
      <c r="L306" s="5" t="n">
        <v>-69.09</v>
      </c>
      <c r="M306" s="3" t="inlineStr">
        <is>
          <t>08/05/2026 17:20:18</t>
        </is>
      </c>
    </row>
    <row r="307">
      <c r="A307" s="3" t="inlineStr">
        <is>
          <t>583925127791150125</t>
        </is>
      </c>
      <c r="B307" s="3" t="inlineStr">
        <is>
          <t>已完成</t>
        </is>
      </c>
      <c r="C307" s="3" t="inlineStr">
        <is>
          <t>C1</t>
        </is>
      </c>
      <c r="D307" s="3" t="inlineStr">
        <is>
          <t>魔芋笋1大袋</t>
        </is>
      </c>
      <c r="E3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7" s="3" t="inlineStr">
        <is>
          <t>รสเผ็ดหอม​, 10 ซอง 200g</t>
        </is>
      </c>
      <c r="G307" s="6" t="n">
        <v>1</v>
      </c>
      <c r="H307" s="6" t="n">
        <v>6.699999999999999</v>
      </c>
      <c r="I307" s="6" t="n">
        <v>1</v>
      </c>
      <c r="J307" s="5" t="n">
        <v>14.7</v>
      </c>
      <c r="K307" s="5" t="n">
        <v>-14.7</v>
      </c>
      <c r="L307" s="5" t="n">
        <v>-69.09</v>
      </c>
      <c r="M307" s="3" t="inlineStr">
        <is>
          <t>08/05/2026 17:02:28</t>
        </is>
      </c>
    </row>
    <row r="308">
      <c r="A308" s="3" t="inlineStr">
        <is>
          <t>583925039711093901</t>
        </is>
      </c>
      <c r="B308" s="3" t="inlineStr">
        <is>
          <t>已完成</t>
        </is>
      </c>
      <c r="C308" s="3" t="inlineStr">
        <is>
          <t>CK</t>
        </is>
      </c>
      <c r="D308" s="3" t="inlineStr">
        <is>
          <t>黑松露黑麦苏打饼干</t>
        </is>
      </c>
      <c r="E30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8" s="3" t="inlineStr">
        <is>
          <t>ค่าเริ่มต้น</t>
        </is>
      </c>
      <c r="G308" s="6" t="n">
        <v>1</v>
      </c>
      <c r="H308" s="6" t="n">
        <v>10.72665050209467</v>
      </c>
      <c r="I308" s="6" t="n">
        <v>1</v>
      </c>
      <c r="J308" s="5" t="n">
        <v>18.72665050209466</v>
      </c>
      <c r="K308" s="5" t="n">
        <v>-18.72665050209466</v>
      </c>
      <c r="L308" s="5" t="n">
        <v>-88.01525735984492</v>
      </c>
      <c r="M308" s="3" t="inlineStr">
        <is>
          <t>08/05/2026 16:42:11</t>
        </is>
      </c>
    </row>
    <row r="309">
      <c r="A309" s="3" t="inlineStr">
        <is>
          <t>583924792500847688</t>
        </is>
      </c>
      <c r="B309" s="3" t="inlineStr">
        <is>
          <t>已完成</t>
        </is>
      </c>
      <c r="C309" s="3" t="inlineStr">
        <is>
          <t>CK</t>
        </is>
      </c>
      <c r="D309" s="3" t="inlineStr">
        <is>
          <t>黑松露黑麦苏打饼干</t>
        </is>
      </c>
      <c r="E30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09" s="3" t="inlineStr">
        <is>
          <t>ค่าเริ่มต้น</t>
        </is>
      </c>
      <c r="G309" s="6" t="n">
        <v>1</v>
      </c>
      <c r="H309" s="6" t="n">
        <v>10.72665050209467</v>
      </c>
      <c r="I309" s="6" t="n">
        <v>1</v>
      </c>
      <c r="J309" s="5" t="n">
        <v>18.72665050209466</v>
      </c>
      <c r="K309" s="5" t="n">
        <v>-18.72665050209466</v>
      </c>
      <c r="L309" s="5" t="n">
        <v>-88.01525735984492</v>
      </c>
      <c r="M309" s="3" t="inlineStr">
        <is>
          <t>08/05/2026 16:29:22</t>
        </is>
      </c>
    </row>
    <row r="310">
      <c r="A310" s="3" t="inlineStr">
        <is>
          <t>583924506512491694</t>
        </is>
      </c>
      <c r="B310" s="3" t="inlineStr">
        <is>
          <t>已完成</t>
        </is>
      </c>
      <c r="C310" s="3" t="inlineStr">
        <is>
          <t>C1</t>
        </is>
      </c>
      <c r="D310" s="3" t="inlineStr">
        <is>
          <t>魔芋笋1大袋</t>
        </is>
      </c>
      <c r="E3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0" s="3" t="inlineStr">
        <is>
          <t>รสเผ็ดหอม​, 10 ซอง 200g</t>
        </is>
      </c>
      <c r="G310" s="6" t="n">
        <v>1</v>
      </c>
      <c r="H310" s="6" t="n">
        <v>6.699999999999999</v>
      </c>
      <c r="I310" s="6" t="n">
        <v>1</v>
      </c>
      <c r="J310" s="5" t="n">
        <v>14.7</v>
      </c>
      <c r="K310" s="5" t="n">
        <v>-14.7</v>
      </c>
      <c r="L310" s="5" t="n">
        <v>-69.09</v>
      </c>
      <c r="M310" s="3" t="inlineStr">
        <is>
          <t>08/05/2026 16:21:20</t>
        </is>
      </c>
    </row>
    <row r="311">
      <c r="A311" s="3" t="inlineStr">
        <is>
          <t>583924506185598574</t>
        </is>
      </c>
      <c r="B311" s="3" t="inlineStr">
        <is>
          <t>已完成</t>
        </is>
      </c>
      <c r="C311" s="3" t="inlineStr">
        <is>
          <t>C1</t>
        </is>
      </c>
      <c r="D311" s="3" t="inlineStr">
        <is>
          <t>魔芋笋1大袋</t>
        </is>
      </c>
      <c r="E3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1" s="3" t="inlineStr">
        <is>
          <t>รสเผ็ดหอม​, 10 ซอง 200g</t>
        </is>
      </c>
      <c r="G311" s="6" t="n">
        <v>1</v>
      </c>
      <c r="H311" s="6" t="n">
        <v>6.699999999999999</v>
      </c>
      <c r="I311" s="6" t="n">
        <v>1</v>
      </c>
      <c r="J311" s="5" t="n">
        <v>14.7</v>
      </c>
      <c r="K311" s="5" t="n">
        <v>-14.7</v>
      </c>
      <c r="L311" s="5" t="n">
        <v>-69.09</v>
      </c>
      <c r="M311" s="3" t="inlineStr">
        <is>
          <t>08/05/2026 16:11:13</t>
        </is>
      </c>
    </row>
    <row r="312">
      <c r="A312" s="3" t="inlineStr">
        <is>
          <t>583923917600228925</t>
        </is>
      </c>
      <c r="B312" s="3" t="inlineStr">
        <is>
          <t>已完成</t>
        </is>
      </c>
      <c r="C312" s="3" t="inlineStr">
        <is>
          <t>CK</t>
        </is>
      </c>
      <c r="D312" s="3" t="inlineStr">
        <is>
          <t>黑松露黑麦苏打饼干</t>
        </is>
      </c>
      <c r="E31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12" s="3" t="inlineStr">
        <is>
          <t>ค่าเริ่มต้น</t>
        </is>
      </c>
      <c r="G312" s="6" t="n">
        <v>1</v>
      </c>
      <c r="H312" s="6" t="n">
        <v>10.72665050209467</v>
      </c>
      <c r="I312" s="6" t="n">
        <v>1</v>
      </c>
      <c r="J312" s="5" t="n">
        <v>18.72665050209466</v>
      </c>
      <c r="K312" s="5" t="n">
        <v>-18.72665050209466</v>
      </c>
      <c r="L312" s="5" t="n">
        <v>-88.01525735984492</v>
      </c>
      <c r="M312" s="3" t="inlineStr">
        <is>
          <t>08/05/2026 15:26:17</t>
        </is>
      </c>
    </row>
    <row r="313">
      <c r="A313" s="3" t="inlineStr">
        <is>
          <t>583923470643790865</t>
        </is>
      </c>
      <c r="B313" s="3" t="inlineStr">
        <is>
          <t>已完成</t>
        </is>
      </c>
      <c r="C313" s="3" t="inlineStr">
        <is>
          <t>C1</t>
        </is>
      </c>
      <c r="D313" s="3" t="inlineStr">
        <is>
          <t>魔芋笋1大袋</t>
        </is>
      </c>
      <c r="E3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3" s="3" t="inlineStr">
        <is>
          <t>รสเผ็ดหอม​, 10 ซอง 200g</t>
        </is>
      </c>
      <c r="G313" s="6" t="n">
        <v>1</v>
      </c>
      <c r="H313" s="6" t="n">
        <v>6.699999999999999</v>
      </c>
      <c r="I313" s="6" t="n">
        <v>1</v>
      </c>
      <c r="J313" s="5" t="n">
        <v>14.7</v>
      </c>
      <c r="K313" s="5" t="n">
        <v>-14.7</v>
      </c>
      <c r="L313" s="5" t="n">
        <v>-69.09</v>
      </c>
      <c r="M313" s="3" t="inlineStr">
        <is>
          <t>08/05/2026 14:57:16</t>
        </is>
      </c>
    </row>
    <row r="314">
      <c r="A314" s="3" t="inlineStr">
        <is>
          <t>583922943658722616</t>
        </is>
      </c>
      <c r="B314" s="3" t="inlineStr">
        <is>
          <t>已完成</t>
        </is>
      </c>
      <c r="C314" s="3" t="inlineStr">
        <is>
          <t>C1</t>
        </is>
      </c>
      <c r="D314" s="3" t="inlineStr">
        <is>
          <t>魔芋笋1大袋</t>
        </is>
      </c>
      <c r="E3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4" s="3" t="inlineStr">
        <is>
          <t>รสเผ็ดหอม​, 10 ซอง 200g</t>
        </is>
      </c>
      <c r="G314" s="6" t="n">
        <v>1</v>
      </c>
      <c r="H314" s="6" t="n">
        <v>6.699999999999999</v>
      </c>
      <c r="I314" s="6" t="n">
        <v>1</v>
      </c>
      <c r="J314" s="5" t="n">
        <v>14.7</v>
      </c>
      <c r="K314" s="5" t="n">
        <v>-14.7</v>
      </c>
      <c r="L314" s="5" t="n">
        <v>-69.09</v>
      </c>
      <c r="M314" s="3" t="inlineStr">
        <is>
          <t>08/05/2026 14:25:23</t>
        </is>
      </c>
    </row>
    <row r="315">
      <c r="A315" s="3" t="inlineStr">
        <is>
          <t>583922828920653687</t>
        </is>
      </c>
      <c r="B315" s="3" t="inlineStr">
        <is>
          <t>已完成</t>
        </is>
      </c>
      <c r="C315" s="3" t="inlineStr">
        <is>
          <t>C1</t>
        </is>
      </c>
      <c r="D315" s="3" t="inlineStr">
        <is>
          <t>魔芋笋1大袋</t>
        </is>
      </c>
      <c r="E3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5" s="3" t="inlineStr">
        <is>
          <t>รสเผ็ดหอม​, 10 ซอง 200g</t>
        </is>
      </c>
      <c r="G315" s="6" t="n">
        <v>1</v>
      </c>
      <c r="H315" s="6" t="n">
        <v>6.699999999999999</v>
      </c>
      <c r="I315" s="6" t="n">
        <v>1</v>
      </c>
      <c r="J315" s="5" t="n">
        <v>14.7</v>
      </c>
      <c r="K315" s="5" t="n">
        <v>-14.7</v>
      </c>
      <c r="L315" s="5" t="n">
        <v>-69.09</v>
      </c>
      <c r="M315" s="3" t="inlineStr">
        <is>
          <t>08/05/2026 14:12:18</t>
        </is>
      </c>
    </row>
    <row r="316">
      <c r="A316" s="3" t="inlineStr">
        <is>
          <t>583922625399194992</t>
        </is>
      </c>
      <c r="B316" s="3" t="inlineStr">
        <is>
          <t>已完成</t>
        </is>
      </c>
      <c r="C316" s="3" t="inlineStr">
        <is>
          <t>CK</t>
        </is>
      </c>
      <c r="D316" s="3" t="inlineStr">
        <is>
          <t>黑松露黑麦苏打饼干</t>
        </is>
      </c>
      <c r="E31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16" s="3" t="inlineStr">
        <is>
          <t>ค่าเริ่มต้น</t>
        </is>
      </c>
      <c r="G316" s="6" t="n">
        <v>1</v>
      </c>
      <c r="H316" s="6" t="n">
        <v>10.72665050209467</v>
      </c>
      <c r="I316" s="6" t="n">
        <v>1</v>
      </c>
      <c r="J316" s="5" t="n">
        <v>18.72665050209466</v>
      </c>
      <c r="K316" s="5" t="n">
        <v>-18.72665050209466</v>
      </c>
      <c r="L316" s="5" t="n">
        <v>-88.01525735984492</v>
      </c>
      <c r="M316" s="3" t="inlineStr">
        <is>
          <t>08/05/2026 14:05:21</t>
        </is>
      </c>
    </row>
    <row r="317">
      <c r="A317" s="3" t="inlineStr">
        <is>
          <t>583922433669498768</t>
        </is>
      </c>
      <c r="B317" s="3" t="inlineStr">
        <is>
          <t>已完成</t>
        </is>
      </c>
      <c r="C317" s="3" t="inlineStr">
        <is>
          <t>CK</t>
        </is>
      </c>
      <c r="D317" s="3" t="inlineStr">
        <is>
          <t>黑松露黑麦苏打饼干</t>
        </is>
      </c>
      <c r="E31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17" s="3" t="inlineStr">
        <is>
          <t>ค่าเริ่มต้น</t>
        </is>
      </c>
      <c r="G317" s="6" t="n">
        <v>1</v>
      </c>
      <c r="H317" s="6" t="n">
        <v>10.72665050209467</v>
      </c>
      <c r="I317" s="6" t="n">
        <v>1</v>
      </c>
      <c r="J317" s="5" t="n">
        <v>18.72665050209466</v>
      </c>
      <c r="K317" s="5" t="n">
        <v>-18.72665050209466</v>
      </c>
      <c r="L317" s="5" t="n">
        <v>-88.01525735984492</v>
      </c>
      <c r="M317" s="3" t="inlineStr">
        <is>
          <t>08/05/2026 13:46:15</t>
        </is>
      </c>
    </row>
    <row r="318">
      <c r="A318" s="3" t="inlineStr">
        <is>
          <t>583922125492094437</t>
        </is>
      </c>
      <c r="B318" s="3" t="inlineStr">
        <is>
          <t>已完成</t>
        </is>
      </c>
      <c r="C318" s="3" t="inlineStr">
        <is>
          <t>C1</t>
        </is>
      </c>
      <c r="D318" s="3" t="inlineStr">
        <is>
          <t>魔芋笋1大袋</t>
        </is>
      </c>
      <c r="E3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8" s="3" t="inlineStr">
        <is>
          <t>รสเผ็ดหอม​, 10 ซอง 200g</t>
        </is>
      </c>
      <c r="G318" s="6" t="n">
        <v>1</v>
      </c>
      <c r="H318" s="6" t="n">
        <v>6.699999999999999</v>
      </c>
      <c r="I318" s="6" t="n">
        <v>1</v>
      </c>
      <c r="J318" s="5" t="n">
        <v>14.7</v>
      </c>
      <c r="K318" s="5" t="n">
        <v>-14.7</v>
      </c>
      <c r="L318" s="5" t="n">
        <v>-69.09</v>
      </c>
      <c r="M318" s="3" t="inlineStr">
        <is>
          <t>08/05/2026 13:42:25</t>
        </is>
      </c>
    </row>
    <row r="319">
      <c r="A319" s="3" t="inlineStr">
        <is>
          <t>583922063198946581</t>
        </is>
      </c>
      <c r="B319" s="3" t="inlineStr">
        <is>
          <t>已完成</t>
        </is>
      </c>
      <c r="C319" s="3" t="inlineStr">
        <is>
          <t>C1</t>
        </is>
      </c>
      <c r="D319" s="3" t="inlineStr">
        <is>
          <t>魔芋笋1大袋</t>
        </is>
      </c>
      <c r="E3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9" s="3" t="inlineStr">
        <is>
          <t>รสเผ็ดหอม​, 10 ซอง 200g</t>
        </is>
      </c>
      <c r="G319" s="6" t="n">
        <v>1</v>
      </c>
      <c r="H319" s="6" t="n">
        <v>6.699999999999999</v>
      </c>
      <c r="I319" s="6" t="n">
        <v>1</v>
      </c>
      <c r="J319" s="5" t="n">
        <v>14.7</v>
      </c>
      <c r="K319" s="5" t="n">
        <v>-14.7</v>
      </c>
      <c r="L319" s="5" t="n">
        <v>-69.09</v>
      </c>
      <c r="M319" s="3" t="inlineStr">
        <is>
          <t>08/05/2026 13:31:25</t>
        </is>
      </c>
    </row>
    <row r="320">
      <c r="A320" s="3" t="inlineStr">
        <is>
          <t>583921807684437078</t>
        </is>
      </c>
      <c r="B320" s="3" t="inlineStr">
        <is>
          <t>已完成</t>
        </is>
      </c>
      <c r="C320" s="3" t="inlineStr">
        <is>
          <t>C1</t>
        </is>
      </c>
      <c r="D320" s="3" t="inlineStr">
        <is>
          <t>魔芋笋1大袋</t>
        </is>
      </c>
      <c r="E3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0" s="3" t="inlineStr">
        <is>
          <t>รสเผ็ดหอม​, 10 ซอง 200g</t>
        </is>
      </c>
      <c r="G320" s="6" t="n">
        <v>1</v>
      </c>
      <c r="H320" s="6" t="n">
        <v>6.699999999999999</v>
      </c>
      <c r="I320" s="6" t="n">
        <v>1</v>
      </c>
      <c r="J320" s="5" t="n">
        <v>14.7</v>
      </c>
      <c r="K320" s="5" t="n">
        <v>-14.7</v>
      </c>
      <c r="L320" s="5" t="n">
        <v>-69.09</v>
      </c>
      <c r="M320" s="3" t="inlineStr">
        <is>
          <t>08/05/2026 13:19:22</t>
        </is>
      </c>
    </row>
    <row r="321">
      <c r="A321" s="3" t="inlineStr">
        <is>
          <t>583921807305508692</t>
        </is>
      </c>
      <c r="B321" s="3" t="inlineStr">
        <is>
          <t>已完成</t>
        </is>
      </c>
      <c r="C321" s="3" t="inlineStr">
        <is>
          <t>C1</t>
        </is>
      </c>
      <c r="D321" s="3" t="inlineStr">
        <is>
          <t>魔芋笋1大袋</t>
        </is>
      </c>
      <c r="E3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1" s="3" t="inlineStr">
        <is>
          <t>รสเผ็ดหอม​, 10 ซอง 200g</t>
        </is>
      </c>
      <c r="G321" s="6" t="n">
        <v>1</v>
      </c>
      <c r="H321" s="6" t="n">
        <v>6.699999999999999</v>
      </c>
      <c r="I321" s="6" t="n">
        <v>1</v>
      </c>
      <c r="J321" s="5" t="n">
        <v>14.7</v>
      </c>
      <c r="K321" s="5" t="n">
        <v>-14.7</v>
      </c>
      <c r="L321" s="5" t="n">
        <v>-69.09</v>
      </c>
      <c r="M321" s="3" t="inlineStr">
        <is>
          <t>08/05/2026 13:11:17</t>
        </is>
      </c>
    </row>
    <row r="322">
      <c r="A322" s="3" t="inlineStr">
        <is>
          <t>583919284152206747</t>
        </is>
      </c>
      <c r="B322" s="3" t="inlineStr">
        <is>
          <t>已完成</t>
        </is>
      </c>
      <c r="C322" s="3" t="inlineStr">
        <is>
          <t>C1</t>
        </is>
      </c>
      <c r="D322" s="3" t="inlineStr">
        <is>
          <t>魔芋笋1大袋</t>
        </is>
      </c>
      <c r="E3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2" s="3" t="inlineStr">
        <is>
          <t>รสเผ็ดหอม​, 10 ซอง 200g</t>
        </is>
      </c>
      <c r="G322" s="6" t="n">
        <v>1</v>
      </c>
      <c r="H322" s="6" t="n">
        <v>6.699999999999999</v>
      </c>
      <c r="I322" s="6" t="n">
        <v>1</v>
      </c>
      <c r="J322" s="5" t="n">
        <v>14.7</v>
      </c>
      <c r="K322" s="5" t="n">
        <v>-14.7</v>
      </c>
      <c r="L322" s="5" t="n">
        <v>-69.09</v>
      </c>
      <c r="M322" s="3" t="inlineStr">
        <is>
          <t>08/05/2026 10:13:35</t>
        </is>
      </c>
    </row>
    <row r="323">
      <c r="A323" s="3" t="inlineStr">
        <is>
          <t>583919118601323790</t>
        </is>
      </c>
      <c r="B323" s="3" t="inlineStr">
        <is>
          <t>已完成</t>
        </is>
      </c>
      <c r="C323" s="3" t="inlineStr">
        <is>
          <t>C1</t>
        </is>
      </c>
      <c r="D323" s="3" t="inlineStr">
        <is>
          <t>魔芋笋1大袋</t>
        </is>
      </c>
      <c r="E3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3" s="3" t="inlineStr">
        <is>
          <t>รสเผ็ดหอม​, 10 ซอง 200g</t>
        </is>
      </c>
      <c r="G323" s="6" t="n">
        <v>1</v>
      </c>
      <c r="H323" s="6" t="n">
        <v>6.699999999999999</v>
      </c>
      <c r="I323" s="6" t="n">
        <v>1</v>
      </c>
      <c r="J323" s="5" t="n">
        <v>14.7</v>
      </c>
      <c r="K323" s="5" t="n">
        <v>-14.7</v>
      </c>
      <c r="L323" s="5" t="n">
        <v>-69.09</v>
      </c>
      <c r="M323" s="3" t="inlineStr">
        <is>
          <t>08/05/2026 10:12:28</t>
        </is>
      </c>
    </row>
    <row r="324">
      <c r="A324" s="3" t="inlineStr">
        <is>
          <t>583918884794042114</t>
        </is>
      </c>
      <c r="B324" s="3" t="inlineStr">
        <is>
          <t>已完成</t>
        </is>
      </c>
      <c r="C324" s="3" t="inlineStr">
        <is>
          <t>C1</t>
        </is>
      </c>
      <c r="D324" s="3" t="inlineStr">
        <is>
          <t>魔芋笋1大袋</t>
        </is>
      </c>
      <c r="E3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4" s="3" t="inlineStr">
        <is>
          <t>รสเผ็ดหอม​, 10 ซอง 200g</t>
        </is>
      </c>
      <c r="G324" s="6" t="n">
        <v>1</v>
      </c>
      <c r="H324" s="6" t="n">
        <v>6.699999999999999</v>
      </c>
      <c r="I324" s="6" t="n">
        <v>1</v>
      </c>
      <c r="J324" s="5" t="n">
        <v>14.7</v>
      </c>
      <c r="K324" s="5" t="n">
        <v>-14.7</v>
      </c>
      <c r="L324" s="5" t="n">
        <v>-69.09</v>
      </c>
      <c r="M324" s="3" t="inlineStr">
        <is>
          <t>08/05/2026 10:00:22</t>
        </is>
      </c>
    </row>
    <row r="325">
      <c r="A325" s="3" t="inlineStr">
        <is>
          <t>583918961856513074</t>
        </is>
      </c>
      <c r="B325" s="3" t="inlineStr">
        <is>
          <t>已完成</t>
        </is>
      </c>
      <c r="C325" s="3" t="inlineStr">
        <is>
          <t>C1</t>
        </is>
      </c>
      <c r="D325" s="3" t="inlineStr">
        <is>
          <t>魔芋笋1大袋</t>
        </is>
      </c>
      <c r="E3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5" s="3" t="inlineStr">
        <is>
          <t>รสเผ็ดหอม​, 10 ซอง 200g</t>
        </is>
      </c>
      <c r="G325" s="6" t="n">
        <v>1</v>
      </c>
      <c r="H325" s="6" t="n">
        <v>6.699999999999999</v>
      </c>
      <c r="I325" s="6" t="n">
        <v>1</v>
      </c>
      <c r="J325" s="5" t="n">
        <v>14.7</v>
      </c>
      <c r="K325" s="5" t="n">
        <v>-14.7</v>
      </c>
      <c r="L325" s="5" t="n">
        <v>-69.09</v>
      </c>
      <c r="M325" s="3" t="inlineStr">
        <is>
          <t>08/05/2026 09:53:25</t>
        </is>
      </c>
    </row>
    <row r="326">
      <c r="A326" s="3" t="inlineStr">
        <is>
          <t>583907661116638653</t>
        </is>
      </c>
      <c r="B326" s="3" t="inlineStr">
        <is>
          <t>已完成</t>
        </is>
      </c>
      <c r="C326" s="3" t="inlineStr">
        <is>
          <t>C1</t>
        </is>
      </c>
      <c r="D326" s="3" t="inlineStr">
        <is>
          <t>魔芋笋1大袋</t>
        </is>
      </c>
      <c r="E3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6" s="3" t="inlineStr">
        <is>
          <t>รสเผ็ดหอม​, 10 ซอง 200g</t>
        </is>
      </c>
      <c r="G326" s="6" t="n">
        <v>1</v>
      </c>
      <c r="H326" s="6" t="n">
        <v>6.699999999999999</v>
      </c>
      <c r="I326" s="6" t="n">
        <v>1</v>
      </c>
      <c r="J326" s="5" t="n">
        <v>14.7</v>
      </c>
      <c r="K326" s="5" t="n">
        <v>-14.7</v>
      </c>
      <c r="L326" s="5" t="n">
        <v>-69.09</v>
      </c>
      <c r="M326" s="3" t="inlineStr">
        <is>
          <t>07/05/2026 15:52:21</t>
        </is>
      </c>
    </row>
    <row r="327">
      <c r="A327" s="3" t="inlineStr">
        <is>
          <t>583907478676407562</t>
        </is>
      </c>
      <c r="B327" s="3" t="inlineStr">
        <is>
          <t>已完成</t>
        </is>
      </c>
      <c r="C327" s="3" t="inlineStr">
        <is>
          <t>C1</t>
        </is>
      </c>
      <c r="D327" s="3" t="inlineStr">
        <is>
          <t>魔芋笋1大袋</t>
        </is>
      </c>
      <c r="E3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7" s="3" t="inlineStr">
        <is>
          <t>รสเผ็ดหอม​, 10 ซอง 200g</t>
        </is>
      </c>
      <c r="G327" s="6" t="n">
        <v>1</v>
      </c>
      <c r="H327" s="6" t="n">
        <v>6.699999999999999</v>
      </c>
      <c r="I327" s="6" t="n">
        <v>1</v>
      </c>
      <c r="J327" s="5" t="n">
        <v>14.7</v>
      </c>
      <c r="K327" s="5" t="n">
        <v>-14.7</v>
      </c>
      <c r="L327" s="5" t="n">
        <v>-69.09</v>
      </c>
      <c r="M327" s="3" t="inlineStr">
        <is>
          <t>07/05/2026 15:24:17</t>
        </is>
      </c>
    </row>
    <row r="328">
      <c r="A328" s="3" t="inlineStr">
        <is>
          <t>583907478410790757</t>
        </is>
      </c>
      <c r="B328" s="3" t="inlineStr">
        <is>
          <t>已完成</t>
        </is>
      </c>
      <c r="C328" s="3" t="inlineStr">
        <is>
          <t>C1</t>
        </is>
      </c>
      <c r="D328" s="3" t="inlineStr">
        <is>
          <t>魔芋笋1大袋</t>
        </is>
      </c>
      <c r="E3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8" s="3" t="inlineStr">
        <is>
          <t>รสเผ็ดหอม​, 10 ซอง 200g</t>
        </is>
      </c>
      <c r="G328" s="6" t="n">
        <v>1</v>
      </c>
      <c r="H328" s="6" t="n">
        <v>6.699999999999999</v>
      </c>
      <c r="I328" s="6" t="n">
        <v>1</v>
      </c>
      <c r="J328" s="5" t="n">
        <v>14.7</v>
      </c>
      <c r="K328" s="5" t="n">
        <v>-14.7</v>
      </c>
      <c r="L328" s="5" t="n">
        <v>-69.09</v>
      </c>
      <c r="M328" s="3" t="inlineStr">
        <is>
          <t>07/05/2026 15:18:19</t>
        </is>
      </c>
    </row>
    <row r="329">
      <c r="A329" s="3" t="inlineStr">
        <is>
          <t>583907130770622015</t>
        </is>
      </c>
      <c r="B329" s="3" t="inlineStr">
        <is>
          <t>已完成</t>
        </is>
      </c>
      <c r="C329" s="3" t="inlineStr">
        <is>
          <t>C1</t>
        </is>
      </c>
      <c r="D329" s="3" t="inlineStr">
        <is>
          <t>魔芋笋1大袋</t>
        </is>
      </c>
      <c r="E3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9" s="3" t="inlineStr">
        <is>
          <t>รสเผ็ดหอม​, 10 ซอง 200g</t>
        </is>
      </c>
      <c r="G329" s="6" t="n">
        <v>1</v>
      </c>
      <c r="H329" s="6" t="n">
        <v>6.699999999999999</v>
      </c>
      <c r="I329" s="6" t="n">
        <v>1</v>
      </c>
      <c r="J329" s="5" t="n">
        <v>14.7</v>
      </c>
      <c r="K329" s="5" t="n">
        <v>-14.7</v>
      </c>
      <c r="L329" s="5" t="n">
        <v>-69.09</v>
      </c>
      <c r="M329" s="3" t="inlineStr">
        <is>
          <t>07/05/2026 15:08:25</t>
        </is>
      </c>
    </row>
    <row r="330">
      <c r="A330" s="3" t="inlineStr">
        <is>
          <t>583907301432657262</t>
        </is>
      </c>
      <c r="B330" s="3" t="inlineStr">
        <is>
          <t>已完成</t>
        </is>
      </c>
      <c r="C330" s="3" t="inlineStr">
        <is>
          <t>C1</t>
        </is>
      </c>
      <c r="D330" s="3" t="inlineStr">
        <is>
          <t>魔芋笋1大袋</t>
        </is>
      </c>
      <c r="E3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0" s="3" t="inlineStr">
        <is>
          <t>รสเผ็ดหอม​, 10 ซอง 200g</t>
        </is>
      </c>
      <c r="G330" s="6" t="n">
        <v>1</v>
      </c>
      <c r="H330" s="6" t="n">
        <v>6.699999999999999</v>
      </c>
      <c r="I330" s="6" t="n">
        <v>1</v>
      </c>
      <c r="J330" s="5" t="n">
        <v>14.7</v>
      </c>
      <c r="K330" s="5" t="n">
        <v>-14.7</v>
      </c>
      <c r="L330" s="5" t="n">
        <v>-69.09</v>
      </c>
      <c r="M330" s="3" t="inlineStr">
        <is>
          <t>07/05/2026 15:05:16</t>
        </is>
      </c>
    </row>
    <row r="331">
      <c r="A331" s="3" t="inlineStr">
        <is>
          <t>583906879106548906</t>
        </is>
      </c>
      <c r="B331" s="3" t="inlineStr">
        <is>
          <t>已完成</t>
        </is>
      </c>
      <c r="C331" s="3" t="inlineStr">
        <is>
          <t>C1</t>
        </is>
      </c>
      <c r="D331" s="3" t="inlineStr">
        <is>
          <t>魔芋笋1大袋</t>
        </is>
      </c>
      <c r="E3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1" s="3" t="inlineStr">
        <is>
          <t>รสเผ็ดหอม​, 10 ซอง 200g</t>
        </is>
      </c>
      <c r="G331" s="6" t="n">
        <v>1</v>
      </c>
      <c r="H331" s="6" t="n">
        <v>6.699999999999999</v>
      </c>
      <c r="I331" s="6" t="n">
        <v>1</v>
      </c>
      <c r="J331" s="5" t="n">
        <v>14.7</v>
      </c>
      <c r="K331" s="5" t="n">
        <v>-14.7</v>
      </c>
      <c r="L331" s="5" t="n">
        <v>-69.09</v>
      </c>
      <c r="M331" s="3" t="inlineStr">
        <is>
          <t>07/05/2026 14:49:23</t>
        </is>
      </c>
    </row>
    <row r="332">
      <c r="A332" s="3" t="inlineStr">
        <is>
          <t>583906879076861454</t>
        </is>
      </c>
      <c r="B332" s="3" t="inlineStr">
        <is>
          <t>已完成</t>
        </is>
      </c>
      <c r="C332" s="3" t="inlineStr">
        <is>
          <t>C1</t>
        </is>
      </c>
      <c r="D332" s="3" t="inlineStr">
        <is>
          <t>魔芋笋1大袋</t>
        </is>
      </c>
      <c r="E3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2" s="3" t="inlineStr">
        <is>
          <t>รสเผ็ดหอม​, 10 ซอง 200g</t>
        </is>
      </c>
      <c r="G332" s="6" t="n">
        <v>1</v>
      </c>
      <c r="H332" s="6" t="n">
        <v>6.699999999999999</v>
      </c>
      <c r="I332" s="6" t="n">
        <v>1</v>
      </c>
      <c r="J332" s="5" t="n">
        <v>14.7</v>
      </c>
      <c r="K332" s="5" t="n">
        <v>-14.7</v>
      </c>
      <c r="L332" s="5" t="n">
        <v>-69.09</v>
      </c>
      <c r="M332" s="3" t="inlineStr">
        <is>
          <t>07/05/2026 14:48:23</t>
        </is>
      </c>
    </row>
    <row r="333">
      <c r="A333" s="3" t="inlineStr">
        <is>
          <t>583906879046911042</t>
        </is>
      </c>
      <c r="B333" s="3" t="inlineStr">
        <is>
          <t>已完成</t>
        </is>
      </c>
      <c r="C333" s="3" t="inlineStr">
        <is>
          <t>C1</t>
        </is>
      </c>
      <c r="D333" s="3" t="inlineStr">
        <is>
          <t>魔芋笋1大袋</t>
        </is>
      </c>
      <c r="E3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3" s="3" t="inlineStr">
        <is>
          <t>รสเผ็ดหอม​, 10 ซอง 200g</t>
        </is>
      </c>
      <c r="G333" s="6" t="n">
        <v>1</v>
      </c>
      <c r="H333" s="6" t="n">
        <v>6.699999999999999</v>
      </c>
      <c r="I333" s="6" t="n">
        <v>1</v>
      </c>
      <c r="J333" s="5" t="n">
        <v>14.7</v>
      </c>
      <c r="K333" s="5" t="n">
        <v>-14.7</v>
      </c>
      <c r="L333" s="5" t="n">
        <v>-69.09</v>
      </c>
      <c r="M333" s="3" t="inlineStr">
        <is>
          <t>07/05/2026 14:47:22</t>
        </is>
      </c>
    </row>
    <row r="334">
      <c r="A334" s="3" t="inlineStr">
        <is>
          <t>583906389839415160</t>
        </is>
      </c>
      <c r="B334" s="3" t="inlineStr">
        <is>
          <t>已完成</t>
        </is>
      </c>
      <c r="C334" s="3" t="inlineStr">
        <is>
          <t>C1</t>
        </is>
      </c>
      <c r="D334" s="3" t="inlineStr">
        <is>
          <t>魔芋笋1大袋</t>
        </is>
      </c>
      <c r="E3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4" s="3" t="inlineStr">
        <is>
          <t>รสเผ็ดหอม​, 10 ซอง 200g</t>
        </is>
      </c>
      <c r="G334" s="6" t="n">
        <v>1</v>
      </c>
      <c r="H334" s="6" t="n">
        <v>6.699999999999999</v>
      </c>
      <c r="I334" s="6" t="n">
        <v>1</v>
      </c>
      <c r="J334" s="5" t="n">
        <v>14.7</v>
      </c>
      <c r="K334" s="5" t="n">
        <v>-14.7</v>
      </c>
      <c r="L334" s="5" t="n">
        <v>-69.09</v>
      </c>
      <c r="M334" s="3" t="inlineStr">
        <is>
          <t>07/05/2026 14:02:24</t>
        </is>
      </c>
    </row>
    <row r="335">
      <c r="A335" s="3" t="inlineStr">
        <is>
          <t>583906141371335964</t>
        </is>
      </c>
      <c r="B335" s="3" t="inlineStr">
        <is>
          <t>已完成</t>
        </is>
      </c>
      <c r="C335" s="3" t="inlineStr">
        <is>
          <t>C1</t>
        </is>
      </c>
      <c r="D335" s="3" t="inlineStr">
        <is>
          <t>魔芋笋1大袋</t>
        </is>
      </c>
      <c r="E3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5" s="3" t="inlineStr">
        <is>
          <t>รสเผ็ดหอม​, 10 ซอง 200g</t>
        </is>
      </c>
      <c r="G335" s="6" t="n">
        <v>1</v>
      </c>
      <c r="H335" s="6" t="n">
        <v>6.699999999999999</v>
      </c>
      <c r="I335" s="6" t="n">
        <v>1</v>
      </c>
      <c r="J335" s="5" t="n">
        <v>14.7</v>
      </c>
      <c r="K335" s="5" t="n">
        <v>-14.7</v>
      </c>
      <c r="L335" s="5" t="n">
        <v>-69.09</v>
      </c>
      <c r="M335" s="3" t="inlineStr">
        <is>
          <t>07/05/2026 14:00:21</t>
        </is>
      </c>
    </row>
    <row r="336">
      <c r="A336" s="3" t="inlineStr">
        <is>
          <t>583905862188172666</t>
        </is>
      </c>
      <c r="B336" s="3" t="inlineStr">
        <is>
          <t>已完成</t>
        </is>
      </c>
      <c r="C336" s="3" t="inlineStr">
        <is>
          <t>C1</t>
        </is>
      </c>
      <c r="D336" s="3" t="inlineStr">
        <is>
          <t>魔芋笋1大袋</t>
        </is>
      </c>
      <c r="E3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6" s="3" t="inlineStr">
        <is>
          <t>รสเผ็ดหอม​, 10 ซอง 200g</t>
        </is>
      </c>
      <c r="G336" s="6" t="n">
        <v>1</v>
      </c>
      <c r="H336" s="6" t="n">
        <v>6.699999999999999</v>
      </c>
      <c r="I336" s="6" t="n">
        <v>1</v>
      </c>
      <c r="J336" s="5" t="n">
        <v>14.7</v>
      </c>
      <c r="K336" s="5" t="n">
        <v>-14.7</v>
      </c>
      <c r="L336" s="5" t="n">
        <v>-69.09</v>
      </c>
      <c r="M336" s="3" t="inlineStr">
        <is>
          <t>07/05/2026 13:41:21</t>
        </is>
      </c>
    </row>
    <row r="337">
      <c r="A337" s="3" t="inlineStr">
        <is>
          <t>583905862137710475</t>
        </is>
      </c>
      <c r="B337" s="3" t="inlineStr">
        <is>
          <t>已完成</t>
        </is>
      </c>
      <c r="C337" s="3" t="inlineStr">
        <is>
          <t>C1</t>
        </is>
      </c>
      <c r="D337" s="3" t="inlineStr">
        <is>
          <t>魔芋笋1大袋</t>
        </is>
      </c>
      <c r="E3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7" s="3" t="inlineStr">
        <is>
          <t>รสเผ็ดหอม​, 10 ซอง 200g</t>
        </is>
      </c>
      <c r="G337" s="6" t="n">
        <v>1</v>
      </c>
      <c r="H337" s="6" t="n">
        <v>6.699999999999999</v>
      </c>
      <c r="I337" s="6" t="n">
        <v>1</v>
      </c>
      <c r="J337" s="5" t="n">
        <v>14.7</v>
      </c>
      <c r="K337" s="5" t="n">
        <v>-14.7</v>
      </c>
      <c r="L337" s="5" t="n">
        <v>-69.09</v>
      </c>
      <c r="M337" s="3" t="inlineStr">
        <is>
          <t>07/05/2026 13:40:13</t>
        </is>
      </c>
    </row>
    <row r="338">
      <c r="A338" s="3" t="inlineStr">
        <is>
          <t>583905862021448826</t>
        </is>
      </c>
      <c r="B338" s="3" t="inlineStr">
        <is>
          <t>已完成</t>
        </is>
      </c>
      <c r="C338" s="3" t="inlineStr">
        <is>
          <t>C1</t>
        </is>
      </c>
      <c r="D338" s="3" t="inlineStr">
        <is>
          <t>魔芋笋1大袋</t>
        </is>
      </c>
      <c r="E3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8" s="3" t="inlineStr">
        <is>
          <t>รสเผ็ดหอม​, 10 ซอง 200g</t>
        </is>
      </c>
      <c r="G338" s="6" t="n">
        <v>1</v>
      </c>
      <c r="H338" s="6" t="n">
        <v>6.699999999999999</v>
      </c>
      <c r="I338" s="6" t="n">
        <v>1</v>
      </c>
      <c r="J338" s="5" t="n">
        <v>14.7</v>
      </c>
      <c r="K338" s="5" t="n">
        <v>-14.7</v>
      </c>
      <c r="L338" s="5" t="n">
        <v>-69.09</v>
      </c>
      <c r="M338" s="3" t="inlineStr">
        <is>
          <t>07/05/2026 13:37:11</t>
        </is>
      </c>
    </row>
    <row r="339">
      <c r="A339" s="3" t="inlineStr">
        <is>
          <t>583905520726607501</t>
        </is>
      </c>
      <c r="B339" s="3" t="inlineStr">
        <is>
          <t>已完成</t>
        </is>
      </c>
      <c r="C339" s="3" t="inlineStr">
        <is>
          <t>C1</t>
        </is>
      </c>
      <c r="D339" s="3" t="inlineStr">
        <is>
          <t>魔芋笋1大袋</t>
        </is>
      </c>
      <c r="E3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9" s="3" t="inlineStr">
        <is>
          <t>รสเผ็ดหอม​, 10 ซอง 200g</t>
        </is>
      </c>
      <c r="G339" s="6" t="n">
        <v>1</v>
      </c>
      <c r="H339" s="6" t="n">
        <v>6.699999999999999</v>
      </c>
      <c r="I339" s="6" t="n">
        <v>1</v>
      </c>
      <c r="J339" s="5" t="n">
        <v>14.7</v>
      </c>
      <c r="K339" s="5" t="n">
        <v>-14.7</v>
      </c>
      <c r="L339" s="5" t="n">
        <v>-69.09</v>
      </c>
      <c r="M339" s="3" t="inlineStr">
        <is>
          <t>07/05/2026 13:16:18</t>
        </is>
      </c>
    </row>
    <row r="340">
      <c r="A340" s="3" t="inlineStr">
        <is>
          <t>583903238763218705</t>
        </is>
      </c>
      <c r="B340" s="3" t="inlineStr">
        <is>
          <t>已完成</t>
        </is>
      </c>
      <c r="C340" s="3" t="inlineStr">
        <is>
          <t>C1</t>
        </is>
      </c>
      <c r="D340" s="3" t="inlineStr">
        <is>
          <t>魔芋笋1大袋</t>
        </is>
      </c>
      <c r="E3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0" s="3" t="inlineStr">
        <is>
          <t>รสเผ็ดหอม​, 10 ซอง 200g</t>
        </is>
      </c>
      <c r="G340" s="6" t="n">
        <v>1</v>
      </c>
      <c r="H340" s="6" t="n">
        <v>6.699999999999999</v>
      </c>
      <c r="I340" s="6" t="n">
        <v>1</v>
      </c>
      <c r="J340" s="5" t="n">
        <v>14.7</v>
      </c>
      <c r="K340" s="5" t="n">
        <v>-14.7</v>
      </c>
      <c r="L340" s="5" t="n">
        <v>-69.09</v>
      </c>
      <c r="M340" s="3" t="inlineStr">
        <is>
          <t>07/05/2026 10:43:18</t>
        </is>
      </c>
    </row>
    <row r="341">
      <c r="A341" s="3" t="inlineStr">
        <is>
          <t>583903238255314408</t>
        </is>
      </c>
      <c r="B341" s="3" t="inlineStr">
        <is>
          <t>已完成</t>
        </is>
      </c>
      <c r="C341" s="3" t="inlineStr">
        <is>
          <t>C1</t>
        </is>
      </c>
      <c r="D341" s="3" t="inlineStr">
        <is>
          <t>魔芋笋1大袋</t>
        </is>
      </c>
      <c r="E3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1" s="3" t="inlineStr">
        <is>
          <t>รสเผ็ดหอม​, 10 ซอง 200g</t>
        </is>
      </c>
      <c r="G341" s="6" t="n">
        <v>1</v>
      </c>
      <c r="H341" s="6" t="n">
        <v>6.699999999999999</v>
      </c>
      <c r="I341" s="6" t="n">
        <v>1</v>
      </c>
      <c r="J341" s="5" t="n">
        <v>14.7</v>
      </c>
      <c r="K341" s="5" t="n">
        <v>-14.7</v>
      </c>
      <c r="L341" s="5" t="n">
        <v>-69.09</v>
      </c>
      <c r="M341" s="3" t="inlineStr">
        <is>
          <t>07/05/2026 10:33:17</t>
        </is>
      </c>
    </row>
    <row r="342">
      <c r="A342" s="3" t="inlineStr">
        <is>
          <t>583902930689230006</t>
        </is>
      </c>
      <c r="B342" s="3" t="inlineStr">
        <is>
          <t>已完成</t>
        </is>
      </c>
      <c r="C342" s="3" t="inlineStr">
        <is>
          <t>C1</t>
        </is>
      </c>
      <c r="D342" s="3" t="inlineStr">
        <is>
          <t>魔芋笋1大袋</t>
        </is>
      </c>
      <c r="E3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2" s="3" t="inlineStr">
        <is>
          <t>รสเผ็ดหอม​, 10 ซอง 200g</t>
        </is>
      </c>
      <c r="G342" s="6" t="n">
        <v>1</v>
      </c>
      <c r="H342" s="6" t="n">
        <v>6.699999999999999</v>
      </c>
      <c r="I342" s="6" t="n">
        <v>1</v>
      </c>
      <c r="J342" s="5" t="n">
        <v>14.7</v>
      </c>
      <c r="K342" s="5" t="n">
        <v>-14.7</v>
      </c>
      <c r="L342" s="5" t="n">
        <v>-69.09</v>
      </c>
      <c r="M342" s="3" t="inlineStr">
        <is>
          <t>07/05/2026 10:28:19</t>
        </is>
      </c>
    </row>
    <row r="343">
      <c r="A343" s="3" t="inlineStr">
        <is>
          <t>583903051189683222</t>
        </is>
      </c>
      <c r="B343" s="3" t="inlineStr">
        <is>
          <t>已完成</t>
        </is>
      </c>
      <c r="C343" s="3" t="inlineStr">
        <is>
          <t>C1</t>
        </is>
      </c>
      <c r="D343" s="3" t="inlineStr">
        <is>
          <t>魔芋笋1大袋</t>
        </is>
      </c>
      <c r="E3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3" s="3" t="inlineStr">
        <is>
          <t>รสเผ็ดหอม​, 10 ซอง 200g</t>
        </is>
      </c>
      <c r="G343" s="6" t="n">
        <v>1</v>
      </c>
      <c r="H343" s="6" t="n">
        <v>6.699999999999999</v>
      </c>
      <c r="I343" s="6" t="n">
        <v>1</v>
      </c>
      <c r="J343" s="5" t="n">
        <v>14.7</v>
      </c>
      <c r="K343" s="5" t="n">
        <v>-14.7</v>
      </c>
      <c r="L343" s="5" t="n">
        <v>-69.09</v>
      </c>
      <c r="M343" s="3" t="inlineStr">
        <is>
          <t>07/05/2026 10:27:25</t>
        </is>
      </c>
    </row>
    <row r="344">
      <c r="A344" s="3" t="inlineStr">
        <is>
          <t>583902884610672147</t>
        </is>
      </c>
      <c r="B344" s="3" t="inlineStr">
        <is>
          <t>已完成</t>
        </is>
      </c>
      <c r="C344" s="3" t="inlineStr">
        <is>
          <t>C1</t>
        </is>
      </c>
      <c r="D344" s="3" t="inlineStr">
        <is>
          <t>魔芋笋1大袋</t>
        </is>
      </c>
      <c r="E3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4" s="3" t="inlineStr">
        <is>
          <t>รสเผ็ดหอม​, 10 ซอง 200g</t>
        </is>
      </c>
      <c r="G344" s="6" t="n">
        <v>1</v>
      </c>
      <c r="H344" s="6" t="n">
        <v>6.699999999999999</v>
      </c>
      <c r="I344" s="6" t="n">
        <v>1</v>
      </c>
      <c r="J344" s="5" t="n">
        <v>14.7</v>
      </c>
      <c r="K344" s="5" t="n">
        <v>-14.7</v>
      </c>
      <c r="L344" s="5" t="n">
        <v>-69.09</v>
      </c>
      <c r="M344" s="3" t="inlineStr">
        <is>
          <t>07/05/2026 10:13:23</t>
        </is>
      </c>
    </row>
    <row r="345">
      <c r="A345" s="3" t="inlineStr">
        <is>
          <t>583902884570301810</t>
        </is>
      </c>
      <c r="B345" s="3" t="inlineStr">
        <is>
          <t>已完成</t>
        </is>
      </c>
      <c r="C345" s="3" t="inlineStr">
        <is>
          <t>C1</t>
        </is>
      </c>
      <c r="D345" s="3" t="inlineStr">
        <is>
          <t>魔芋笋1大袋</t>
        </is>
      </c>
      <c r="E3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5" s="3" t="inlineStr">
        <is>
          <t>รสเผ็ดหอม​, 10 ซอง 200g</t>
        </is>
      </c>
      <c r="G345" s="6" t="n">
        <v>1</v>
      </c>
      <c r="H345" s="6" t="n">
        <v>6.699999999999999</v>
      </c>
      <c r="I345" s="6" t="n">
        <v>1</v>
      </c>
      <c r="J345" s="5" t="n">
        <v>14.7</v>
      </c>
      <c r="K345" s="5" t="n">
        <v>-14.7</v>
      </c>
      <c r="L345" s="5" t="n">
        <v>-69.09</v>
      </c>
      <c r="M345" s="3" t="inlineStr">
        <is>
          <t>07/05/2026 10:12:28</t>
        </is>
      </c>
    </row>
    <row r="346">
      <c r="A346" s="3" t="inlineStr">
        <is>
          <t>583891160945952645</t>
        </is>
      </c>
      <c r="B346" s="3" t="inlineStr">
        <is>
          <t>已完成</t>
        </is>
      </c>
      <c r="C346" s="3" t="inlineStr">
        <is>
          <t>C1</t>
        </is>
      </c>
      <c r="D346" s="3" t="inlineStr">
        <is>
          <t>魔芋笋1大袋</t>
        </is>
      </c>
      <c r="E3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6" s="3" t="inlineStr">
        <is>
          <t>รสเผ็ดหอม​, 10 ซอง 200g</t>
        </is>
      </c>
      <c r="G346" s="6" t="n">
        <v>1</v>
      </c>
      <c r="H346" s="6" t="n">
        <v>6.699999999999999</v>
      </c>
      <c r="I346" s="6" t="n">
        <v>1</v>
      </c>
      <c r="J346" s="5" t="n">
        <v>14.7</v>
      </c>
      <c r="K346" s="5" t="n">
        <v>-14.7</v>
      </c>
      <c r="L346" s="5" t="n">
        <v>-69.09</v>
      </c>
      <c r="M346" s="3" t="inlineStr">
        <is>
          <t>06/05/2026 18:00:10</t>
        </is>
      </c>
    </row>
    <row r="347">
      <c r="A347" s="3" t="inlineStr">
        <is>
          <t>583890368806421953</t>
        </is>
      </c>
      <c r="B347" s="3" t="inlineStr">
        <is>
          <t>已完成</t>
        </is>
      </c>
      <c r="C347" s="3" t="inlineStr">
        <is>
          <t>C1</t>
        </is>
      </c>
      <c r="D347" s="3" t="inlineStr">
        <is>
          <t>魔芋笋1大袋</t>
        </is>
      </c>
      <c r="E3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7" s="3" t="inlineStr">
        <is>
          <t>รสเผ็ดหอม​, 10 ซอง 200g</t>
        </is>
      </c>
      <c r="G347" s="6" t="n">
        <v>1</v>
      </c>
      <c r="H347" s="6" t="n">
        <v>6.699999999999999</v>
      </c>
      <c r="I347" s="6" t="n">
        <v>1</v>
      </c>
      <c r="J347" s="5" t="n">
        <v>14.7</v>
      </c>
      <c r="K347" s="5" t="n">
        <v>-14.7</v>
      </c>
      <c r="L347" s="5" t="n">
        <v>-69.09</v>
      </c>
      <c r="M347" s="3" t="inlineStr">
        <is>
          <t>06/05/2026 17:05:23</t>
        </is>
      </c>
    </row>
    <row r="348">
      <c r="A348" s="3" t="inlineStr">
        <is>
          <t>583888959174772474</t>
        </is>
      </c>
      <c r="B348" s="3" t="inlineStr">
        <is>
          <t>已完成</t>
        </is>
      </c>
      <c r="C348" s="3" t="inlineStr">
        <is>
          <t>C1</t>
        </is>
      </c>
      <c r="D348" s="3" t="inlineStr">
        <is>
          <t>魔芋笋1大袋</t>
        </is>
      </c>
      <c r="E3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8" s="3" t="inlineStr">
        <is>
          <t>รสเผ็ดหอม​, 10 ซอง 200g</t>
        </is>
      </c>
      <c r="G348" s="6" t="n">
        <v>1</v>
      </c>
      <c r="H348" s="6" t="n">
        <v>6.699999999999999</v>
      </c>
      <c r="I348" s="6" t="n">
        <v>1</v>
      </c>
      <c r="J348" s="5" t="n">
        <v>14.7</v>
      </c>
      <c r="K348" s="5" t="n">
        <v>-14.7</v>
      </c>
      <c r="L348" s="5" t="n">
        <v>-69.09</v>
      </c>
      <c r="M348" s="3" t="inlineStr">
        <is>
          <t>06/05/2026 15:33:16</t>
        </is>
      </c>
    </row>
    <row r="349">
      <c r="A349" s="3" t="inlineStr">
        <is>
          <t>583888204821333009</t>
        </is>
      </c>
      <c r="B349" s="3" t="inlineStr">
        <is>
          <t>已完成</t>
        </is>
      </c>
      <c r="C349" s="3" t="inlineStr">
        <is>
          <t>C1</t>
        </is>
      </c>
      <c r="D349" s="3" t="inlineStr">
        <is>
          <t>魔芋笋1大袋</t>
        </is>
      </c>
      <c r="E3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9" s="3" t="inlineStr">
        <is>
          <t>รสเผ็ดหอม​, 10 ซอง 200g</t>
        </is>
      </c>
      <c r="G349" s="6" t="n">
        <v>1</v>
      </c>
      <c r="H349" s="6" t="n">
        <v>6.699999999999999</v>
      </c>
      <c r="I349" s="6" t="n">
        <v>1</v>
      </c>
      <c r="J349" s="5" t="n">
        <v>14.7</v>
      </c>
      <c r="K349" s="5" t="n">
        <v>-14.7</v>
      </c>
      <c r="L349" s="5" t="n">
        <v>-69.09</v>
      </c>
      <c r="M349" s="3" t="inlineStr">
        <is>
          <t>06/05/2026 14:40:14</t>
        </is>
      </c>
    </row>
    <row r="350">
      <c r="A350" s="3" t="inlineStr">
        <is>
          <t>583888122360202862</t>
        </is>
      </c>
      <c r="B350" s="3" t="inlineStr">
        <is>
          <t>已完成</t>
        </is>
      </c>
      <c r="C350" s="3" t="inlineStr">
        <is>
          <t>C1</t>
        </is>
      </c>
      <c r="D350" s="3" t="inlineStr">
        <is>
          <t>魔芋笋1大袋</t>
        </is>
      </c>
      <c r="E3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0" s="3" t="inlineStr">
        <is>
          <t>รสเผ็ดหอม​, 10 ซอง 200g</t>
        </is>
      </c>
      <c r="G350" s="6" t="n">
        <v>1</v>
      </c>
      <c r="H350" s="6" t="n">
        <v>6.699999999999999</v>
      </c>
      <c r="I350" s="6" t="n">
        <v>1</v>
      </c>
      <c r="J350" s="5" t="n">
        <v>14.7</v>
      </c>
      <c r="K350" s="5" t="n">
        <v>-14.7</v>
      </c>
      <c r="L350" s="5" t="n">
        <v>-69.09</v>
      </c>
      <c r="M350" s="3" t="inlineStr">
        <is>
          <t>06/05/2026 14:18:10</t>
        </is>
      </c>
    </row>
    <row r="351">
      <c r="A351" s="3" t="inlineStr">
        <is>
          <t>583887942319966064</t>
        </is>
      </c>
      <c r="B351" s="3" t="inlineStr">
        <is>
          <t>已完成</t>
        </is>
      </c>
      <c r="C351" s="3" t="inlineStr">
        <is>
          <t>C1</t>
        </is>
      </c>
      <c r="D351" s="3" t="inlineStr">
        <is>
          <t>魔芋笋1大袋</t>
        </is>
      </c>
      <c r="E3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1" s="3" t="inlineStr">
        <is>
          <t>รสเผ็ดหอม​, 10 ซอง 200g</t>
        </is>
      </c>
      <c r="G351" s="6" t="n">
        <v>1</v>
      </c>
      <c r="H351" s="6" t="n">
        <v>6.699999999999999</v>
      </c>
      <c r="I351" s="6" t="n">
        <v>1</v>
      </c>
      <c r="J351" s="5" t="n">
        <v>14.7</v>
      </c>
      <c r="K351" s="5" t="n">
        <v>-14.7</v>
      </c>
      <c r="L351" s="5" t="n">
        <v>-69.09</v>
      </c>
      <c r="M351" s="3" t="inlineStr">
        <is>
          <t>06/05/2026 14:15:10</t>
        </is>
      </c>
    </row>
    <row r="352">
      <c r="A352" s="3" t="inlineStr">
        <is>
          <t>583887208158758356</t>
        </is>
      </c>
      <c r="B352" s="3" t="inlineStr">
        <is>
          <t>已完成</t>
        </is>
      </c>
      <c r="C352" s="3" t="inlineStr">
        <is>
          <t>C1</t>
        </is>
      </c>
      <c r="D352" s="3" t="inlineStr">
        <is>
          <t>魔芋笋1大袋</t>
        </is>
      </c>
      <c r="E3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2" s="3" t="inlineStr">
        <is>
          <t>รสเผ็ดหอม​, 10 ซอง 200g</t>
        </is>
      </c>
      <c r="G352" s="6" t="n">
        <v>1</v>
      </c>
      <c r="H352" s="6" t="n">
        <v>6.699999999999999</v>
      </c>
      <c r="I352" s="6" t="n">
        <v>1</v>
      </c>
      <c r="J352" s="5" t="n">
        <v>14.7</v>
      </c>
      <c r="K352" s="5" t="n">
        <v>-14.7</v>
      </c>
      <c r="L352" s="5" t="n">
        <v>-69.09</v>
      </c>
      <c r="M352" s="3" t="inlineStr">
        <is>
          <t>06/05/2026 13:21:22</t>
        </is>
      </c>
    </row>
    <row r="353">
      <c r="A353" s="3" t="inlineStr">
        <is>
          <t>583887208134313450</t>
        </is>
      </c>
      <c r="B353" s="3" t="inlineStr">
        <is>
          <t>已完成</t>
        </is>
      </c>
      <c r="C353" s="3" t="inlineStr">
        <is>
          <t>C1</t>
        </is>
      </c>
      <c r="D353" s="3" t="inlineStr">
        <is>
          <t>魔芋笋1大袋</t>
        </is>
      </c>
      <c r="E3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3" s="3" t="inlineStr">
        <is>
          <t>รสเผ็ดหอม​, 10 ซอง 200g</t>
        </is>
      </c>
      <c r="G353" s="6" t="n">
        <v>1</v>
      </c>
      <c r="H353" s="6" t="n">
        <v>6.699999999999999</v>
      </c>
      <c r="I353" s="6" t="n">
        <v>1</v>
      </c>
      <c r="J353" s="5" t="n">
        <v>14.7</v>
      </c>
      <c r="K353" s="5" t="n">
        <v>-14.7</v>
      </c>
      <c r="L353" s="5" t="n">
        <v>-69.09</v>
      </c>
      <c r="M353" s="3" t="inlineStr">
        <is>
          <t>06/05/2026 13:21:15</t>
        </is>
      </c>
    </row>
    <row r="354">
      <c r="A354" s="3" t="inlineStr">
        <is>
          <t>583886906489800344</t>
        </is>
      </c>
      <c r="B354" s="3" t="inlineStr">
        <is>
          <t>已完成</t>
        </is>
      </c>
      <c r="C354" s="3" t="inlineStr">
        <is>
          <t>C1</t>
        </is>
      </c>
      <c r="D354" s="3" t="inlineStr">
        <is>
          <t>魔芋笋1大袋</t>
        </is>
      </c>
      <c r="E3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4" s="3" t="inlineStr">
        <is>
          <t>รสเผ็ดหอม​, 10 ซอง 200g</t>
        </is>
      </c>
      <c r="G354" s="6" t="n">
        <v>1</v>
      </c>
      <c r="H354" s="6" t="n">
        <v>6.699999999999999</v>
      </c>
      <c r="I354" s="6" t="n">
        <v>1</v>
      </c>
      <c r="J354" s="5" t="n">
        <v>14.7</v>
      </c>
      <c r="K354" s="5" t="n">
        <v>-14.7</v>
      </c>
      <c r="L354" s="5" t="n">
        <v>-69.09</v>
      </c>
      <c r="M354" s="3" t="inlineStr">
        <is>
          <t>06/05/2026 13:18:15</t>
        </is>
      </c>
    </row>
    <row r="355">
      <c r="A355" s="3" t="inlineStr">
        <is>
          <t>583885010011260639</t>
        </is>
      </c>
      <c r="B355" s="3" t="inlineStr">
        <is>
          <t>已完成</t>
        </is>
      </c>
      <c r="C355" s="3" t="inlineStr">
        <is>
          <t>C1</t>
        </is>
      </c>
      <c r="D355" s="3" t="inlineStr">
        <is>
          <t>魔芋笋1大袋</t>
        </is>
      </c>
      <c r="E3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5" s="3" t="inlineStr">
        <is>
          <t>รสเผ็ดหอม​, 10 ซอง 200g</t>
        </is>
      </c>
      <c r="G355" s="6" t="n">
        <v>1</v>
      </c>
      <c r="H355" s="6" t="n">
        <v>6.699999999999999</v>
      </c>
      <c r="I355" s="6" t="n">
        <v>1</v>
      </c>
      <c r="J355" s="5" t="n">
        <v>14.7</v>
      </c>
      <c r="K355" s="5" t="n">
        <v>-14.7</v>
      </c>
      <c r="L355" s="5" t="n">
        <v>-69.09</v>
      </c>
      <c r="M355" s="3" t="inlineStr">
        <is>
          <t>06/05/2026 10:57:24</t>
        </is>
      </c>
    </row>
    <row r="356">
      <c r="A356" s="3" t="inlineStr">
        <is>
          <t>583884448128468326</t>
        </is>
      </c>
      <c r="B356" s="3" t="inlineStr">
        <is>
          <t>已完成</t>
        </is>
      </c>
      <c r="C356" s="3" t="inlineStr">
        <is>
          <t>C1</t>
        </is>
      </c>
      <c r="D356" s="3" t="inlineStr">
        <is>
          <t>魔芋笋1大袋</t>
        </is>
      </c>
      <c r="E3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6" s="3" t="inlineStr">
        <is>
          <t>รสเผ็ดหอม​, 10 ซอง 200g</t>
        </is>
      </c>
      <c r="G356" s="6" t="n">
        <v>1</v>
      </c>
      <c r="H356" s="6" t="n">
        <v>6.699999999999999</v>
      </c>
      <c r="I356" s="6" t="n">
        <v>1</v>
      </c>
      <c r="J356" s="5" t="n">
        <v>14.7</v>
      </c>
      <c r="K356" s="5" t="n">
        <v>-14.7</v>
      </c>
      <c r="L356" s="5" t="n">
        <v>-69.09</v>
      </c>
      <c r="M356" s="3" t="inlineStr">
        <is>
          <t>06/05/2026 10:18:10</t>
        </is>
      </c>
    </row>
    <row r="357">
      <c r="A357" s="3" t="inlineStr">
        <is>
          <t>583884309500691806</t>
        </is>
      </c>
      <c r="B357" s="3" t="inlineStr">
        <is>
          <t>已完成</t>
        </is>
      </c>
      <c r="C357" s="3" t="inlineStr">
        <is>
          <t>C1</t>
        </is>
      </c>
      <c r="D357" s="3" t="inlineStr">
        <is>
          <t>魔芋笋1大袋</t>
        </is>
      </c>
      <c r="E3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7" s="3" t="inlineStr">
        <is>
          <t>รสเผ็ดหอม​, 10 ซอง 200g</t>
        </is>
      </c>
      <c r="G357" s="6" t="n">
        <v>1</v>
      </c>
      <c r="H357" s="6" t="n">
        <v>6.699999999999999</v>
      </c>
      <c r="I357" s="6" t="n">
        <v>1</v>
      </c>
      <c r="J357" s="5" t="n">
        <v>14.7</v>
      </c>
      <c r="K357" s="5" t="n">
        <v>-14.7</v>
      </c>
      <c r="L357" s="5" t="n">
        <v>-69.09</v>
      </c>
      <c r="M357" s="3" t="inlineStr">
        <is>
          <t>06/05/2026 10:01:15</t>
        </is>
      </c>
    </row>
    <row r="358">
      <c r="A358" s="3" t="inlineStr">
        <is>
          <t>583884159539577866</t>
        </is>
      </c>
      <c r="B358" s="3" t="inlineStr">
        <is>
          <t>已完成</t>
        </is>
      </c>
      <c r="C358" s="3" t="inlineStr">
        <is>
          <t>C1</t>
        </is>
      </c>
      <c r="D358" s="3" t="inlineStr">
        <is>
          <t>魔芋笋1大袋</t>
        </is>
      </c>
      <c r="E3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8" s="3" t="inlineStr">
        <is>
          <t>รสเผ็ดหอม​, 10 ซอง 200g</t>
        </is>
      </c>
      <c r="G358" s="6" t="n">
        <v>1</v>
      </c>
      <c r="H358" s="6" t="n">
        <v>6.699999999999999</v>
      </c>
      <c r="I358" s="6" t="n">
        <v>1</v>
      </c>
      <c r="J358" s="5" t="n">
        <v>14.7</v>
      </c>
      <c r="K358" s="5" t="n">
        <v>-14.7</v>
      </c>
      <c r="L358" s="5" t="n">
        <v>-69.09</v>
      </c>
      <c r="M358" s="3" t="inlineStr">
        <is>
          <t>06/05/2026 09:52:28</t>
        </is>
      </c>
    </row>
    <row r="359">
      <c r="A359" s="3" t="inlineStr">
        <is>
          <t>583872949226734671</t>
        </is>
      </c>
      <c r="B359" s="3" t="inlineStr">
        <is>
          <t>已完成</t>
        </is>
      </c>
      <c r="C359" s="3" t="inlineStr">
        <is>
          <t>C1</t>
        </is>
      </c>
      <c r="D359" s="3" t="inlineStr">
        <is>
          <t>魔芋笋1大袋</t>
        </is>
      </c>
      <c r="E3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9" s="3" t="inlineStr">
        <is>
          <t>รสเผ็ดหอม​, 10 ซอง 200g</t>
        </is>
      </c>
      <c r="G359" s="6" t="n">
        <v>1</v>
      </c>
      <c r="H359" s="6" t="n">
        <v>6.699999999999999</v>
      </c>
      <c r="I359" s="6" t="n">
        <v>1</v>
      </c>
      <c r="J359" s="5" t="n">
        <v>14.7</v>
      </c>
      <c r="K359" s="5" t="n">
        <v>-14.7</v>
      </c>
      <c r="L359" s="5" t="n">
        <v>-69.09</v>
      </c>
      <c r="M359" s="3" t="inlineStr">
        <is>
          <t>05/05/2026 17:21:12</t>
        </is>
      </c>
    </row>
    <row r="360">
      <c r="A360" s="3" t="inlineStr">
        <is>
          <t>583872857747653649</t>
        </is>
      </c>
      <c r="B360" s="3" t="inlineStr">
        <is>
          <t>已完成</t>
        </is>
      </c>
      <c r="C360" s="3" t="inlineStr">
        <is>
          <t>C1</t>
        </is>
      </c>
      <c r="D360" s="3" t="inlineStr">
        <is>
          <t>魔芋笋1大袋</t>
        </is>
      </c>
      <c r="E3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0" s="3" t="inlineStr">
        <is>
          <t>รสเผ็ดหอม​, 10 ซอง 200g</t>
        </is>
      </c>
      <c r="G360" s="6" t="n">
        <v>1</v>
      </c>
      <c r="H360" s="6" t="n">
        <v>6.699999999999999</v>
      </c>
      <c r="I360" s="6" t="n">
        <v>1</v>
      </c>
      <c r="J360" s="5" t="n">
        <v>14.7</v>
      </c>
      <c r="K360" s="5" t="n">
        <v>-14.7</v>
      </c>
      <c r="L360" s="5" t="n">
        <v>-69.09</v>
      </c>
      <c r="M360" s="3" t="inlineStr">
        <is>
          <t>05/05/2026 17:08:12</t>
        </is>
      </c>
    </row>
    <row r="361">
      <c r="A361" s="3" t="inlineStr">
        <is>
          <t>583872677274027322</t>
        </is>
      </c>
      <c r="B361" s="3" t="inlineStr">
        <is>
          <t>已完成</t>
        </is>
      </c>
      <c r="C361" s="3" t="inlineStr">
        <is>
          <t>C1</t>
        </is>
      </c>
      <c r="D361" s="3" t="inlineStr">
        <is>
          <t>魔芋笋1大袋</t>
        </is>
      </c>
      <c r="E3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1" s="3" t="inlineStr">
        <is>
          <t>รสเผ็ดหอม​, 10 ซอง 200g</t>
        </is>
      </c>
      <c r="G361" s="6" t="n">
        <v>1</v>
      </c>
      <c r="H361" s="6" t="n">
        <v>6.699999999999999</v>
      </c>
      <c r="I361" s="6" t="n">
        <v>1</v>
      </c>
      <c r="J361" s="5" t="n">
        <v>14.7</v>
      </c>
      <c r="K361" s="5" t="n">
        <v>-14.7</v>
      </c>
      <c r="L361" s="5" t="n">
        <v>-69.09</v>
      </c>
      <c r="M361" s="3" t="inlineStr">
        <is>
          <t>05/05/2026 17:01:14</t>
        </is>
      </c>
    </row>
    <row r="362">
      <c r="A362" s="3" t="inlineStr">
        <is>
          <t>583872677187847442</t>
        </is>
      </c>
      <c r="B362" s="3" t="inlineStr">
        <is>
          <t>已完成</t>
        </is>
      </c>
      <c r="C362" s="3" t="inlineStr">
        <is>
          <t>C1</t>
        </is>
      </c>
      <c r="D362" s="3" t="inlineStr">
        <is>
          <t>魔芋笋1大袋</t>
        </is>
      </c>
      <c r="E3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2" s="3" t="inlineStr">
        <is>
          <t>รสเผ็ดหอม​, 10 ซอง 200g</t>
        </is>
      </c>
      <c r="G362" s="6" t="n">
        <v>1</v>
      </c>
      <c r="H362" s="6" t="n">
        <v>6.699999999999999</v>
      </c>
      <c r="I362" s="6" t="n">
        <v>1</v>
      </c>
      <c r="J362" s="5" t="n">
        <v>14.7</v>
      </c>
      <c r="K362" s="5" t="n">
        <v>-14.7</v>
      </c>
      <c r="L362" s="5" t="n">
        <v>-69.09</v>
      </c>
      <c r="M362" s="3" t="inlineStr">
        <is>
          <t>05/05/2026 16:58:15</t>
        </is>
      </c>
    </row>
    <row r="363">
      <c r="A363" s="3" t="inlineStr">
        <is>
          <t>583872200679851377</t>
        </is>
      </c>
      <c r="B363" s="3" t="inlineStr">
        <is>
          <t>已完成</t>
        </is>
      </c>
      <c r="C363" s="3" t="inlineStr">
        <is>
          <t>C1</t>
        </is>
      </c>
      <c r="D363" s="3" t="inlineStr">
        <is>
          <t>魔芋笋1大袋</t>
        </is>
      </c>
      <c r="E3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3" s="3" t="inlineStr">
        <is>
          <t>รสเผ็ดหอม​, 10 ซอง 200g</t>
        </is>
      </c>
      <c r="G363" s="6" t="n">
        <v>1</v>
      </c>
      <c r="H363" s="6" t="n">
        <v>6.699999999999999</v>
      </c>
      <c r="I363" s="6" t="n">
        <v>1</v>
      </c>
      <c r="J363" s="5" t="n">
        <v>14.7</v>
      </c>
      <c r="K363" s="5" t="n">
        <v>-14.7</v>
      </c>
      <c r="L363" s="5" t="n">
        <v>-69.09</v>
      </c>
      <c r="M363" s="3" t="inlineStr">
        <is>
          <t>05/05/2026 16:20:12</t>
        </is>
      </c>
    </row>
    <row r="364">
      <c r="A364" s="3" t="inlineStr">
        <is>
          <t>583866119576913575</t>
        </is>
      </c>
      <c r="B364" s="3" t="inlineStr">
        <is>
          <t>已完成</t>
        </is>
      </c>
      <c r="C364" s="3" t="inlineStr">
        <is>
          <t>C1</t>
        </is>
      </c>
      <c r="D364" s="3" t="inlineStr">
        <is>
          <t>魔芋笋1大袋</t>
        </is>
      </c>
      <c r="E3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4" s="3" t="inlineStr">
        <is>
          <t>รสเผ็ดหอม​, 10 ซอง 200g</t>
        </is>
      </c>
      <c r="G364" s="6" t="n">
        <v>1</v>
      </c>
      <c r="H364" s="6" t="n">
        <v>6.699999999999999</v>
      </c>
      <c r="I364" s="6" t="n">
        <v>1</v>
      </c>
      <c r="J364" s="5" t="n">
        <v>14.7</v>
      </c>
      <c r="K364" s="5" t="n">
        <v>-14.7</v>
      </c>
      <c r="L364" s="5" t="n">
        <v>-69.09</v>
      </c>
      <c r="M364" s="3" t="inlineStr">
        <is>
          <t>05/05/2026 09:53:11</t>
        </is>
      </c>
    </row>
    <row r="365">
      <c r="A365" s="3" t="inlineStr">
        <is>
          <t>583853085635216525</t>
        </is>
      </c>
      <c r="B365" s="3" t="inlineStr">
        <is>
          <t>已完成</t>
        </is>
      </c>
      <c r="C365" s="3" t="inlineStr">
        <is>
          <t>C1</t>
        </is>
      </c>
      <c r="D365" s="3" t="inlineStr">
        <is>
          <t>魔芋笋1大袋</t>
        </is>
      </c>
      <c r="E3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5" s="3" t="inlineStr">
        <is>
          <t>รสเผ็ดหอม​, 10 ซอง 200g</t>
        </is>
      </c>
      <c r="G365" s="6" t="n">
        <v>1</v>
      </c>
      <c r="H365" s="6" t="n">
        <v>6.699999999999999</v>
      </c>
      <c r="I365" s="6" t="n">
        <v>1</v>
      </c>
      <c r="J365" s="5" t="n">
        <v>14.7</v>
      </c>
      <c r="K365" s="5" t="n">
        <v>-14.7</v>
      </c>
      <c r="L365" s="5" t="n">
        <v>-69.09</v>
      </c>
      <c r="M365" s="3" t="inlineStr">
        <is>
          <t>04/05/2026 15:56:15</t>
        </is>
      </c>
    </row>
    <row r="366">
      <c r="A366" s="3" t="inlineStr">
        <is>
          <t>583852144167519792</t>
        </is>
      </c>
      <c r="B366" s="3" t="inlineStr">
        <is>
          <t>已完成</t>
        </is>
      </c>
      <c r="C366" s="3" t="inlineStr">
        <is>
          <t>C1</t>
        </is>
      </c>
      <c r="D366" s="3" t="inlineStr">
        <is>
          <t>魔芋笋1大袋</t>
        </is>
      </c>
      <c r="E3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6" s="3" t="inlineStr">
        <is>
          <t>รสเผ็ดหอม​, 10 ซอง 200g</t>
        </is>
      </c>
      <c r="G366" s="6" t="n">
        <v>1</v>
      </c>
      <c r="H366" s="6" t="n">
        <v>6.699999999999999</v>
      </c>
      <c r="I366" s="6" t="n">
        <v>1</v>
      </c>
      <c r="J366" s="5" t="n">
        <v>14.7</v>
      </c>
      <c r="K366" s="5" t="n">
        <v>-14.7</v>
      </c>
      <c r="L366" s="5" t="n">
        <v>-69.09</v>
      </c>
      <c r="M366" s="3" t="inlineStr">
        <is>
          <t>04/05/2026 15:02:14</t>
        </is>
      </c>
    </row>
    <row r="367">
      <c r="A367" s="3" t="inlineStr">
        <is>
          <t>583847265532413542</t>
        </is>
      </c>
      <c r="B367" s="3" t="inlineStr">
        <is>
          <t>已完成</t>
        </is>
      </c>
      <c r="C367" s="3" t="inlineStr">
        <is>
          <t>C1</t>
        </is>
      </c>
      <c r="D367" s="3" t="inlineStr">
        <is>
          <t>魔芋笋1大袋</t>
        </is>
      </c>
      <c r="E3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7" s="3" t="inlineStr">
        <is>
          <t>รสเผ็ดหอม​, 10 ซอง 200g</t>
        </is>
      </c>
      <c r="G367" s="6" t="n">
        <v>1</v>
      </c>
      <c r="H367" s="6" t="n">
        <v>6.699999999999999</v>
      </c>
      <c r="I367" s="6" t="n">
        <v>1</v>
      </c>
      <c r="J367" s="5" t="n">
        <v>14.7</v>
      </c>
      <c r="K367" s="5" t="n">
        <v>-14.7</v>
      </c>
      <c r="L367" s="5" t="n">
        <v>-69.09</v>
      </c>
      <c r="M367" s="3" t="inlineStr">
        <is>
          <t>04/05/2026 09:29:19</t>
        </is>
      </c>
    </row>
    <row r="368">
      <c r="A368" s="9" t="inlineStr">
        <is>
          <t>汇总</t>
        </is>
      </c>
      <c r="B368" s="9" t="inlineStr"/>
      <c r="C368" s="9" t="inlineStr"/>
      <c r="D368" s="9" t="inlineStr"/>
      <c r="E368" s="9" t="inlineStr"/>
      <c r="F368" s="9" t="inlineStr"/>
      <c r="G368" s="5">
        <f>SUM(G2:G367)</f>
        <v/>
      </c>
      <c r="H368" s="5">
        <f>SUM(H2:H367)</f>
        <v/>
      </c>
      <c r="I368" s="5">
        <f>SUM(I2:I367)</f>
        <v/>
      </c>
      <c r="J368" s="5">
        <f>SUM(J2:J367)</f>
        <v/>
      </c>
      <c r="K368" s="5">
        <f>SUM(K2:K367)</f>
        <v/>
      </c>
      <c r="L368" s="5">
        <f>SUM(L2:L367)</f>
        <v/>
      </c>
      <c r="M368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2026-06-04T02:17:06Z</dcterms:created>
  <dcterms:modified xmlns:dcterms="http://purl.org/dc/terms/" xmlns:xsi="http://www.w3.org/2001/XMLSchema-instance" xsi:type="dcterms:W3CDTF">2026-06-04T02:18:25Z</dcterms:modified>
</cp:coreProperties>
</file>